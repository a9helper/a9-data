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328"/>
  <workbookPr/>
  <mc:AlternateContent xmlns:mc="http://schemas.openxmlformats.org/markup-compatibility/2006">
    <mc:Choice Requires="x15">
      <x15ac:absPath xmlns:x15ac="http://schemas.microsoft.com/office/spreadsheetml/2010/11/ac" url="/Users/walter/a9helper/a9-data/"/>
    </mc:Choice>
  </mc:AlternateContent>
  <xr:revisionPtr revIDLastSave="0" documentId="13_ncr:1_{66378E91-AD75-BA49-ABCA-855688E8B0E3}" xr6:coauthVersionLast="47" xr6:coauthVersionMax="47" xr10:uidLastSave="{00000000-0000-0000-0000-000000000000}"/>
  <bookViews>
    <workbookView xWindow="0" yWindow="500" windowWidth="38400" windowHeight="20100" activeTab="3" xr2:uid="{00000000-000D-0000-FFFF-FFFF00000000}"/>
  </bookViews>
  <sheets>
    <sheet name="编者的话" sheetId="1" r:id="rId1"/>
    <sheet name="全车数据表" sheetId="2" r:id="rId2"/>
    <sheet name="统计数据" sheetId="3" r:id="rId3"/>
    <sheet name="数据卡片" sheetId="7" r:id="rId4"/>
    <sheet name="辅助计算" sheetId="8" r:id="rId5"/>
    <sheet name="盘点" sheetId="9" r:id="rId6"/>
    <sheet name="versionNoteAL" sheetId="10" r:id="rId7"/>
  </sheets>
  <definedNames>
    <definedName name="_xlnm._FilterDatabase" localSheetId="5" hidden="1">盘点!$A$2:$G$113</definedName>
    <definedName name="_xlnm._FilterDatabase" localSheetId="1" hidden="1">全车数据表!$A$2:$CN$201</definedName>
    <definedName name="_xlnm._FilterDatabase" localSheetId="3" hidden="1">数据卡片!$A$1:$AB$1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A3" i="7" l="1"/>
  <c r="B3" i="7"/>
  <c r="C3" i="7"/>
  <c r="D3" i="7"/>
  <c r="E3" i="7"/>
  <c r="F3" i="7"/>
  <c r="G3" i="7"/>
  <c r="H3" i="7"/>
  <c r="I3" i="7"/>
  <c r="J3" i="7"/>
  <c r="K3" i="7"/>
  <c r="L3" i="7"/>
  <c r="M3" i="7"/>
  <c r="N3" i="7"/>
  <c r="O3" i="7"/>
  <c r="P3" i="7"/>
  <c r="Q3" i="7"/>
  <c r="R3" i="7"/>
  <c r="S3" i="7"/>
  <c r="T3" i="7"/>
  <c r="U3" i="7"/>
  <c r="V3" i="7"/>
  <c r="W3" i="7"/>
  <c r="X3" i="7"/>
  <c r="Y3" i="7"/>
  <c r="Z3" i="7"/>
  <c r="AA3" i="7"/>
  <c r="AB3" i="7"/>
  <c r="AC3" i="7"/>
  <c r="AD3" i="7"/>
  <c r="AE3" i="7"/>
  <c r="AF3" i="7"/>
  <c r="AG3" i="7"/>
  <c r="AH3" i="7"/>
  <c r="AI3" i="7"/>
  <c r="AJ3" i="7"/>
  <c r="AK3" i="7"/>
  <c r="AL3" i="7"/>
  <c r="AM3" i="7"/>
  <c r="AN3" i="7"/>
  <c r="AO3" i="7"/>
  <c r="AP3" i="7"/>
  <c r="AQ3" i="7"/>
  <c r="AR3" i="7"/>
  <c r="AS3" i="7"/>
  <c r="AT3" i="7"/>
  <c r="AU3" i="7"/>
  <c r="AV3" i="7"/>
  <c r="AW3" i="7"/>
  <c r="AX3" i="7"/>
  <c r="AY3" i="7"/>
  <c r="AZ3" i="7"/>
  <c r="BA3" i="7"/>
  <c r="BB3" i="7"/>
  <c r="A4" i="7"/>
  <c r="B4" i="7"/>
  <c r="C4" i="7"/>
  <c r="D4" i="7"/>
  <c r="E4" i="7"/>
  <c r="F4" i="7"/>
  <c r="G4" i="7"/>
  <c r="H4" i="7"/>
  <c r="I4" i="7"/>
  <c r="J4" i="7"/>
  <c r="K4" i="7"/>
  <c r="L4" i="7"/>
  <c r="M4" i="7"/>
  <c r="N4" i="7"/>
  <c r="O4" i="7"/>
  <c r="P4" i="7"/>
  <c r="Q4" i="7"/>
  <c r="R4" i="7"/>
  <c r="S4" i="7"/>
  <c r="T4" i="7"/>
  <c r="U4" i="7"/>
  <c r="V4" i="7"/>
  <c r="W4" i="7"/>
  <c r="X4" i="7"/>
  <c r="Y4" i="7"/>
  <c r="Z4" i="7"/>
  <c r="AA4" i="7"/>
  <c r="AB4" i="7"/>
  <c r="AC4" i="7"/>
  <c r="AD4" i="7"/>
  <c r="AE4" i="7"/>
  <c r="AF4" i="7"/>
  <c r="AG4" i="7"/>
  <c r="AH4" i="7"/>
  <c r="AI4" i="7"/>
  <c r="AJ4" i="7"/>
  <c r="AK4" i="7"/>
  <c r="AL4" i="7"/>
  <c r="AM4" i="7"/>
  <c r="AN4" i="7"/>
  <c r="AO4" i="7"/>
  <c r="AP4" i="7"/>
  <c r="AQ4" i="7"/>
  <c r="AR4" i="7"/>
  <c r="AS4" i="7"/>
  <c r="AT4" i="7"/>
  <c r="AU4" i="7"/>
  <c r="AV4" i="7"/>
  <c r="AW4" i="7"/>
  <c r="AX4" i="7"/>
  <c r="AY4" i="7"/>
  <c r="AZ4" i="7"/>
  <c r="BA4" i="7"/>
  <c r="BB4" i="7"/>
  <c r="A5" i="7"/>
  <c r="B5" i="7"/>
  <c r="C5" i="7"/>
  <c r="D5" i="7"/>
  <c r="E5" i="7"/>
  <c r="F5" i="7"/>
  <c r="G5" i="7"/>
  <c r="H5" i="7"/>
  <c r="I5" i="7"/>
  <c r="J5" i="7"/>
  <c r="K5" i="7"/>
  <c r="L5" i="7"/>
  <c r="M5" i="7"/>
  <c r="N5" i="7"/>
  <c r="O5" i="7"/>
  <c r="P5" i="7"/>
  <c r="Q5" i="7"/>
  <c r="R5" i="7"/>
  <c r="S5" i="7"/>
  <c r="T5" i="7"/>
  <c r="U5" i="7"/>
  <c r="V5" i="7"/>
  <c r="W5" i="7"/>
  <c r="X5" i="7"/>
  <c r="Y5" i="7"/>
  <c r="Z5" i="7"/>
  <c r="AA5" i="7"/>
  <c r="AB5" i="7"/>
  <c r="AC5" i="7"/>
  <c r="AD5" i="7"/>
  <c r="AE5" i="7"/>
  <c r="AF5" i="7"/>
  <c r="AG5" i="7"/>
  <c r="AH5" i="7"/>
  <c r="AI5" i="7"/>
  <c r="AJ5" i="7"/>
  <c r="AK5" i="7"/>
  <c r="AL5" i="7"/>
  <c r="AM5" i="7"/>
  <c r="AN5" i="7"/>
  <c r="AO5" i="7"/>
  <c r="AP5" i="7"/>
  <c r="AQ5" i="7"/>
  <c r="AR5" i="7"/>
  <c r="AS5" i="7"/>
  <c r="AT5" i="7"/>
  <c r="AU5" i="7"/>
  <c r="AV5" i="7"/>
  <c r="AW5" i="7"/>
  <c r="AX5" i="7"/>
  <c r="AY5" i="7"/>
  <c r="AZ5" i="7"/>
  <c r="BA5" i="7"/>
  <c r="BB5" i="7"/>
  <c r="A6" i="7"/>
  <c r="B6" i="7"/>
  <c r="C6" i="7"/>
  <c r="D6" i="7"/>
  <c r="E6" i="7"/>
  <c r="F6" i="7"/>
  <c r="G6" i="7"/>
  <c r="H6" i="7"/>
  <c r="I6" i="7"/>
  <c r="J6" i="7"/>
  <c r="K6" i="7"/>
  <c r="L6" i="7"/>
  <c r="M6" i="7"/>
  <c r="N6" i="7"/>
  <c r="O6" i="7"/>
  <c r="P6" i="7"/>
  <c r="Q6" i="7"/>
  <c r="R6" i="7"/>
  <c r="S6" i="7"/>
  <c r="T6" i="7"/>
  <c r="U6" i="7"/>
  <c r="V6" i="7"/>
  <c r="W6" i="7"/>
  <c r="X6" i="7"/>
  <c r="Y6" i="7"/>
  <c r="Z6" i="7"/>
  <c r="AA6" i="7"/>
  <c r="AB6" i="7"/>
  <c r="AC6" i="7"/>
  <c r="AD6" i="7"/>
  <c r="AE6" i="7"/>
  <c r="AF6" i="7"/>
  <c r="AG6" i="7"/>
  <c r="AH6" i="7"/>
  <c r="AI6" i="7"/>
  <c r="AJ6" i="7"/>
  <c r="AK6" i="7"/>
  <c r="AL6" i="7"/>
  <c r="AM6" i="7"/>
  <c r="AN6" i="7"/>
  <c r="AO6" i="7"/>
  <c r="AP6" i="7"/>
  <c r="AQ6" i="7"/>
  <c r="AR6" i="7"/>
  <c r="AS6" i="7"/>
  <c r="AT6" i="7"/>
  <c r="AU6" i="7"/>
  <c r="AV6" i="7"/>
  <c r="AW6" i="7"/>
  <c r="AX6" i="7"/>
  <c r="AY6" i="7"/>
  <c r="AZ6" i="7"/>
  <c r="BA6" i="7"/>
  <c r="BB6" i="7"/>
  <c r="A7" i="7"/>
  <c r="B7" i="7"/>
  <c r="C7" i="7"/>
  <c r="D7" i="7"/>
  <c r="E7" i="7"/>
  <c r="F7" i="7"/>
  <c r="G7" i="7"/>
  <c r="H7" i="7"/>
  <c r="I7" i="7"/>
  <c r="J7" i="7"/>
  <c r="K7" i="7"/>
  <c r="L7" i="7"/>
  <c r="M7" i="7"/>
  <c r="N7" i="7"/>
  <c r="O7" i="7"/>
  <c r="P7" i="7"/>
  <c r="Q7" i="7"/>
  <c r="R7" i="7"/>
  <c r="S7" i="7"/>
  <c r="T7" i="7"/>
  <c r="U7" i="7"/>
  <c r="V7" i="7"/>
  <c r="W7" i="7"/>
  <c r="X7" i="7"/>
  <c r="Y7" i="7"/>
  <c r="Z7" i="7"/>
  <c r="AA7" i="7"/>
  <c r="AB7" i="7"/>
  <c r="AC7" i="7"/>
  <c r="AD7" i="7"/>
  <c r="AE7" i="7"/>
  <c r="AF7" i="7"/>
  <c r="AG7" i="7"/>
  <c r="AH7" i="7"/>
  <c r="AI7" i="7"/>
  <c r="AJ7" i="7"/>
  <c r="AK7" i="7"/>
  <c r="AL7" i="7"/>
  <c r="AM7" i="7"/>
  <c r="AN7" i="7"/>
  <c r="AO7" i="7"/>
  <c r="AP7" i="7"/>
  <c r="AQ7" i="7"/>
  <c r="AR7" i="7"/>
  <c r="AS7" i="7"/>
  <c r="AT7" i="7"/>
  <c r="AU7" i="7"/>
  <c r="AV7" i="7"/>
  <c r="AW7" i="7"/>
  <c r="AX7" i="7"/>
  <c r="AY7" i="7"/>
  <c r="AZ7" i="7"/>
  <c r="BA7" i="7"/>
  <c r="BB7" i="7"/>
  <c r="A8" i="7"/>
  <c r="B8" i="7"/>
  <c r="C8" i="7"/>
  <c r="D8" i="7"/>
  <c r="E8" i="7"/>
  <c r="F8" i="7"/>
  <c r="G8" i="7"/>
  <c r="H8" i="7"/>
  <c r="I8" i="7"/>
  <c r="J8" i="7"/>
  <c r="K8" i="7"/>
  <c r="L8" i="7"/>
  <c r="M8" i="7"/>
  <c r="N8" i="7"/>
  <c r="O8" i="7"/>
  <c r="P8" i="7"/>
  <c r="Q8" i="7"/>
  <c r="R8" i="7"/>
  <c r="S8" i="7"/>
  <c r="T8" i="7"/>
  <c r="U8" i="7"/>
  <c r="V8" i="7"/>
  <c r="W8" i="7"/>
  <c r="X8" i="7"/>
  <c r="Y8" i="7"/>
  <c r="Z8" i="7"/>
  <c r="AA8" i="7"/>
  <c r="AB8" i="7"/>
  <c r="AC8" i="7"/>
  <c r="AD8" i="7"/>
  <c r="AE8" i="7"/>
  <c r="AF8" i="7"/>
  <c r="AG8" i="7"/>
  <c r="AH8" i="7"/>
  <c r="AI8" i="7"/>
  <c r="AJ8" i="7"/>
  <c r="AK8" i="7"/>
  <c r="AL8" i="7"/>
  <c r="AM8" i="7"/>
  <c r="AN8" i="7"/>
  <c r="AO8" i="7"/>
  <c r="AP8" i="7"/>
  <c r="AQ8" i="7"/>
  <c r="AR8" i="7"/>
  <c r="AS8" i="7"/>
  <c r="AT8" i="7"/>
  <c r="AU8" i="7"/>
  <c r="AV8" i="7"/>
  <c r="AW8" i="7"/>
  <c r="AX8" i="7"/>
  <c r="AY8" i="7"/>
  <c r="AZ8" i="7"/>
  <c r="BA8" i="7"/>
  <c r="BB8" i="7"/>
  <c r="A9" i="7"/>
  <c r="B9" i="7"/>
  <c r="C9" i="7"/>
  <c r="D9" i="7"/>
  <c r="E9" i="7"/>
  <c r="F9" i="7"/>
  <c r="G9" i="7"/>
  <c r="H9" i="7"/>
  <c r="I9" i="7"/>
  <c r="J9" i="7"/>
  <c r="K9" i="7"/>
  <c r="L9" i="7"/>
  <c r="M9" i="7"/>
  <c r="N9" i="7"/>
  <c r="O9" i="7"/>
  <c r="P9" i="7"/>
  <c r="Q9" i="7"/>
  <c r="R9" i="7"/>
  <c r="S9" i="7"/>
  <c r="T9" i="7"/>
  <c r="U9" i="7"/>
  <c r="V9" i="7"/>
  <c r="W9" i="7"/>
  <c r="X9" i="7"/>
  <c r="Y9" i="7"/>
  <c r="Z9" i="7"/>
  <c r="AA9" i="7"/>
  <c r="AB9" i="7"/>
  <c r="AC9" i="7"/>
  <c r="AD9" i="7"/>
  <c r="AE9" i="7"/>
  <c r="AF9" i="7"/>
  <c r="AG9" i="7"/>
  <c r="AH9" i="7"/>
  <c r="AI9" i="7"/>
  <c r="AJ9" i="7"/>
  <c r="AK9" i="7"/>
  <c r="AL9" i="7"/>
  <c r="AM9" i="7"/>
  <c r="AN9" i="7"/>
  <c r="AO9" i="7"/>
  <c r="AP9" i="7"/>
  <c r="AQ9" i="7"/>
  <c r="AR9" i="7"/>
  <c r="AS9" i="7"/>
  <c r="AT9" i="7"/>
  <c r="AU9" i="7"/>
  <c r="AV9" i="7"/>
  <c r="AW9" i="7"/>
  <c r="AX9" i="7"/>
  <c r="AY9" i="7"/>
  <c r="AZ9" i="7"/>
  <c r="BA9" i="7"/>
  <c r="BB9" i="7"/>
  <c r="A10" i="7"/>
  <c r="B10" i="7"/>
  <c r="C10" i="7"/>
  <c r="D10" i="7"/>
  <c r="E10" i="7"/>
  <c r="F10" i="7"/>
  <c r="G10" i="7"/>
  <c r="H10" i="7"/>
  <c r="I10" i="7"/>
  <c r="J10" i="7"/>
  <c r="K10" i="7"/>
  <c r="L10" i="7"/>
  <c r="M10" i="7"/>
  <c r="N10" i="7"/>
  <c r="O10" i="7"/>
  <c r="P10" i="7"/>
  <c r="Q10" i="7"/>
  <c r="R10" i="7"/>
  <c r="S10" i="7"/>
  <c r="T10" i="7"/>
  <c r="U10" i="7"/>
  <c r="V10" i="7"/>
  <c r="W10" i="7"/>
  <c r="X10" i="7"/>
  <c r="Y10" i="7"/>
  <c r="Z10" i="7"/>
  <c r="AA10" i="7"/>
  <c r="AB10" i="7"/>
  <c r="AC10" i="7"/>
  <c r="AD10" i="7"/>
  <c r="AE10" i="7"/>
  <c r="AF10" i="7"/>
  <c r="AG10" i="7"/>
  <c r="AH10" i="7"/>
  <c r="AI10" i="7"/>
  <c r="AJ10" i="7"/>
  <c r="AK10" i="7"/>
  <c r="AL10" i="7"/>
  <c r="AM10" i="7"/>
  <c r="AN10" i="7"/>
  <c r="AO10" i="7"/>
  <c r="AP10" i="7"/>
  <c r="AQ10" i="7"/>
  <c r="AR10" i="7"/>
  <c r="AS10" i="7"/>
  <c r="AT10" i="7"/>
  <c r="AU10" i="7"/>
  <c r="AV10" i="7"/>
  <c r="AW10" i="7"/>
  <c r="AX10" i="7"/>
  <c r="AY10" i="7"/>
  <c r="AZ10" i="7"/>
  <c r="BA10" i="7"/>
  <c r="BB10" i="7"/>
  <c r="A11" i="7"/>
  <c r="B11" i="7"/>
  <c r="C11" i="7"/>
  <c r="D11" i="7"/>
  <c r="E11" i="7"/>
  <c r="F11" i="7"/>
  <c r="G11" i="7"/>
  <c r="H11" i="7"/>
  <c r="I11" i="7"/>
  <c r="J11" i="7"/>
  <c r="K11" i="7"/>
  <c r="L11" i="7"/>
  <c r="M11" i="7"/>
  <c r="N11" i="7"/>
  <c r="O11" i="7"/>
  <c r="P11" i="7"/>
  <c r="Q11" i="7"/>
  <c r="R11" i="7"/>
  <c r="S11" i="7"/>
  <c r="T11" i="7"/>
  <c r="U11" i="7"/>
  <c r="V11" i="7"/>
  <c r="W11" i="7"/>
  <c r="X11" i="7"/>
  <c r="Y11" i="7"/>
  <c r="Z11" i="7"/>
  <c r="AA11" i="7"/>
  <c r="AB11" i="7"/>
  <c r="AC11" i="7"/>
  <c r="AD11" i="7"/>
  <c r="AE11" i="7"/>
  <c r="AF11" i="7"/>
  <c r="AG11" i="7"/>
  <c r="AH11" i="7"/>
  <c r="AI11" i="7"/>
  <c r="AJ11" i="7"/>
  <c r="AK11" i="7"/>
  <c r="AL11" i="7"/>
  <c r="AM11" i="7"/>
  <c r="AN11" i="7"/>
  <c r="AO11" i="7"/>
  <c r="AP11" i="7"/>
  <c r="AQ11" i="7"/>
  <c r="AR11" i="7"/>
  <c r="AS11" i="7"/>
  <c r="AT11" i="7"/>
  <c r="AU11" i="7"/>
  <c r="AV11" i="7"/>
  <c r="AW11" i="7"/>
  <c r="AX11" i="7"/>
  <c r="AY11" i="7"/>
  <c r="AZ11" i="7"/>
  <c r="BA11" i="7"/>
  <c r="BB11" i="7"/>
  <c r="A12" i="7"/>
  <c r="B12" i="7"/>
  <c r="C12" i="7"/>
  <c r="D12" i="7"/>
  <c r="E12" i="7"/>
  <c r="F12" i="7"/>
  <c r="G12" i="7"/>
  <c r="H12" i="7"/>
  <c r="I12" i="7"/>
  <c r="J12" i="7"/>
  <c r="K12" i="7"/>
  <c r="L12" i="7"/>
  <c r="M12" i="7"/>
  <c r="N12" i="7"/>
  <c r="O12" i="7"/>
  <c r="P12" i="7"/>
  <c r="Q12" i="7"/>
  <c r="R12" i="7"/>
  <c r="S12" i="7"/>
  <c r="T12" i="7"/>
  <c r="U12" i="7"/>
  <c r="V12" i="7"/>
  <c r="W12" i="7"/>
  <c r="X12" i="7"/>
  <c r="Y12" i="7"/>
  <c r="Z12" i="7"/>
  <c r="AA12" i="7"/>
  <c r="AB12" i="7"/>
  <c r="AC12" i="7"/>
  <c r="AD12" i="7"/>
  <c r="AE12" i="7"/>
  <c r="AF12" i="7"/>
  <c r="AG12" i="7"/>
  <c r="AH12" i="7"/>
  <c r="AI12" i="7"/>
  <c r="AJ12" i="7"/>
  <c r="AK12" i="7"/>
  <c r="AL12" i="7"/>
  <c r="AM12" i="7"/>
  <c r="AN12" i="7"/>
  <c r="AO12" i="7"/>
  <c r="AP12" i="7"/>
  <c r="AQ12" i="7"/>
  <c r="AR12" i="7"/>
  <c r="AS12" i="7"/>
  <c r="AT12" i="7"/>
  <c r="AU12" i="7"/>
  <c r="AV12" i="7"/>
  <c r="AW12" i="7"/>
  <c r="AX12" i="7"/>
  <c r="AY12" i="7"/>
  <c r="AZ12" i="7"/>
  <c r="BA12" i="7"/>
  <c r="BB12" i="7"/>
  <c r="A13" i="7"/>
  <c r="B13" i="7"/>
  <c r="C13" i="7"/>
  <c r="D13" i="7"/>
  <c r="E13" i="7"/>
  <c r="F13" i="7"/>
  <c r="G13" i="7"/>
  <c r="H13" i="7"/>
  <c r="I13" i="7"/>
  <c r="J13" i="7"/>
  <c r="K13" i="7"/>
  <c r="L13" i="7"/>
  <c r="M13" i="7"/>
  <c r="N13" i="7"/>
  <c r="O13" i="7"/>
  <c r="P13" i="7"/>
  <c r="Q13" i="7"/>
  <c r="R13" i="7"/>
  <c r="S13" i="7"/>
  <c r="T13" i="7"/>
  <c r="U13" i="7"/>
  <c r="V13" i="7"/>
  <c r="W13" i="7"/>
  <c r="X13" i="7"/>
  <c r="Y13" i="7"/>
  <c r="Z13" i="7"/>
  <c r="AA13" i="7"/>
  <c r="AB13" i="7"/>
  <c r="AC13" i="7"/>
  <c r="AD13" i="7"/>
  <c r="AE13" i="7"/>
  <c r="AF13" i="7"/>
  <c r="AG13" i="7"/>
  <c r="AH13" i="7"/>
  <c r="AI13" i="7"/>
  <c r="AJ13" i="7"/>
  <c r="AK13" i="7"/>
  <c r="AL13" i="7"/>
  <c r="AM13" i="7"/>
  <c r="AN13" i="7"/>
  <c r="AO13" i="7"/>
  <c r="AP13" i="7"/>
  <c r="AQ13" i="7"/>
  <c r="AR13" i="7"/>
  <c r="AS13" i="7"/>
  <c r="AT13" i="7"/>
  <c r="AU13" i="7"/>
  <c r="AV13" i="7"/>
  <c r="AW13" i="7"/>
  <c r="AX13" i="7"/>
  <c r="AY13" i="7"/>
  <c r="AZ13" i="7"/>
  <c r="BA13" i="7"/>
  <c r="BB13" i="7"/>
  <c r="A14" i="7"/>
  <c r="B14" i="7"/>
  <c r="C14" i="7"/>
  <c r="D14" i="7"/>
  <c r="E14" i="7"/>
  <c r="F14" i="7"/>
  <c r="G14" i="7"/>
  <c r="H14" i="7"/>
  <c r="I14" i="7"/>
  <c r="J14" i="7"/>
  <c r="K14" i="7"/>
  <c r="L14" i="7"/>
  <c r="M14" i="7"/>
  <c r="N14" i="7"/>
  <c r="O14" i="7"/>
  <c r="P14" i="7"/>
  <c r="Q14" i="7"/>
  <c r="R14" i="7"/>
  <c r="S14" i="7"/>
  <c r="T14" i="7"/>
  <c r="U14" i="7"/>
  <c r="V14" i="7"/>
  <c r="W14" i="7"/>
  <c r="X14" i="7"/>
  <c r="Y14" i="7"/>
  <c r="Z14" i="7"/>
  <c r="AA14" i="7"/>
  <c r="AB14" i="7"/>
  <c r="AC14" i="7"/>
  <c r="AD14" i="7"/>
  <c r="AE14" i="7"/>
  <c r="AF14" i="7"/>
  <c r="AG14" i="7"/>
  <c r="AH14" i="7"/>
  <c r="AI14" i="7"/>
  <c r="AJ14" i="7"/>
  <c r="AK14" i="7"/>
  <c r="AL14" i="7"/>
  <c r="AM14" i="7"/>
  <c r="AN14" i="7"/>
  <c r="AO14" i="7"/>
  <c r="AP14" i="7"/>
  <c r="AQ14" i="7"/>
  <c r="AR14" i="7"/>
  <c r="AS14" i="7"/>
  <c r="AT14" i="7"/>
  <c r="AU14" i="7"/>
  <c r="AV14" i="7"/>
  <c r="AW14" i="7"/>
  <c r="AX14" i="7"/>
  <c r="AY14" i="7"/>
  <c r="AZ14" i="7"/>
  <c r="BA14" i="7"/>
  <c r="BB14" i="7"/>
  <c r="A15" i="7"/>
  <c r="B15" i="7"/>
  <c r="C15" i="7"/>
  <c r="D15" i="7"/>
  <c r="E15" i="7"/>
  <c r="F15" i="7"/>
  <c r="G15" i="7"/>
  <c r="H15" i="7"/>
  <c r="I15" i="7"/>
  <c r="J15" i="7"/>
  <c r="K15" i="7"/>
  <c r="L15" i="7"/>
  <c r="M15" i="7"/>
  <c r="N15" i="7"/>
  <c r="O15" i="7"/>
  <c r="P15" i="7"/>
  <c r="Q15" i="7"/>
  <c r="R15" i="7"/>
  <c r="S15" i="7"/>
  <c r="T15" i="7"/>
  <c r="U15" i="7"/>
  <c r="V15" i="7"/>
  <c r="W15" i="7"/>
  <c r="X15" i="7"/>
  <c r="Y15" i="7"/>
  <c r="Z15" i="7"/>
  <c r="AA15" i="7"/>
  <c r="AB15" i="7"/>
  <c r="AC15" i="7"/>
  <c r="AD15" i="7"/>
  <c r="AE15" i="7"/>
  <c r="AF15" i="7"/>
  <c r="AG15" i="7"/>
  <c r="AH15" i="7"/>
  <c r="AI15" i="7"/>
  <c r="AJ15" i="7"/>
  <c r="AK15" i="7"/>
  <c r="AL15" i="7"/>
  <c r="AM15" i="7"/>
  <c r="AN15" i="7"/>
  <c r="AO15" i="7"/>
  <c r="AP15" i="7"/>
  <c r="AQ15" i="7"/>
  <c r="AR15" i="7"/>
  <c r="AS15" i="7"/>
  <c r="AT15" i="7"/>
  <c r="AU15" i="7"/>
  <c r="AV15" i="7"/>
  <c r="AW15" i="7"/>
  <c r="AX15" i="7"/>
  <c r="AY15" i="7"/>
  <c r="AZ15" i="7"/>
  <c r="BA15" i="7"/>
  <c r="BB15" i="7"/>
  <c r="A16" i="7"/>
  <c r="B16" i="7"/>
  <c r="C16" i="7"/>
  <c r="D16" i="7"/>
  <c r="E16" i="7"/>
  <c r="F16" i="7"/>
  <c r="G16" i="7"/>
  <c r="H16" i="7"/>
  <c r="I16" i="7"/>
  <c r="J16" i="7"/>
  <c r="K16" i="7"/>
  <c r="L16" i="7"/>
  <c r="M16" i="7"/>
  <c r="N16" i="7"/>
  <c r="O16" i="7"/>
  <c r="P16" i="7"/>
  <c r="Q16" i="7"/>
  <c r="R16" i="7"/>
  <c r="S16" i="7"/>
  <c r="T16" i="7"/>
  <c r="U16" i="7"/>
  <c r="V16" i="7"/>
  <c r="W16" i="7"/>
  <c r="X16" i="7"/>
  <c r="Y16" i="7"/>
  <c r="Z16" i="7"/>
  <c r="AA16" i="7"/>
  <c r="AB16" i="7"/>
  <c r="AC16" i="7"/>
  <c r="AD16" i="7"/>
  <c r="AE16" i="7"/>
  <c r="AF16" i="7"/>
  <c r="AG16" i="7"/>
  <c r="AH16" i="7"/>
  <c r="AI16" i="7"/>
  <c r="AJ16" i="7"/>
  <c r="AK16" i="7"/>
  <c r="AL16" i="7"/>
  <c r="AM16" i="7"/>
  <c r="AN16" i="7"/>
  <c r="AO16" i="7"/>
  <c r="AP16" i="7"/>
  <c r="AQ16" i="7"/>
  <c r="AR16" i="7"/>
  <c r="AS16" i="7"/>
  <c r="AT16" i="7"/>
  <c r="AU16" i="7"/>
  <c r="AV16" i="7"/>
  <c r="AW16" i="7"/>
  <c r="AX16" i="7"/>
  <c r="AY16" i="7"/>
  <c r="AZ16" i="7"/>
  <c r="BA16" i="7"/>
  <c r="BB16" i="7"/>
  <c r="A17" i="7"/>
  <c r="B17" i="7"/>
  <c r="C17" i="7"/>
  <c r="D17" i="7"/>
  <c r="E17" i="7"/>
  <c r="F17" i="7"/>
  <c r="G17" i="7"/>
  <c r="H17" i="7"/>
  <c r="I17" i="7"/>
  <c r="J17" i="7"/>
  <c r="K17" i="7"/>
  <c r="L17" i="7"/>
  <c r="M17" i="7"/>
  <c r="N17" i="7"/>
  <c r="O17" i="7"/>
  <c r="P17" i="7"/>
  <c r="Q17" i="7"/>
  <c r="R17" i="7"/>
  <c r="S17" i="7"/>
  <c r="T17" i="7"/>
  <c r="U17" i="7"/>
  <c r="V17" i="7"/>
  <c r="W17" i="7"/>
  <c r="X17" i="7"/>
  <c r="Y17" i="7"/>
  <c r="Z17" i="7"/>
  <c r="AA17" i="7"/>
  <c r="AB17" i="7"/>
  <c r="AC17" i="7"/>
  <c r="AD17" i="7"/>
  <c r="AE17" i="7"/>
  <c r="AF17" i="7"/>
  <c r="AG17" i="7"/>
  <c r="AH17" i="7"/>
  <c r="AI17" i="7"/>
  <c r="AJ17" i="7"/>
  <c r="AK17" i="7"/>
  <c r="AL17" i="7"/>
  <c r="AM17" i="7"/>
  <c r="AN17" i="7"/>
  <c r="AO17" i="7"/>
  <c r="AP17" i="7"/>
  <c r="AQ17" i="7"/>
  <c r="AR17" i="7"/>
  <c r="AS17" i="7"/>
  <c r="AT17" i="7"/>
  <c r="AU17" i="7"/>
  <c r="AV17" i="7"/>
  <c r="AW17" i="7"/>
  <c r="AX17" i="7"/>
  <c r="AY17" i="7"/>
  <c r="AZ17" i="7"/>
  <c r="BA17" i="7"/>
  <c r="BB17" i="7"/>
  <c r="A18" i="7"/>
  <c r="B18" i="7"/>
  <c r="C18" i="7"/>
  <c r="D18" i="7"/>
  <c r="E18" i="7"/>
  <c r="F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T18" i="7"/>
  <c r="U18" i="7"/>
  <c r="V18" i="7"/>
  <c r="W18" i="7"/>
  <c r="X18" i="7"/>
  <c r="Y18" i="7"/>
  <c r="Z18" i="7"/>
  <c r="AA18" i="7"/>
  <c r="AB18" i="7"/>
  <c r="AC18" i="7"/>
  <c r="AD18" i="7"/>
  <c r="AE18" i="7"/>
  <c r="AF18" i="7"/>
  <c r="AG18" i="7"/>
  <c r="AH18" i="7"/>
  <c r="AI18" i="7"/>
  <c r="AJ18" i="7"/>
  <c r="AK18" i="7"/>
  <c r="AL18" i="7"/>
  <c r="AM18" i="7"/>
  <c r="AN18" i="7"/>
  <c r="AO18" i="7"/>
  <c r="AP18" i="7"/>
  <c r="AQ18" i="7"/>
  <c r="AR18" i="7"/>
  <c r="AS18" i="7"/>
  <c r="AT18" i="7"/>
  <c r="AU18" i="7"/>
  <c r="AV18" i="7"/>
  <c r="AW18" i="7"/>
  <c r="AX18" i="7"/>
  <c r="AY18" i="7"/>
  <c r="AZ18" i="7"/>
  <c r="BA18" i="7"/>
  <c r="BB18" i="7"/>
  <c r="A19" i="7"/>
  <c r="B19" i="7"/>
  <c r="C19" i="7"/>
  <c r="D19" i="7"/>
  <c r="E19" i="7"/>
  <c r="F19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T19" i="7"/>
  <c r="U19" i="7"/>
  <c r="V19" i="7"/>
  <c r="W19" i="7"/>
  <c r="X19" i="7"/>
  <c r="Y19" i="7"/>
  <c r="Z19" i="7"/>
  <c r="AA19" i="7"/>
  <c r="AB19" i="7"/>
  <c r="AC19" i="7"/>
  <c r="AD19" i="7"/>
  <c r="AE19" i="7"/>
  <c r="AF19" i="7"/>
  <c r="AG19" i="7"/>
  <c r="AH19" i="7"/>
  <c r="AI19" i="7"/>
  <c r="AJ19" i="7"/>
  <c r="AK19" i="7"/>
  <c r="AL19" i="7"/>
  <c r="AM19" i="7"/>
  <c r="AN19" i="7"/>
  <c r="AO19" i="7"/>
  <c r="AP19" i="7"/>
  <c r="AQ19" i="7"/>
  <c r="AR19" i="7"/>
  <c r="AS19" i="7"/>
  <c r="AT19" i="7"/>
  <c r="AU19" i="7"/>
  <c r="AV19" i="7"/>
  <c r="AW19" i="7"/>
  <c r="AX19" i="7"/>
  <c r="AY19" i="7"/>
  <c r="AZ19" i="7"/>
  <c r="BA19" i="7"/>
  <c r="BB19" i="7"/>
  <c r="A20" i="7"/>
  <c r="B20" i="7"/>
  <c r="C20" i="7"/>
  <c r="D20" i="7"/>
  <c r="E20" i="7"/>
  <c r="F20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T20" i="7"/>
  <c r="U20" i="7"/>
  <c r="V20" i="7"/>
  <c r="W20" i="7"/>
  <c r="X20" i="7"/>
  <c r="Y20" i="7"/>
  <c r="Z20" i="7"/>
  <c r="AA20" i="7"/>
  <c r="AB20" i="7"/>
  <c r="AC20" i="7"/>
  <c r="AD20" i="7"/>
  <c r="AE20" i="7"/>
  <c r="AF20" i="7"/>
  <c r="AG20" i="7"/>
  <c r="AH20" i="7"/>
  <c r="AI20" i="7"/>
  <c r="AJ20" i="7"/>
  <c r="AK20" i="7"/>
  <c r="AL20" i="7"/>
  <c r="AM20" i="7"/>
  <c r="AN20" i="7"/>
  <c r="AO20" i="7"/>
  <c r="AP20" i="7"/>
  <c r="AQ20" i="7"/>
  <c r="AR20" i="7"/>
  <c r="AS20" i="7"/>
  <c r="AT20" i="7"/>
  <c r="AU20" i="7"/>
  <c r="AV20" i="7"/>
  <c r="AW20" i="7"/>
  <c r="AX20" i="7"/>
  <c r="AY20" i="7"/>
  <c r="AZ20" i="7"/>
  <c r="BA20" i="7"/>
  <c r="BB20" i="7"/>
  <c r="A21" i="7"/>
  <c r="B21" i="7"/>
  <c r="C21" i="7"/>
  <c r="D21" i="7"/>
  <c r="E21" i="7"/>
  <c r="F21" i="7"/>
  <c r="G21" i="7"/>
  <c r="H21" i="7"/>
  <c r="I21" i="7"/>
  <c r="J21" i="7"/>
  <c r="K21" i="7"/>
  <c r="L21" i="7"/>
  <c r="M21" i="7"/>
  <c r="N21" i="7"/>
  <c r="O21" i="7"/>
  <c r="P21" i="7"/>
  <c r="Q21" i="7"/>
  <c r="R21" i="7"/>
  <c r="S21" i="7"/>
  <c r="T21" i="7"/>
  <c r="U21" i="7"/>
  <c r="V21" i="7"/>
  <c r="W21" i="7"/>
  <c r="X21" i="7"/>
  <c r="Y21" i="7"/>
  <c r="Z21" i="7"/>
  <c r="AA21" i="7"/>
  <c r="AB21" i="7"/>
  <c r="AC21" i="7"/>
  <c r="AD21" i="7"/>
  <c r="AE21" i="7"/>
  <c r="AF21" i="7"/>
  <c r="AG21" i="7"/>
  <c r="AH21" i="7"/>
  <c r="AI21" i="7"/>
  <c r="AJ21" i="7"/>
  <c r="AK21" i="7"/>
  <c r="AL21" i="7"/>
  <c r="AM21" i="7"/>
  <c r="AN21" i="7"/>
  <c r="AO21" i="7"/>
  <c r="AP21" i="7"/>
  <c r="AQ21" i="7"/>
  <c r="AR21" i="7"/>
  <c r="AS21" i="7"/>
  <c r="AT21" i="7"/>
  <c r="AU21" i="7"/>
  <c r="AV21" i="7"/>
  <c r="AW21" i="7"/>
  <c r="AX21" i="7"/>
  <c r="AY21" i="7"/>
  <c r="AZ21" i="7"/>
  <c r="BA21" i="7"/>
  <c r="BB21" i="7"/>
  <c r="A22" i="7"/>
  <c r="B22" i="7"/>
  <c r="C22" i="7"/>
  <c r="D22" i="7"/>
  <c r="E22" i="7"/>
  <c r="F22" i="7"/>
  <c r="G22" i="7"/>
  <c r="H22" i="7"/>
  <c r="I22" i="7"/>
  <c r="J22" i="7"/>
  <c r="K22" i="7"/>
  <c r="L22" i="7"/>
  <c r="M22" i="7"/>
  <c r="N22" i="7"/>
  <c r="O22" i="7"/>
  <c r="P22" i="7"/>
  <c r="Q22" i="7"/>
  <c r="R22" i="7"/>
  <c r="S22" i="7"/>
  <c r="T22" i="7"/>
  <c r="U22" i="7"/>
  <c r="V22" i="7"/>
  <c r="W22" i="7"/>
  <c r="X22" i="7"/>
  <c r="Y22" i="7"/>
  <c r="Z22" i="7"/>
  <c r="AA22" i="7"/>
  <c r="AB22" i="7"/>
  <c r="AC22" i="7"/>
  <c r="AD22" i="7"/>
  <c r="AE22" i="7"/>
  <c r="AF22" i="7"/>
  <c r="AG22" i="7"/>
  <c r="AH22" i="7"/>
  <c r="AI22" i="7"/>
  <c r="AJ22" i="7"/>
  <c r="AK22" i="7"/>
  <c r="AL22" i="7"/>
  <c r="AM22" i="7"/>
  <c r="AN22" i="7"/>
  <c r="AO22" i="7"/>
  <c r="AP22" i="7"/>
  <c r="AQ22" i="7"/>
  <c r="AR22" i="7"/>
  <c r="AS22" i="7"/>
  <c r="AT22" i="7"/>
  <c r="AU22" i="7"/>
  <c r="AV22" i="7"/>
  <c r="AW22" i="7"/>
  <c r="AX22" i="7"/>
  <c r="AY22" i="7"/>
  <c r="AZ22" i="7"/>
  <c r="BA22" i="7"/>
  <c r="BB22" i="7"/>
  <c r="A23" i="7"/>
  <c r="B23" i="7"/>
  <c r="C23" i="7"/>
  <c r="D23" i="7"/>
  <c r="E23" i="7"/>
  <c r="F23" i="7"/>
  <c r="G23" i="7"/>
  <c r="H23" i="7"/>
  <c r="I23" i="7"/>
  <c r="J23" i="7"/>
  <c r="K23" i="7"/>
  <c r="L23" i="7"/>
  <c r="M23" i="7"/>
  <c r="N23" i="7"/>
  <c r="O23" i="7"/>
  <c r="P23" i="7"/>
  <c r="Q23" i="7"/>
  <c r="R23" i="7"/>
  <c r="S23" i="7"/>
  <c r="T23" i="7"/>
  <c r="U23" i="7"/>
  <c r="V23" i="7"/>
  <c r="W23" i="7"/>
  <c r="X23" i="7"/>
  <c r="Y23" i="7"/>
  <c r="Z23" i="7"/>
  <c r="AA23" i="7"/>
  <c r="AB23" i="7"/>
  <c r="AC23" i="7"/>
  <c r="AD23" i="7"/>
  <c r="AE23" i="7"/>
  <c r="AF23" i="7"/>
  <c r="AG23" i="7"/>
  <c r="AH23" i="7"/>
  <c r="AI23" i="7"/>
  <c r="AJ23" i="7"/>
  <c r="AK23" i="7"/>
  <c r="AL23" i="7"/>
  <c r="AM23" i="7"/>
  <c r="AN23" i="7"/>
  <c r="AO23" i="7"/>
  <c r="AP23" i="7"/>
  <c r="AQ23" i="7"/>
  <c r="AR23" i="7"/>
  <c r="AS23" i="7"/>
  <c r="AT23" i="7"/>
  <c r="AU23" i="7"/>
  <c r="AV23" i="7"/>
  <c r="AW23" i="7"/>
  <c r="AX23" i="7"/>
  <c r="AY23" i="7"/>
  <c r="AZ23" i="7"/>
  <c r="BA23" i="7"/>
  <c r="BB23" i="7"/>
  <c r="A24" i="7"/>
  <c r="B24" i="7"/>
  <c r="C24" i="7"/>
  <c r="D24" i="7"/>
  <c r="E24" i="7"/>
  <c r="F24" i="7"/>
  <c r="G24" i="7"/>
  <c r="H24" i="7"/>
  <c r="I24" i="7"/>
  <c r="J24" i="7"/>
  <c r="K24" i="7"/>
  <c r="L24" i="7"/>
  <c r="M24" i="7"/>
  <c r="N24" i="7"/>
  <c r="O24" i="7"/>
  <c r="P24" i="7"/>
  <c r="Q24" i="7"/>
  <c r="R24" i="7"/>
  <c r="S24" i="7"/>
  <c r="T24" i="7"/>
  <c r="U24" i="7"/>
  <c r="V24" i="7"/>
  <c r="W24" i="7"/>
  <c r="X24" i="7"/>
  <c r="Y24" i="7"/>
  <c r="Z24" i="7"/>
  <c r="AA24" i="7"/>
  <c r="AB24" i="7"/>
  <c r="AC24" i="7"/>
  <c r="AD24" i="7"/>
  <c r="AE24" i="7"/>
  <c r="AF24" i="7"/>
  <c r="AG24" i="7"/>
  <c r="AH24" i="7"/>
  <c r="AI24" i="7"/>
  <c r="AJ24" i="7"/>
  <c r="AK24" i="7"/>
  <c r="AL24" i="7"/>
  <c r="AM24" i="7"/>
  <c r="AN24" i="7"/>
  <c r="AO24" i="7"/>
  <c r="AP24" i="7"/>
  <c r="AQ24" i="7"/>
  <c r="AR24" i="7"/>
  <c r="AS24" i="7"/>
  <c r="AT24" i="7"/>
  <c r="AU24" i="7"/>
  <c r="AV24" i="7"/>
  <c r="AW24" i="7"/>
  <c r="AX24" i="7"/>
  <c r="AY24" i="7"/>
  <c r="AZ24" i="7"/>
  <c r="BA24" i="7"/>
  <c r="BB24" i="7"/>
  <c r="A25" i="7"/>
  <c r="B25" i="7"/>
  <c r="C25" i="7"/>
  <c r="D25" i="7"/>
  <c r="E25" i="7"/>
  <c r="F25" i="7"/>
  <c r="G25" i="7"/>
  <c r="H25" i="7"/>
  <c r="I25" i="7"/>
  <c r="J25" i="7"/>
  <c r="K25" i="7"/>
  <c r="L25" i="7"/>
  <c r="M25" i="7"/>
  <c r="N25" i="7"/>
  <c r="O25" i="7"/>
  <c r="P25" i="7"/>
  <c r="Q25" i="7"/>
  <c r="R25" i="7"/>
  <c r="S25" i="7"/>
  <c r="T25" i="7"/>
  <c r="U25" i="7"/>
  <c r="V25" i="7"/>
  <c r="W25" i="7"/>
  <c r="X25" i="7"/>
  <c r="Y25" i="7"/>
  <c r="Z25" i="7"/>
  <c r="AA25" i="7"/>
  <c r="AB25" i="7"/>
  <c r="AC25" i="7"/>
  <c r="AD25" i="7"/>
  <c r="AE25" i="7"/>
  <c r="AF25" i="7"/>
  <c r="AG25" i="7"/>
  <c r="AH25" i="7"/>
  <c r="AI25" i="7"/>
  <c r="AJ25" i="7"/>
  <c r="AK25" i="7"/>
  <c r="AL25" i="7"/>
  <c r="AM25" i="7"/>
  <c r="AN25" i="7"/>
  <c r="AO25" i="7"/>
  <c r="AP25" i="7"/>
  <c r="AQ25" i="7"/>
  <c r="AR25" i="7"/>
  <c r="AS25" i="7"/>
  <c r="AT25" i="7"/>
  <c r="AU25" i="7"/>
  <c r="AV25" i="7"/>
  <c r="AW25" i="7"/>
  <c r="AX25" i="7"/>
  <c r="AY25" i="7"/>
  <c r="AZ25" i="7"/>
  <c r="BA25" i="7"/>
  <c r="BB25" i="7"/>
  <c r="A26" i="7"/>
  <c r="B26" i="7"/>
  <c r="C26" i="7"/>
  <c r="D26" i="7"/>
  <c r="E26" i="7"/>
  <c r="F26" i="7"/>
  <c r="G26" i="7"/>
  <c r="H26" i="7"/>
  <c r="I26" i="7"/>
  <c r="J26" i="7"/>
  <c r="K26" i="7"/>
  <c r="L26" i="7"/>
  <c r="M26" i="7"/>
  <c r="N26" i="7"/>
  <c r="O26" i="7"/>
  <c r="P26" i="7"/>
  <c r="Q26" i="7"/>
  <c r="R26" i="7"/>
  <c r="S26" i="7"/>
  <c r="T26" i="7"/>
  <c r="U26" i="7"/>
  <c r="V26" i="7"/>
  <c r="W26" i="7"/>
  <c r="X26" i="7"/>
  <c r="Y26" i="7"/>
  <c r="Z26" i="7"/>
  <c r="AA26" i="7"/>
  <c r="AB26" i="7"/>
  <c r="AC26" i="7"/>
  <c r="AD26" i="7"/>
  <c r="AE26" i="7"/>
  <c r="AF26" i="7"/>
  <c r="AG26" i="7"/>
  <c r="AH26" i="7"/>
  <c r="AI26" i="7"/>
  <c r="AJ26" i="7"/>
  <c r="AK26" i="7"/>
  <c r="AL26" i="7"/>
  <c r="AM26" i="7"/>
  <c r="AN26" i="7"/>
  <c r="AO26" i="7"/>
  <c r="AP26" i="7"/>
  <c r="AQ26" i="7"/>
  <c r="AR26" i="7"/>
  <c r="AS26" i="7"/>
  <c r="AT26" i="7"/>
  <c r="AU26" i="7"/>
  <c r="AV26" i="7"/>
  <c r="AW26" i="7"/>
  <c r="AX26" i="7"/>
  <c r="AY26" i="7"/>
  <c r="AZ26" i="7"/>
  <c r="BA26" i="7"/>
  <c r="BB26" i="7"/>
  <c r="A27" i="7"/>
  <c r="B27" i="7"/>
  <c r="C27" i="7"/>
  <c r="D27" i="7"/>
  <c r="E27" i="7"/>
  <c r="F27" i="7"/>
  <c r="G27" i="7"/>
  <c r="H27" i="7"/>
  <c r="I27" i="7"/>
  <c r="J27" i="7"/>
  <c r="K27" i="7"/>
  <c r="L27" i="7"/>
  <c r="M27" i="7"/>
  <c r="N27" i="7"/>
  <c r="O27" i="7"/>
  <c r="P27" i="7"/>
  <c r="Q27" i="7"/>
  <c r="R27" i="7"/>
  <c r="S27" i="7"/>
  <c r="T27" i="7"/>
  <c r="U27" i="7"/>
  <c r="V27" i="7"/>
  <c r="W27" i="7"/>
  <c r="X27" i="7"/>
  <c r="Y27" i="7"/>
  <c r="Z27" i="7"/>
  <c r="AA27" i="7"/>
  <c r="AB27" i="7"/>
  <c r="AC27" i="7"/>
  <c r="AD27" i="7"/>
  <c r="AE27" i="7"/>
  <c r="AF27" i="7"/>
  <c r="AG27" i="7"/>
  <c r="AH27" i="7"/>
  <c r="AI27" i="7"/>
  <c r="AJ27" i="7"/>
  <c r="AK27" i="7"/>
  <c r="AL27" i="7"/>
  <c r="AM27" i="7"/>
  <c r="AN27" i="7"/>
  <c r="AO27" i="7"/>
  <c r="AP27" i="7"/>
  <c r="AQ27" i="7"/>
  <c r="AR27" i="7"/>
  <c r="AS27" i="7"/>
  <c r="AT27" i="7"/>
  <c r="AU27" i="7"/>
  <c r="AV27" i="7"/>
  <c r="AW27" i="7"/>
  <c r="AX27" i="7"/>
  <c r="AY27" i="7"/>
  <c r="AZ27" i="7"/>
  <c r="BA27" i="7"/>
  <c r="BB27" i="7"/>
  <c r="A28" i="7"/>
  <c r="B28" i="7"/>
  <c r="C28" i="7"/>
  <c r="D28" i="7"/>
  <c r="E28" i="7"/>
  <c r="F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T28" i="7"/>
  <c r="U28" i="7"/>
  <c r="V28" i="7"/>
  <c r="W28" i="7"/>
  <c r="X28" i="7"/>
  <c r="Y28" i="7"/>
  <c r="Z28" i="7"/>
  <c r="AA28" i="7"/>
  <c r="AB28" i="7"/>
  <c r="AC28" i="7"/>
  <c r="AD28" i="7"/>
  <c r="AE28" i="7"/>
  <c r="AF28" i="7"/>
  <c r="AG28" i="7"/>
  <c r="AH28" i="7"/>
  <c r="AI28" i="7"/>
  <c r="AJ28" i="7"/>
  <c r="AK28" i="7"/>
  <c r="AL28" i="7"/>
  <c r="AM28" i="7"/>
  <c r="AN28" i="7"/>
  <c r="AO28" i="7"/>
  <c r="AP28" i="7"/>
  <c r="AQ28" i="7"/>
  <c r="AR28" i="7"/>
  <c r="AS28" i="7"/>
  <c r="AT28" i="7"/>
  <c r="AU28" i="7"/>
  <c r="AV28" i="7"/>
  <c r="AW28" i="7"/>
  <c r="AX28" i="7"/>
  <c r="AY28" i="7"/>
  <c r="AZ28" i="7"/>
  <c r="BA28" i="7"/>
  <c r="BB28" i="7"/>
  <c r="A29" i="7"/>
  <c r="B29" i="7"/>
  <c r="C29" i="7"/>
  <c r="D29" i="7"/>
  <c r="E29" i="7"/>
  <c r="F29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T29" i="7"/>
  <c r="U29" i="7"/>
  <c r="V29" i="7"/>
  <c r="W29" i="7"/>
  <c r="X29" i="7"/>
  <c r="Y29" i="7"/>
  <c r="Z29" i="7"/>
  <c r="AA29" i="7"/>
  <c r="AB29" i="7"/>
  <c r="AC29" i="7"/>
  <c r="AD29" i="7"/>
  <c r="AE29" i="7"/>
  <c r="AF29" i="7"/>
  <c r="AG29" i="7"/>
  <c r="AH29" i="7"/>
  <c r="AI29" i="7"/>
  <c r="AJ29" i="7"/>
  <c r="AK29" i="7"/>
  <c r="AL29" i="7"/>
  <c r="AM29" i="7"/>
  <c r="AN29" i="7"/>
  <c r="AO29" i="7"/>
  <c r="AP29" i="7"/>
  <c r="AQ29" i="7"/>
  <c r="AR29" i="7"/>
  <c r="AS29" i="7"/>
  <c r="AT29" i="7"/>
  <c r="AU29" i="7"/>
  <c r="AV29" i="7"/>
  <c r="AW29" i="7"/>
  <c r="AX29" i="7"/>
  <c r="AY29" i="7"/>
  <c r="AZ29" i="7"/>
  <c r="BA29" i="7"/>
  <c r="BB29" i="7"/>
  <c r="A30" i="7"/>
  <c r="B30" i="7"/>
  <c r="C30" i="7"/>
  <c r="D30" i="7"/>
  <c r="E30" i="7"/>
  <c r="F30" i="7"/>
  <c r="G30" i="7"/>
  <c r="H30" i="7"/>
  <c r="I30" i="7"/>
  <c r="J30" i="7"/>
  <c r="K30" i="7"/>
  <c r="L30" i="7"/>
  <c r="M30" i="7"/>
  <c r="N30" i="7"/>
  <c r="O30" i="7"/>
  <c r="P30" i="7"/>
  <c r="Q30" i="7"/>
  <c r="R30" i="7"/>
  <c r="S30" i="7"/>
  <c r="T30" i="7"/>
  <c r="U30" i="7"/>
  <c r="V30" i="7"/>
  <c r="W30" i="7"/>
  <c r="X30" i="7"/>
  <c r="Y30" i="7"/>
  <c r="Z30" i="7"/>
  <c r="AA30" i="7"/>
  <c r="AB30" i="7"/>
  <c r="AC30" i="7"/>
  <c r="AD30" i="7"/>
  <c r="AE30" i="7"/>
  <c r="AF30" i="7"/>
  <c r="AG30" i="7"/>
  <c r="AH30" i="7"/>
  <c r="AI30" i="7"/>
  <c r="AJ30" i="7"/>
  <c r="AK30" i="7"/>
  <c r="AL30" i="7"/>
  <c r="AM30" i="7"/>
  <c r="AN30" i="7"/>
  <c r="AO30" i="7"/>
  <c r="AP30" i="7"/>
  <c r="AQ30" i="7"/>
  <c r="AR30" i="7"/>
  <c r="AS30" i="7"/>
  <c r="AT30" i="7"/>
  <c r="AU30" i="7"/>
  <c r="AV30" i="7"/>
  <c r="AW30" i="7"/>
  <c r="AX30" i="7"/>
  <c r="AY30" i="7"/>
  <c r="AZ30" i="7"/>
  <c r="BA30" i="7"/>
  <c r="BB30" i="7"/>
  <c r="A31" i="7"/>
  <c r="B31" i="7"/>
  <c r="C31" i="7"/>
  <c r="D31" i="7"/>
  <c r="E31" i="7"/>
  <c r="F31" i="7"/>
  <c r="G31" i="7"/>
  <c r="H31" i="7"/>
  <c r="I31" i="7"/>
  <c r="J31" i="7"/>
  <c r="K31" i="7"/>
  <c r="L31" i="7"/>
  <c r="M31" i="7"/>
  <c r="N31" i="7"/>
  <c r="O31" i="7"/>
  <c r="P31" i="7"/>
  <c r="Q31" i="7"/>
  <c r="R31" i="7"/>
  <c r="S31" i="7"/>
  <c r="T31" i="7"/>
  <c r="U31" i="7"/>
  <c r="V31" i="7"/>
  <c r="W31" i="7"/>
  <c r="X31" i="7"/>
  <c r="Y31" i="7"/>
  <c r="Z31" i="7"/>
  <c r="AA31" i="7"/>
  <c r="AB31" i="7"/>
  <c r="AC31" i="7"/>
  <c r="AD31" i="7"/>
  <c r="AE31" i="7"/>
  <c r="AF31" i="7"/>
  <c r="AG31" i="7"/>
  <c r="AH31" i="7"/>
  <c r="AI31" i="7"/>
  <c r="AJ31" i="7"/>
  <c r="AK31" i="7"/>
  <c r="AL31" i="7"/>
  <c r="AM31" i="7"/>
  <c r="AN31" i="7"/>
  <c r="AO31" i="7"/>
  <c r="AP31" i="7"/>
  <c r="AQ31" i="7"/>
  <c r="AR31" i="7"/>
  <c r="AS31" i="7"/>
  <c r="AT31" i="7"/>
  <c r="AU31" i="7"/>
  <c r="AV31" i="7"/>
  <c r="AW31" i="7"/>
  <c r="AX31" i="7"/>
  <c r="AY31" i="7"/>
  <c r="AZ31" i="7"/>
  <c r="BA31" i="7"/>
  <c r="BB31" i="7"/>
  <c r="A32" i="7"/>
  <c r="B32" i="7"/>
  <c r="C32" i="7"/>
  <c r="D32" i="7"/>
  <c r="E32" i="7"/>
  <c r="F32" i="7"/>
  <c r="G32" i="7"/>
  <c r="H32" i="7"/>
  <c r="I32" i="7"/>
  <c r="J32" i="7"/>
  <c r="K32" i="7"/>
  <c r="L32" i="7"/>
  <c r="M32" i="7"/>
  <c r="N32" i="7"/>
  <c r="O32" i="7"/>
  <c r="P32" i="7"/>
  <c r="Q32" i="7"/>
  <c r="R32" i="7"/>
  <c r="S32" i="7"/>
  <c r="T32" i="7"/>
  <c r="U32" i="7"/>
  <c r="V32" i="7"/>
  <c r="W32" i="7"/>
  <c r="X32" i="7"/>
  <c r="Y32" i="7"/>
  <c r="Z32" i="7"/>
  <c r="AA32" i="7"/>
  <c r="AB32" i="7"/>
  <c r="AC32" i="7"/>
  <c r="AD32" i="7"/>
  <c r="AE32" i="7"/>
  <c r="AF32" i="7"/>
  <c r="AG32" i="7"/>
  <c r="AH32" i="7"/>
  <c r="AI32" i="7"/>
  <c r="AJ32" i="7"/>
  <c r="AK32" i="7"/>
  <c r="AL32" i="7"/>
  <c r="AM32" i="7"/>
  <c r="AN32" i="7"/>
  <c r="AO32" i="7"/>
  <c r="AP32" i="7"/>
  <c r="AQ32" i="7"/>
  <c r="AR32" i="7"/>
  <c r="AS32" i="7"/>
  <c r="AT32" i="7"/>
  <c r="AU32" i="7"/>
  <c r="AV32" i="7"/>
  <c r="AW32" i="7"/>
  <c r="AX32" i="7"/>
  <c r="AY32" i="7"/>
  <c r="AZ32" i="7"/>
  <c r="BA32" i="7"/>
  <c r="BB32" i="7"/>
  <c r="A33" i="7"/>
  <c r="B33" i="7"/>
  <c r="C33" i="7"/>
  <c r="D33" i="7"/>
  <c r="E33" i="7"/>
  <c r="F33" i="7"/>
  <c r="G33" i="7"/>
  <c r="H33" i="7"/>
  <c r="I33" i="7"/>
  <c r="J33" i="7"/>
  <c r="K33" i="7"/>
  <c r="L33" i="7"/>
  <c r="M33" i="7"/>
  <c r="N33" i="7"/>
  <c r="O33" i="7"/>
  <c r="P33" i="7"/>
  <c r="Q33" i="7"/>
  <c r="R33" i="7"/>
  <c r="S33" i="7"/>
  <c r="T33" i="7"/>
  <c r="U33" i="7"/>
  <c r="V33" i="7"/>
  <c r="W33" i="7"/>
  <c r="X33" i="7"/>
  <c r="Y33" i="7"/>
  <c r="Z33" i="7"/>
  <c r="AA33" i="7"/>
  <c r="AB33" i="7"/>
  <c r="AC33" i="7"/>
  <c r="AD33" i="7"/>
  <c r="AE33" i="7"/>
  <c r="AF33" i="7"/>
  <c r="AG33" i="7"/>
  <c r="AH33" i="7"/>
  <c r="AI33" i="7"/>
  <c r="AJ33" i="7"/>
  <c r="AK33" i="7"/>
  <c r="AL33" i="7"/>
  <c r="AM33" i="7"/>
  <c r="AN33" i="7"/>
  <c r="AO33" i="7"/>
  <c r="AP33" i="7"/>
  <c r="AQ33" i="7"/>
  <c r="AR33" i="7"/>
  <c r="AS33" i="7"/>
  <c r="AT33" i="7"/>
  <c r="AU33" i="7"/>
  <c r="AV33" i="7"/>
  <c r="AW33" i="7"/>
  <c r="AX33" i="7"/>
  <c r="AY33" i="7"/>
  <c r="AZ33" i="7"/>
  <c r="BA33" i="7"/>
  <c r="BB33" i="7"/>
  <c r="A34" i="7"/>
  <c r="B34" i="7"/>
  <c r="C34" i="7"/>
  <c r="D34" i="7"/>
  <c r="E34" i="7"/>
  <c r="F34" i="7"/>
  <c r="G34" i="7"/>
  <c r="H34" i="7"/>
  <c r="I34" i="7"/>
  <c r="J34" i="7"/>
  <c r="K34" i="7"/>
  <c r="L34" i="7"/>
  <c r="M34" i="7"/>
  <c r="N34" i="7"/>
  <c r="O34" i="7"/>
  <c r="P34" i="7"/>
  <c r="Q34" i="7"/>
  <c r="R34" i="7"/>
  <c r="S34" i="7"/>
  <c r="T34" i="7"/>
  <c r="U34" i="7"/>
  <c r="V34" i="7"/>
  <c r="W34" i="7"/>
  <c r="X34" i="7"/>
  <c r="Y34" i="7"/>
  <c r="Z34" i="7"/>
  <c r="AA34" i="7"/>
  <c r="AB34" i="7"/>
  <c r="AC34" i="7"/>
  <c r="AD34" i="7"/>
  <c r="AE34" i="7"/>
  <c r="AF34" i="7"/>
  <c r="AG34" i="7"/>
  <c r="AH34" i="7"/>
  <c r="AI34" i="7"/>
  <c r="AJ34" i="7"/>
  <c r="AK34" i="7"/>
  <c r="AL34" i="7"/>
  <c r="AM34" i="7"/>
  <c r="AN34" i="7"/>
  <c r="AO34" i="7"/>
  <c r="AP34" i="7"/>
  <c r="AQ34" i="7"/>
  <c r="AR34" i="7"/>
  <c r="AS34" i="7"/>
  <c r="AT34" i="7"/>
  <c r="AU34" i="7"/>
  <c r="AV34" i="7"/>
  <c r="AW34" i="7"/>
  <c r="AX34" i="7"/>
  <c r="AY34" i="7"/>
  <c r="AZ34" i="7"/>
  <c r="BA34" i="7"/>
  <c r="BB34" i="7"/>
  <c r="A35" i="7"/>
  <c r="B35" i="7"/>
  <c r="C35" i="7"/>
  <c r="D35" i="7"/>
  <c r="E35" i="7"/>
  <c r="F35" i="7"/>
  <c r="G35" i="7"/>
  <c r="H35" i="7"/>
  <c r="I35" i="7"/>
  <c r="J35" i="7"/>
  <c r="K35" i="7"/>
  <c r="L35" i="7"/>
  <c r="M35" i="7"/>
  <c r="N35" i="7"/>
  <c r="O35" i="7"/>
  <c r="P35" i="7"/>
  <c r="Q35" i="7"/>
  <c r="R35" i="7"/>
  <c r="S35" i="7"/>
  <c r="T35" i="7"/>
  <c r="U35" i="7"/>
  <c r="V35" i="7"/>
  <c r="W35" i="7"/>
  <c r="X35" i="7"/>
  <c r="Y35" i="7"/>
  <c r="Z35" i="7"/>
  <c r="AA35" i="7"/>
  <c r="AB35" i="7"/>
  <c r="AC35" i="7"/>
  <c r="AD35" i="7"/>
  <c r="AE35" i="7"/>
  <c r="AF35" i="7"/>
  <c r="AG35" i="7"/>
  <c r="AH35" i="7"/>
  <c r="AI35" i="7"/>
  <c r="AJ35" i="7"/>
  <c r="AK35" i="7"/>
  <c r="AL35" i="7"/>
  <c r="AM35" i="7"/>
  <c r="AN35" i="7"/>
  <c r="AO35" i="7"/>
  <c r="AP35" i="7"/>
  <c r="AQ35" i="7"/>
  <c r="AR35" i="7"/>
  <c r="AS35" i="7"/>
  <c r="AT35" i="7"/>
  <c r="AU35" i="7"/>
  <c r="AV35" i="7"/>
  <c r="AW35" i="7"/>
  <c r="AX35" i="7"/>
  <c r="AY35" i="7"/>
  <c r="AZ35" i="7"/>
  <c r="BA35" i="7"/>
  <c r="BB35" i="7"/>
  <c r="A36" i="7"/>
  <c r="B36" i="7"/>
  <c r="C36" i="7"/>
  <c r="D36" i="7"/>
  <c r="E36" i="7"/>
  <c r="F36" i="7"/>
  <c r="G36" i="7"/>
  <c r="H36" i="7"/>
  <c r="I36" i="7"/>
  <c r="J36" i="7"/>
  <c r="K36" i="7"/>
  <c r="L36" i="7"/>
  <c r="M36" i="7"/>
  <c r="N36" i="7"/>
  <c r="O36" i="7"/>
  <c r="P36" i="7"/>
  <c r="Q36" i="7"/>
  <c r="R36" i="7"/>
  <c r="S36" i="7"/>
  <c r="T36" i="7"/>
  <c r="U36" i="7"/>
  <c r="V36" i="7"/>
  <c r="W36" i="7"/>
  <c r="X36" i="7"/>
  <c r="Y36" i="7"/>
  <c r="Z36" i="7"/>
  <c r="AA36" i="7"/>
  <c r="AB36" i="7"/>
  <c r="AC36" i="7"/>
  <c r="AD36" i="7"/>
  <c r="AE36" i="7"/>
  <c r="AF36" i="7"/>
  <c r="AG36" i="7"/>
  <c r="AH36" i="7"/>
  <c r="AI36" i="7"/>
  <c r="AJ36" i="7"/>
  <c r="AK36" i="7"/>
  <c r="AL36" i="7"/>
  <c r="AM36" i="7"/>
  <c r="AN36" i="7"/>
  <c r="AO36" i="7"/>
  <c r="AP36" i="7"/>
  <c r="AQ36" i="7"/>
  <c r="AR36" i="7"/>
  <c r="AS36" i="7"/>
  <c r="AT36" i="7"/>
  <c r="AU36" i="7"/>
  <c r="AV36" i="7"/>
  <c r="AW36" i="7"/>
  <c r="AX36" i="7"/>
  <c r="AY36" i="7"/>
  <c r="AZ36" i="7"/>
  <c r="BA36" i="7"/>
  <c r="BB36" i="7"/>
  <c r="A37" i="7"/>
  <c r="B37" i="7"/>
  <c r="C37" i="7"/>
  <c r="D37" i="7"/>
  <c r="E37" i="7"/>
  <c r="F37" i="7"/>
  <c r="G37" i="7"/>
  <c r="H37" i="7"/>
  <c r="I37" i="7"/>
  <c r="J37" i="7"/>
  <c r="K37" i="7"/>
  <c r="L37" i="7"/>
  <c r="M37" i="7"/>
  <c r="N37" i="7"/>
  <c r="O37" i="7"/>
  <c r="P37" i="7"/>
  <c r="Q37" i="7"/>
  <c r="R37" i="7"/>
  <c r="S37" i="7"/>
  <c r="T37" i="7"/>
  <c r="U37" i="7"/>
  <c r="V37" i="7"/>
  <c r="W37" i="7"/>
  <c r="X37" i="7"/>
  <c r="Y37" i="7"/>
  <c r="Z37" i="7"/>
  <c r="AA37" i="7"/>
  <c r="AB37" i="7"/>
  <c r="AC37" i="7"/>
  <c r="AD37" i="7"/>
  <c r="AE37" i="7"/>
  <c r="AF37" i="7"/>
  <c r="AG37" i="7"/>
  <c r="AH37" i="7"/>
  <c r="AI37" i="7"/>
  <c r="AJ37" i="7"/>
  <c r="AK37" i="7"/>
  <c r="AL37" i="7"/>
  <c r="AM37" i="7"/>
  <c r="AN37" i="7"/>
  <c r="AO37" i="7"/>
  <c r="AP37" i="7"/>
  <c r="AQ37" i="7"/>
  <c r="AR37" i="7"/>
  <c r="AS37" i="7"/>
  <c r="AT37" i="7"/>
  <c r="AU37" i="7"/>
  <c r="AV37" i="7"/>
  <c r="AW37" i="7"/>
  <c r="AX37" i="7"/>
  <c r="AY37" i="7"/>
  <c r="AZ37" i="7"/>
  <c r="BA37" i="7"/>
  <c r="BB37" i="7"/>
  <c r="A38" i="7"/>
  <c r="B38" i="7"/>
  <c r="C38" i="7"/>
  <c r="D38" i="7"/>
  <c r="E38" i="7"/>
  <c r="F38" i="7"/>
  <c r="G38" i="7"/>
  <c r="H38" i="7"/>
  <c r="I38" i="7"/>
  <c r="J38" i="7"/>
  <c r="K38" i="7"/>
  <c r="L38" i="7"/>
  <c r="M38" i="7"/>
  <c r="N38" i="7"/>
  <c r="O38" i="7"/>
  <c r="P38" i="7"/>
  <c r="Q38" i="7"/>
  <c r="R38" i="7"/>
  <c r="S38" i="7"/>
  <c r="T38" i="7"/>
  <c r="U38" i="7"/>
  <c r="V38" i="7"/>
  <c r="W38" i="7"/>
  <c r="X38" i="7"/>
  <c r="Y38" i="7"/>
  <c r="Z38" i="7"/>
  <c r="AA38" i="7"/>
  <c r="AB38" i="7"/>
  <c r="AC38" i="7"/>
  <c r="AD38" i="7"/>
  <c r="AE38" i="7"/>
  <c r="AF38" i="7"/>
  <c r="AG38" i="7"/>
  <c r="AH38" i="7"/>
  <c r="AI38" i="7"/>
  <c r="AJ38" i="7"/>
  <c r="AK38" i="7"/>
  <c r="AL38" i="7"/>
  <c r="AM38" i="7"/>
  <c r="AN38" i="7"/>
  <c r="AO38" i="7"/>
  <c r="AP38" i="7"/>
  <c r="AQ38" i="7"/>
  <c r="AR38" i="7"/>
  <c r="AS38" i="7"/>
  <c r="AT38" i="7"/>
  <c r="AU38" i="7"/>
  <c r="AV38" i="7"/>
  <c r="AW38" i="7"/>
  <c r="AX38" i="7"/>
  <c r="AY38" i="7"/>
  <c r="AZ38" i="7"/>
  <c r="BA38" i="7"/>
  <c r="BB38" i="7"/>
  <c r="A39" i="7"/>
  <c r="B39" i="7"/>
  <c r="C39" i="7"/>
  <c r="D39" i="7"/>
  <c r="E39" i="7"/>
  <c r="F39" i="7"/>
  <c r="G39" i="7"/>
  <c r="H39" i="7"/>
  <c r="I39" i="7"/>
  <c r="J39" i="7"/>
  <c r="K39" i="7"/>
  <c r="L39" i="7"/>
  <c r="M39" i="7"/>
  <c r="N39" i="7"/>
  <c r="O39" i="7"/>
  <c r="P39" i="7"/>
  <c r="Q39" i="7"/>
  <c r="R39" i="7"/>
  <c r="S39" i="7"/>
  <c r="T39" i="7"/>
  <c r="U39" i="7"/>
  <c r="V39" i="7"/>
  <c r="W39" i="7"/>
  <c r="X39" i="7"/>
  <c r="Y39" i="7"/>
  <c r="Z39" i="7"/>
  <c r="AA39" i="7"/>
  <c r="AB39" i="7"/>
  <c r="AC39" i="7"/>
  <c r="AD39" i="7"/>
  <c r="AE39" i="7"/>
  <c r="AF39" i="7"/>
  <c r="AG39" i="7"/>
  <c r="AH39" i="7"/>
  <c r="AI39" i="7"/>
  <c r="AJ39" i="7"/>
  <c r="AK39" i="7"/>
  <c r="AL39" i="7"/>
  <c r="AM39" i="7"/>
  <c r="AN39" i="7"/>
  <c r="AO39" i="7"/>
  <c r="AP39" i="7"/>
  <c r="AQ39" i="7"/>
  <c r="AR39" i="7"/>
  <c r="AS39" i="7"/>
  <c r="AT39" i="7"/>
  <c r="AU39" i="7"/>
  <c r="AV39" i="7"/>
  <c r="AW39" i="7"/>
  <c r="AX39" i="7"/>
  <c r="AY39" i="7"/>
  <c r="AZ39" i="7"/>
  <c r="BA39" i="7"/>
  <c r="BB39" i="7"/>
  <c r="A40" i="7"/>
  <c r="B40" i="7"/>
  <c r="C40" i="7"/>
  <c r="D40" i="7"/>
  <c r="E40" i="7"/>
  <c r="F40" i="7"/>
  <c r="G40" i="7"/>
  <c r="H40" i="7"/>
  <c r="I40" i="7"/>
  <c r="J40" i="7"/>
  <c r="K40" i="7"/>
  <c r="L40" i="7"/>
  <c r="M40" i="7"/>
  <c r="N40" i="7"/>
  <c r="O40" i="7"/>
  <c r="P40" i="7"/>
  <c r="Q40" i="7"/>
  <c r="R40" i="7"/>
  <c r="S40" i="7"/>
  <c r="T40" i="7"/>
  <c r="U40" i="7"/>
  <c r="V40" i="7"/>
  <c r="W40" i="7"/>
  <c r="X40" i="7"/>
  <c r="Y40" i="7"/>
  <c r="Z40" i="7"/>
  <c r="AA40" i="7"/>
  <c r="AB40" i="7"/>
  <c r="AC40" i="7"/>
  <c r="AD40" i="7"/>
  <c r="AE40" i="7"/>
  <c r="AF40" i="7"/>
  <c r="AG40" i="7"/>
  <c r="AH40" i="7"/>
  <c r="AI40" i="7"/>
  <c r="AJ40" i="7"/>
  <c r="AK40" i="7"/>
  <c r="AL40" i="7"/>
  <c r="AM40" i="7"/>
  <c r="AN40" i="7"/>
  <c r="AO40" i="7"/>
  <c r="AP40" i="7"/>
  <c r="AQ40" i="7"/>
  <c r="AR40" i="7"/>
  <c r="AS40" i="7"/>
  <c r="AT40" i="7"/>
  <c r="AU40" i="7"/>
  <c r="AV40" i="7"/>
  <c r="AW40" i="7"/>
  <c r="AX40" i="7"/>
  <c r="AY40" i="7"/>
  <c r="AZ40" i="7"/>
  <c r="BA40" i="7"/>
  <c r="BB40" i="7"/>
  <c r="A41" i="7"/>
  <c r="B41" i="7"/>
  <c r="C41" i="7"/>
  <c r="D41" i="7"/>
  <c r="E41" i="7"/>
  <c r="F41" i="7"/>
  <c r="G41" i="7"/>
  <c r="H41" i="7"/>
  <c r="I41" i="7"/>
  <c r="J41" i="7"/>
  <c r="K41" i="7"/>
  <c r="L41" i="7"/>
  <c r="M41" i="7"/>
  <c r="N41" i="7"/>
  <c r="O41" i="7"/>
  <c r="P41" i="7"/>
  <c r="Q41" i="7"/>
  <c r="R41" i="7"/>
  <c r="S41" i="7"/>
  <c r="T41" i="7"/>
  <c r="U41" i="7"/>
  <c r="V41" i="7"/>
  <c r="W41" i="7"/>
  <c r="X41" i="7"/>
  <c r="Y41" i="7"/>
  <c r="Z41" i="7"/>
  <c r="AA41" i="7"/>
  <c r="AB41" i="7"/>
  <c r="AC41" i="7"/>
  <c r="AD41" i="7"/>
  <c r="AE41" i="7"/>
  <c r="AF41" i="7"/>
  <c r="AG41" i="7"/>
  <c r="AH41" i="7"/>
  <c r="AI41" i="7"/>
  <c r="AJ41" i="7"/>
  <c r="AK41" i="7"/>
  <c r="AL41" i="7"/>
  <c r="AM41" i="7"/>
  <c r="AN41" i="7"/>
  <c r="AO41" i="7"/>
  <c r="AP41" i="7"/>
  <c r="AQ41" i="7"/>
  <c r="AR41" i="7"/>
  <c r="AS41" i="7"/>
  <c r="AT41" i="7"/>
  <c r="AU41" i="7"/>
  <c r="AV41" i="7"/>
  <c r="AW41" i="7"/>
  <c r="AX41" i="7"/>
  <c r="AY41" i="7"/>
  <c r="AZ41" i="7"/>
  <c r="BA41" i="7"/>
  <c r="BB41" i="7"/>
  <c r="A42" i="7"/>
  <c r="B42" i="7"/>
  <c r="C42" i="7"/>
  <c r="D42" i="7"/>
  <c r="E42" i="7"/>
  <c r="F42" i="7"/>
  <c r="G42" i="7"/>
  <c r="H42" i="7"/>
  <c r="I42" i="7"/>
  <c r="J42" i="7"/>
  <c r="K42" i="7"/>
  <c r="L42" i="7"/>
  <c r="M42" i="7"/>
  <c r="N42" i="7"/>
  <c r="O42" i="7"/>
  <c r="P42" i="7"/>
  <c r="Q42" i="7"/>
  <c r="R42" i="7"/>
  <c r="S42" i="7"/>
  <c r="T42" i="7"/>
  <c r="U42" i="7"/>
  <c r="V42" i="7"/>
  <c r="W42" i="7"/>
  <c r="X42" i="7"/>
  <c r="Y42" i="7"/>
  <c r="Z42" i="7"/>
  <c r="AA42" i="7"/>
  <c r="AB42" i="7"/>
  <c r="AC42" i="7"/>
  <c r="AD42" i="7"/>
  <c r="AE42" i="7"/>
  <c r="AF42" i="7"/>
  <c r="AG42" i="7"/>
  <c r="AH42" i="7"/>
  <c r="AI42" i="7"/>
  <c r="AJ42" i="7"/>
  <c r="AK42" i="7"/>
  <c r="AL42" i="7"/>
  <c r="AM42" i="7"/>
  <c r="AN42" i="7"/>
  <c r="AO42" i="7"/>
  <c r="AP42" i="7"/>
  <c r="AQ42" i="7"/>
  <c r="AR42" i="7"/>
  <c r="AS42" i="7"/>
  <c r="AT42" i="7"/>
  <c r="AU42" i="7"/>
  <c r="AV42" i="7"/>
  <c r="AW42" i="7"/>
  <c r="AX42" i="7"/>
  <c r="AY42" i="7"/>
  <c r="AZ42" i="7"/>
  <c r="BA42" i="7"/>
  <c r="BB42" i="7"/>
  <c r="A43" i="7"/>
  <c r="B43" i="7"/>
  <c r="C43" i="7"/>
  <c r="D43" i="7"/>
  <c r="E43" i="7"/>
  <c r="F43" i="7"/>
  <c r="G43" i="7"/>
  <c r="H43" i="7"/>
  <c r="I43" i="7"/>
  <c r="J43" i="7"/>
  <c r="K43" i="7"/>
  <c r="L43" i="7"/>
  <c r="M43" i="7"/>
  <c r="N43" i="7"/>
  <c r="O43" i="7"/>
  <c r="P43" i="7"/>
  <c r="Q43" i="7"/>
  <c r="R43" i="7"/>
  <c r="S43" i="7"/>
  <c r="T43" i="7"/>
  <c r="U43" i="7"/>
  <c r="V43" i="7"/>
  <c r="W43" i="7"/>
  <c r="X43" i="7"/>
  <c r="Y43" i="7"/>
  <c r="Z43" i="7"/>
  <c r="AA43" i="7"/>
  <c r="AB43" i="7"/>
  <c r="AC43" i="7"/>
  <c r="AD43" i="7"/>
  <c r="AE43" i="7"/>
  <c r="AF43" i="7"/>
  <c r="AG43" i="7"/>
  <c r="AH43" i="7"/>
  <c r="AI43" i="7"/>
  <c r="AJ43" i="7"/>
  <c r="AK43" i="7"/>
  <c r="AL43" i="7"/>
  <c r="AM43" i="7"/>
  <c r="AN43" i="7"/>
  <c r="AO43" i="7"/>
  <c r="AP43" i="7"/>
  <c r="AQ43" i="7"/>
  <c r="AR43" i="7"/>
  <c r="AS43" i="7"/>
  <c r="AT43" i="7"/>
  <c r="AU43" i="7"/>
  <c r="AV43" i="7"/>
  <c r="AW43" i="7"/>
  <c r="AX43" i="7"/>
  <c r="AY43" i="7"/>
  <c r="AZ43" i="7"/>
  <c r="BA43" i="7"/>
  <c r="BB43" i="7"/>
  <c r="A44" i="7"/>
  <c r="B44" i="7"/>
  <c r="C44" i="7"/>
  <c r="D44" i="7"/>
  <c r="E44" i="7"/>
  <c r="F44" i="7"/>
  <c r="G44" i="7"/>
  <c r="H44" i="7"/>
  <c r="I44" i="7"/>
  <c r="J44" i="7"/>
  <c r="K44" i="7"/>
  <c r="L44" i="7"/>
  <c r="M44" i="7"/>
  <c r="N44" i="7"/>
  <c r="O44" i="7"/>
  <c r="P44" i="7"/>
  <c r="Q44" i="7"/>
  <c r="R44" i="7"/>
  <c r="S44" i="7"/>
  <c r="T44" i="7"/>
  <c r="U44" i="7"/>
  <c r="V44" i="7"/>
  <c r="W44" i="7"/>
  <c r="X44" i="7"/>
  <c r="Y44" i="7"/>
  <c r="Z44" i="7"/>
  <c r="AA44" i="7"/>
  <c r="AB44" i="7"/>
  <c r="AC44" i="7"/>
  <c r="AD44" i="7"/>
  <c r="AE44" i="7"/>
  <c r="AF44" i="7"/>
  <c r="AG44" i="7"/>
  <c r="AH44" i="7"/>
  <c r="AI44" i="7"/>
  <c r="AJ44" i="7"/>
  <c r="AK44" i="7"/>
  <c r="AL44" i="7"/>
  <c r="AM44" i="7"/>
  <c r="AN44" i="7"/>
  <c r="AO44" i="7"/>
  <c r="AP44" i="7"/>
  <c r="AQ44" i="7"/>
  <c r="AR44" i="7"/>
  <c r="AS44" i="7"/>
  <c r="AT44" i="7"/>
  <c r="AU44" i="7"/>
  <c r="AV44" i="7"/>
  <c r="AW44" i="7"/>
  <c r="AX44" i="7"/>
  <c r="AY44" i="7"/>
  <c r="AZ44" i="7"/>
  <c r="BA44" i="7"/>
  <c r="BB44" i="7"/>
  <c r="A45" i="7"/>
  <c r="B45" i="7"/>
  <c r="C45" i="7"/>
  <c r="D45" i="7"/>
  <c r="E45" i="7"/>
  <c r="F45" i="7"/>
  <c r="G45" i="7"/>
  <c r="H45" i="7"/>
  <c r="I45" i="7"/>
  <c r="J45" i="7"/>
  <c r="K45" i="7"/>
  <c r="L45" i="7"/>
  <c r="M45" i="7"/>
  <c r="N45" i="7"/>
  <c r="O45" i="7"/>
  <c r="P45" i="7"/>
  <c r="Q45" i="7"/>
  <c r="R45" i="7"/>
  <c r="S45" i="7"/>
  <c r="T45" i="7"/>
  <c r="U45" i="7"/>
  <c r="V45" i="7"/>
  <c r="W45" i="7"/>
  <c r="X45" i="7"/>
  <c r="Y45" i="7"/>
  <c r="Z45" i="7"/>
  <c r="AA45" i="7"/>
  <c r="AB45" i="7"/>
  <c r="AC45" i="7"/>
  <c r="AD45" i="7"/>
  <c r="AE45" i="7"/>
  <c r="AF45" i="7"/>
  <c r="AG45" i="7"/>
  <c r="AH45" i="7"/>
  <c r="AI45" i="7"/>
  <c r="AJ45" i="7"/>
  <c r="AK45" i="7"/>
  <c r="AL45" i="7"/>
  <c r="AM45" i="7"/>
  <c r="AN45" i="7"/>
  <c r="AO45" i="7"/>
  <c r="AP45" i="7"/>
  <c r="AQ45" i="7"/>
  <c r="AR45" i="7"/>
  <c r="AS45" i="7"/>
  <c r="AT45" i="7"/>
  <c r="AU45" i="7"/>
  <c r="AV45" i="7"/>
  <c r="AW45" i="7"/>
  <c r="AX45" i="7"/>
  <c r="AY45" i="7"/>
  <c r="AZ45" i="7"/>
  <c r="BA45" i="7"/>
  <c r="BB45" i="7"/>
  <c r="A46" i="7"/>
  <c r="B46" i="7"/>
  <c r="C46" i="7"/>
  <c r="D46" i="7"/>
  <c r="E46" i="7"/>
  <c r="F46" i="7"/>
  <c r="G46" i="7"/>
  <c r="H46" i="7"/>
  <c r="I46" i="7"/>
  <c r="J46" i="7"/>
  <c r="K46" i="7"/>
  <c r="L46" i="7"/>
  <c r="M46" i="7"/>
  <c r="N46" i="7"/>
  <c r="O46" i="7"/>
  <c r="P46" i="7"/>
  <c r="Q46" i="7"/>
  <c r="R46" i="7"/>
  <c r="S46" i="7"/>
  <c r="T46" i="7"/>
  <c r="U46" i="7"/>
  <c r="V46" i="7"/>
  <c r="W46" i="7"/>
  <c r="X46" i="7"/>
  <c r="Y46" i="7"/>
  <c r="Z46" i="7"/>
  <c r="AA46" i="7"/>
  <c r="AB46" i="7"/>
  <c r="AC46" i="7"/>
  <c r="AD46" i="7"/>
  <c r="AE46" i="7"/>
  <c r="AF46" i="7"/>
  <c r="AG46" i="7"/>
  <c r="AH46" i="7"/>
  <c r="AI46" i="7"/>
  <c r="AJ46" i="7"/>
  <c r="AK46" i="7"/>
  <c r="AL46" i="7"/>
  <c r="AM46" i="7"/>
  <c r="AN46" i="7"/>
  <c r="AO46" i="7"/>
  <c r="AP46" i="7"/>
  <c r="AQ46" i="7"/>
  <c r="AR46" i="7"/>
  <c r="AS46" i="7"/>
  <c r="AT46" i="7"/>
  <c r="AU46" i="7"/>
  <c r="AV46" i="7"/>
  <c r="AW46" i="7"/>
  <c r="AX46" i="7"/>
  <c r="AY46" i="7"/>
  <c r="AZ46" i="7"/>
  <c r="BA46" i="7"/>
  <c r="BB46" i="7"/>
  <c r="A47" i="7"/>
  <c r="B47" i="7"/>
  <c r="C47" i="7"/>
  <c r="D47" i="7"/>
  <c r="E47" i="7"/>
  <c r="F47" i="7"/>
  <c r="G47" i="7"/>
  <c r="H47" i="7"/>
  <c r="I47" i="7"/>
  <c r="J47" i="7"/>
  <c r="K47" i="7"/>
  <c r="L47" i="7"/>
  <c r="M47" i="7"/>
  <c r="N47" i="7"/>
  <c r="O47" i="7"/>
  <c r="P47" i="7"/>
  <c r="Q47" i="7"/>
  <c r="R47" i="7"/>
  <c r="S47" i="7"/>
  <c r="T47" i="7"/>
  <c r="U47" i="7"/>
  <c r="V47" i="7"/>
  <c r="W47" i="7"/>
  <c r="X47" i="7"/>
  <c r="Y47" i="7"/>
  <c r="Z47" i="7"/>
  <c r="AA47" i="7"/>
  <c r="AB47" i="7"/>
  <c r="AC47" i="7"/>
  <c r="AD47" i="7"/>
  <c r="AE47" i="7"/>
  <c r="AF47" i="7"/>
  <c r="AG47" i="7"/>
  <c r="AH47" i="7"/>
  <c r="AI47" i="7"/>
  <c r="AJ47" i="7"/>
  <c r="AK47" i="7"/>
  <c r="AL47" i="7"/>
  <c r="AM47" i="7"/>
  <c r="AN47" i="7"/>
  <c r="AO47" i="7"/>
  <c r="AP47" i="7"/>
  <c r="AQ47" i="7"/>
  <c r="AR47" i="7"/>
  <c r="AS47" i="7"/>
  <c r="AT47" i="7"/>
  <c r="AU47" i="7"/>
  <c r="AV47" i="7"/>
  <c r="AW47" i="7"/>
  <c r="AX47" i="7"/>
  <c r="AY47" i="7"/>
  <c r="AZ47" i="7"/>
  <c r="BA47" i="7"/>
  <c r="BB47" i="7"/>
  <c r="A48" i="7"/>
  <c r="B48" i="7"/>
  <c r="C48" i="7"/>
  <c r="D48" i="7"/>
  <c r="E48" i="7"/>
  <c r="F48" i="7"/>
  <c r="G48" i="7"/>
  <c r="H48" i="7"/>
  <c r="I48" i="7"/>
  <c r="J48" i="7"/>
  <c r="K48" i="7"/>
  <c r="L48" i="7"/>
  <c r="M48" i="7"/>
  <c r="N48" i="7"/>
  <c r="O48" i="7"/>
  <c r="P48" i="7"/>
  <c r="Q48" i="7"/>
  <c r="R48" i="7"/>
  <c r="S48" i="7"/>
  <c r="T48" i="7"/>
  <c r="U48" i="7"/>
  <c r="V48" i="7"/>
  <c r="W48" i="7"/>
  <c r="X48" i="7"/>
  <c r="Y48" i="7"/>
  <c r="Z48" i="7"/>
  <c r="AA48" i="7"/>
  <c r="AB48" i="7"/>
  <c r="AC48" i="7"/>
  <c r="AD48" i="7"/>
  <c r="AE48" i="7"/>
  <c r="AF48" i="7"/>
  <c r="AG48" i="7"/>
  <c r="AH48" i="7"/>
  <c r="AI48" i="7"/>
  <c r="AJ48" i="7"/>
  <c r="AK48" i="7"/>
  <c r="AL48" i="7"/>
  <c r="AM48" i="7"/>
  <c r="AN48" i="7"/>
  <c r="AO48" i="7"/>
  <c r="AP48" i="7"/>
  <c r="AQ48" i="7"/>
  <c r="AR48" i="7"/>
  <c r="AS48" i="7"/>
  <c r="AT48" i="7"/>
  <c r="AU48" i="7"/>
  <c r="AV48" i="7"/>
  <c r="AW48" i="7"/>
  <c r="AX48" i="7"/>
  <c r="AY48" i="7"/>
  <c r="AZ48" i="7"/>
  <c r="BA48" i="7"/>
  <c r="BB48" i="7"/>
  <c r="A49" i="7"/>
  <c r="B49" i="7"/>
  <c r="C49" i="7"/>
  <c r="D49" i="7"/>
  <c r="E49" i="7"/>
  <c r="F49" i="7"/>
  <c r="G49" i="7"/>
  <c r="H49" i="7"/>
  <c r="I49" i="7"/>
  <c r="J49" i="7"/>
  <c r="K49" i="7"/>
  <c r="L49" i="7"/>
  <c r="M49" i="7"/>
  <c r="N49" i="7"/>
  <c r="O49" i="7"/>
  <c r="P49" i="7"/>
  <c r="Q49" i="7"/>
  <c r="R49" i="7"/>
  <c r="S49" i="7"/>
  <c r="T49" i="7"/>
  <c r="U49" i="7"/>
  <c r="V49" i="7"/>
  <c r="W49" i="7"/>
  <c r="X49" i="7"/>
  <c r="Y49" i="7"/>
  <c r="Z49" i="7"/>
  <c r="AA49" i="7"/>
  <c r="AB49" i="7"/>
  <c r="AC49" i="7"/>
  <c r="AD49" i="7"/>
  <c r="AE49" i="7"/>
  <c r="AF49" i="7"/>
  <c r="AG49" i="7"/>
  <c r="AH49" i="7"/>
  <c r="AI49" i="7"/>
  <c r="AJ49" i="7"/>
  <c r="AK49" i="7"/>
  <c r="AL49" i="7"/>
  <c r="AM49" i="7"/>
  <c r="AN49" i="7"/>
  <c r="AO49" i="7"/>
  <c r="AP49" i="7"/>
  <c r="AQ49" i="7"/>
  <c r="AR49" i="7"/>
  <c r="AS49" i="7"/>
  <c r="AT49" i="7"/>
  <c r="AU49" i="7"/>
  <c r="AV49" i="7"/>
  <c r="AW49" i="7"/>
  <c r="AX49" i="7"/>
  <c r="AY49" i="7"/>
  <c r="AZ49" i="7"/>
  <c r="BA49" i="7"/>
  <c r="BB49" i="7"/>
  <c r="A50" i="7"/>
  <c r="B50" i="7"/>
  <c r="C50" i="7"/>
  <c r="D50" i="7"/>
  <c r="E50" i="7"/>
  <c r="F50" i="7"/>
  <c r="G50" i="7"/>
  <c r="H50" i="7"/>
  <c r="I50" i="7"/>
  <c r="J50" i="7"/>
  <c r="K50" i="7"/>
  <c r="L50" i="7"/>
  <c r="M50" i="7"/>
  <c r="N50" i="7"/>
  <c r="O50" i="7"/>
  <c r="P50" i="7"/>
  <c r="Q50" i="7"/>
  <c r="R50" i="7"/>
  <c r="S50" i="7"/>
  <c r="T50" i="7"/>
  <c r="U50" i="7"/>
  <c r="V50" i="7"/>
  <c r="W50" i="7"/>
  <c r="X50" i="7"/>
  <c r="Y50" i="7"/>
  <c r="Z50" i="7"/>
  <c r="AA50" i="7"/>
  <c r="AB50" i="7"/>
  <c r="AC50" i="7"/>
  <c r="AD50" i="7"/>
  <c r="AE50" i="7"/>
  <c r="AF50" i="7"/>
  <c r="AG50" i="7"/>
  <c r="AH50" i="7"/>
  <c r="AI50" i="7"/>
  <c r="AJ50" i="7"/>
  <c r="AK50" i="7"/>
  <c r="AL50" i="7"/>
  <c r="AM50" i="7"/>
  <c r="AN50" i="7"/>
  <c r="AO50" i="7"/>
  <c r="AP50" i="7"/>
  <c r="AQ50" i="7"/>
  <c r="AR50" i="7"/>
  <c r="AS50" i="7"/>
  <c r="AT50" i="7"/>
  <c r="AU50" i="7"/>
  <c r="AV50" i="7"/>
  <c r="AW50" i="7"/>
  <c r="AX50" i="7"/>
  <c r="AY50" i="7"/>
  <c r="AZ50" i="7"/>
  <c r="BA50" i="7"/>
  <c r="BB50" i="7"/>
  <c r="A51" i="7"/>
  <c r="B51" i="7"/>
  <c r="C51" i="7"/>
  <c r="D51" i="7"/>
  <c r="E51" i="7"/>
  <c r="F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T51" i="7"/>
  <c r="U51" i="7"/>
  <c r="V51" i="7"/>
  <c r="W51" i="7"/>
  <c r="X51" i="7"/>
  <c r="Y51" i="7"/>
  <c r="Z51" i="7"/>
  <c r="AA51" i="7"/>
  <c r="AB51" i="7"/>
  <c r="AC51" i="7"/>
  <c r="AD51" i="7"/>
  <c r="AE51" i="7"/>
  <c r="AF51" i="7"/>
  <c r="AG51" i="7"/>
  <c r="AH51" i="7"/>
  <c r="AI51" i="7"/>
  <c r="AJ51" i="7"/>
  <c r="AK51" i="7"/>
  <c r="AL51" i="7"/>
  <c r="AM51" i="7"/>
  <c r="AN51" i="7"/>
  <c r="AO51" i="7"/>
  <c r="AP51" i="7"/>
  <c r="AQ51" i="7"/>
  <c r="AR51" i="7"/>
  <c r="AS51" i="7"/>
  <c r="AT51" i="7"/>
  <c r="AU51" i="7"/>
  <c r="AV51" i="7"/>
  <c r="AW51" i="7"/>
  <c r="AX51" i="7"/>
  <c r="AY51" i="7"/>
  <c r="AZ51" i="7"/>
  <c r="BA51" i="7"/>
  <c r="BB51" i="7"/>
  <c r="A52" i="7"/>
  <c r="B52" i="7"/>
  <c r="C52" i="7"/>
  <c r="D52" i="7"/>
  <c r="E52" i="7"/>
  <c r="F52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T52" i="7"/>
  <c r="U52" i="7"/>
  <c r="V52" i="7"/>
  <c r="W52" i="7"/>
  <c r="X52" i="7"/>
  <c r="Y52" i="7"/>
  <c r="Z52" i="7"/>
  <c r="AA52" i="7"/>
  <c r="AB52" i="7"/>
  <c r="AC52" i="7"/>
  <c r="AD52" i="7"/>
  <c r="AE52" i="7"/>
  <c r="AF52" i="7"/>
  <c r="AG52" i="7"/>
  <c r="AH52" i="7"/>
  <c r="AI52" i="7"/>
  <c r="AJ52" i="7"/>
  <c r="AK52" i="7"/>
  <c r="AL52" i="7"/>
  <c r="AM52" i="7"/>
  <c r="AN52" i="7"/>
  <c r="AO52" i="7"/>
  <c r="AP52" i="7"/>
  <c r="AQ52" i="7"/>
  <c r="AR52" i="7"/>
  <c r="AS52" i="7"/>
  <c r="AT52" i="7"/>
  <c r="AU52" i="7"/>
  <c r="AV52" i="7"/>
  <c r="AW52" i="7"/>
  <c r="AX52" i="7"/>
  <c r="AY52" i="7"/>
  <c r="AZ52" i="7"/>
  <c r="BA52" i="7"/>
  <c r="BB52" i="7"/>
  <c r="A53" i="7"/>
  <c r="B53" i="7"/>
  <c r="C53" i="7"/>
  <c r="D53" i="7"/>
  <c r="E53" i="7"/>
  <c r="F53" i="7"/>
  <c r="G53" i="7"/>
  <c r="H53" i="7"/>
  <c r="I53" i="7"/>
  <c r="J53" i="7"/>
  <c r="K53" i="7"/>
  <c r="L53" i="7"/>
  <c r="M53" i="7"/>
  <c r="N53" i="7"/>
  <c r="O53" i="7"/>
  <c r="P53" i="7"/>
  <c r="Q53" i="7"/>
  <c r="R53" i="7"/>
  <c r="S53" i="7"/>
  <c r="T53" i="7"/>
  <c r="U53" i="7"/>
  <c r="V53" i="7"/>
  <c r="W53" i="7"/>
  <c r="X53" i="7"/>
  <c r="Y53" i="7"/>
  <c r="Z53" i="7"/>
  <c r="AA53" i="7"/>
  <c r="AB53" i="7"/>
  <c r="AC53" i="7"/>
  <c r="AD53" i="7"/>
  <c r="AE53" i="7"/>
  <c r="AF53" i="7"/>
  <c r="AG53" i="7"/>
  <c r="AH53" i="7"/>
  <c r="AI53" i="7"/>
  <c r="AJ53" i="7"/>
  <c r="AK53" i="7"/>
  <c r="AL53" i="7"/>
  <c r="AM53" i="7"/>
  <c r="AN53" i="7"/>
  <c r="AO53" i="7"/>
  <c r="AP53" i="7"/>
  <c r="AQ53" i="7"/>
  <c r="AR53" i="7"/>
  <c r="AS53" i="7"/>
  <c r="AT53" i="7"/>
  <c r="AU53" i="7"/>
  <c r="AV53" i="7"/>
  <c r="AW53" i="7"/>
  <c r="AX53" i="7"/>
  <c r="AY53" i="7"/>
  <c r="AZ53" i="7"/>
  <c r="BA53" i="7"/>
  <c r="BB53" i="7"/>
  <c r="A54" i="7"/>
  <c r="B54" i="7"/>
  <c r="C54" i="7"/>
  <c r="D54" i="7"/>
  <c r="E54" i="7"/>
  <c r="F54" i="7"/>
  <c r="G54" i="7"/>
  <c r="H54" i="7"/>
  <c r="I54" i="7"/>
  <c r="J54" i="7"/>
  <c r="K54" i="7"/>
  <c r="L54" i="7"/>
  <c r="M54" i="7"/>
  <c r="N54" i="7"/>
  <c r="O54" i="7"/>
  <c r="P54" i="7"/>
  <c r="Q54" i="7"/>
  <c r="R54" i="7"/>
  <c r="S54" i="7"/>
  <c r="T54" i="7"/>
  <c r="U54" i="7"/>
  <c r="V54" i="7"/>
  <c r="W54" i="7"/>
  <c r="X54" i="7"/>
  <c r="Y54" i="7"/>
  <c r="Z54" i="7"/>
  <c r="AA54" i="7"/>
  <c r="AB54" i="7"/>
  <c r="AC54" i="7"/>
  <c r="AD54" i="7"/>
  <c r="AE54" i="7"/>
  <c r="AF54" i="7"/>
  <c r="AG54" i="7"/>
  <c r="AH54" i="7"/>
  <c r="AI54" i="7"/>
  <c r="AJ54" i="7"/>
  <c r="AK54" i="7"/>
  <c r="AL54" i="7"/>
  <c r="AM54" i="7"/>
  <c r="AN54" i="7"/>
  <c r="AO54" i="7"/>
  <c r="AP54" i="7"/>
  <c r="AQ54" i="7"/>
  <c r="AR54" i="7"/>
  <c r="AS54" i="7"/>
  <c r="AT54" i="7"/>
  <c r="AU54" i="7"/>
  <c r="AV54" i="7"/>
  <c r="AW54" i="7"/>
  <c r="AX54" i="7"/>
  <c r="AY54" i="7"/>
  <c r="AZ54" i="7"/>
  <c r="BA54" i="7"/>
  <c r="BB54" i="7"/>
  <c r="A55" i="7"/>
  <c r="B55" i="7"/>
  <c r="C55" i="7"/>
  <c r="D55" i="7"/>
  <c r="E55" i="7"/>
  <c r="F55" i="7"/>
  <c r="G55" i="7"/>
  <c r="H55" i="7"/>
  <c r="I55" i="7"/>
  <c r="J55" i="7"/>
  <c r="K55" i="7"/>
  <c r="L55" i="7"/>
  <c r="M55" i="7"/>
  <c r="N55" i="7"/>
  <c r="O55" i="7"/>
  <c r="P55" i="7"/>
  <c r="Q55" i="7"/>
  <c r="R55" i="7"/>
  <c r="S55" i="7"/>
  <c r="T55" i="7"/>
  <c r="U55" i="7"/>
  <c r="V55" i="7"/>
  <c r="W55" i="7"/>
  <c r="X55" i="7"/>
  <c r="Y55" i="7"/>
  <c r="Z55" i="7"/>
  <c r="AA55" i="7"/>
  <c r="AB55" i="7"/>
  <c r="AC55" i="7"/>
  <c r="AD55" i="7"/>
  <c r="AE55" i="7"/>
  <c r="AF55" i="7"/>
  <c r="AG55" i="7"/>
  <c r="AH55" i="7"/>
  <c r="AI55" i="7"/>
  <c r="AJ55" i="7"/>
  <c r="AK55" i="7"/>
  <c r="AL55" i="7"/>
  <c r="AM55" i="7"/>
  <c r="AN55" i="7"/>
  <c r="AO55" i="7"/>
  <c r="AP55" i="7"/>
  <c r="AQ55" i="7"/>
  <c r="AR55" i="7"/>
  <c r="AS55" i="7"/>
  <c r="AT55" i="7"/>
  <c r="AU55" i="7"/>
  <c r="AV55" i="7"/>
  <c r="AW55" i="7"/>
  <c r="AX55" i="7"/>
  <c r="AY55" i="7"/>
  <c r="AZ55" i="7"/>
  <c r="BA55" i="7"/>
  <c r="BB55" i="7"/>
  <c r="A56" i="7"/>
  <c r="B56" i="7"/>
  <c r="C56" i="7"/>
  <c r="D56" i="7"/>
  <c r="E56" i="7"/>
  <c r="F56" i="7"/>
  <c r="G56" i="7"/>
  <c r="H56" i="7"/>
  <c r="I56" i="7"/>
  <c r="J56" i="7"/>
  <c r="K56" i="7"/>
  <c r="L56" i="7"/>
  <c r="M56" i="7"/>
  <c r="N56" i="7"/>
  <c r="O56" i="7"/>
  <c r="P56" i="7"/>
  <c r="Q56" i="7"/>
  <c r="R56" i="7"/>
  <c r="S56" i="7"/>
  <c r="T56" i="7"/>
  <c r="U56" i="7"/>
  <c r="V56" i="7"/>
  <c r="W56" i="7"/>
  <c r="X56" i="7"/>
  <c r="Y56" i="7"/>
  <c r="Z56" i="7"/>
  <c r="AA56" i="7"/>
  <c r="AB56" i="7"/>
  <c r="AC56" i="7"/>
  <c r="AD56" i="7"/>
  <c r="AE56" i="7"/>
  <c r="AF56" i="7"/>
  <c r="AG56" i="7"/>
  <c r="AH56" i="7"/>
  <c r="AI56" i="7"/>
  <c r="AJ56" i="7"/>
  <c r="AK56" i="7"/>
  <c r="AL56" i="7"/>
  <c r="AM56" i="7"/>
  <c r="AN56" i="7"/>
  <c r="AO56" i="7"/>
  <c r="AP56" i="7"/>
  <c r="AQ56" i="7"/>
  <c r="AR56" i="7"/>
  <c r="AS56" i="7"/>
  <c r="AT56" i="7"/>
  <c r="AU56" i="7"/>
  <c r="AV56" i="7"/>
  <c r="AW56" i="7"/>
  <c r="AX56" i="7"/>
  <c r="AY56" i="7"/>
  <c r="AZ56" i="7"/>
  <c r="BA56" i="7"/>
  <c r="BB56" i="7"/>
  <c r="A57" i="7"/>
  <c r="B57" i="7"/>
  <c r="C57" i="7"/>
  <c r="D57" i="7"/>
  <c r="E57" i="7"/>
  <c r="F57" i="7"/>
  <c r="G57" i="7"/>
  <c r="H57" i="7"/>
  <c r="I57" i="7"/>
  <c r="J57" i="7"/>
  <c r="K57" i="7"/>
  <c r="L57" i="7"/>
  <c r="M57" i="7"/>
  <c r="N57" i="7"/>
  <c r="O57" i="7"/>
  <c r="P57" i="7"/>
  <c r="Q57" i="7"/>
  <c r="R57" i="7"/>
  <c r="S57" i="7"/>
  <c r="T57" i="7"/>
  <c r="U57" i="7"/>
  <c r="V57" i="7"/>
  <c r="W57" i="7"/>
  <c r="X57" i="7"/>
  <c r="Y57" i="7"/>
  <c r="Z57" i="7"/>
  <c r="AA57" i="7"/>
  <c r="AB57" i="7"/>
  <c r="AC57" i="7"/>
  <c r="AD57" i="7"/>
  <c r="AE57" i="7"/>
  <c r="AF57" i="7"/>
  <c r="AG57" i="7"/>
  <c r="AH57" i="7"/>
  <c r="AI57" i="7"/>
  <c r="AJ57" i="7"/>
  <c r="AK57" i="7"/>
  <c r="AL57" i="7"/>
  <c r="AM57" i="7"/>
  <c r="AN57" i="7"/>
  <c r="AO57" i="7"/>
  <c r="AP57" i="7"/>
  <c r="AQ57" i="7"/>
  <c r="AR57" i="7"/>
  <c r="AS57" i="7"/>
  <c r="AT57" i="7"/>
  <c r="AU57" i="7"/>
  <c r="AV57" i="7"/>
  <c r="AW57" i="7"/>
  <c r="AX57" i="7"/>
  <c r="AY57" i="7"/>
  <c r="AZ57" i="7"/>
  <c r="BA57" i="7"/>
  <c r="BB57" i="7"/>
  <c r="A58" i="7"/>
  <c r="B58" i="7"/>
  <c r="C58" i="7"/>
  <c r="D58" i="7"/>
  <c r="E58" i="7"/>
  <c r="F58" i="7"/>
  <c r="G58" i="7"/>
  <c r="H58" i="7"/>
  <c r="I58" i="7"/>
  <c r="J58" i="7"/>
  <c r="K58" i="7"/>
  <c r="L58" i="7"/>
  <c r="M58" i="7"/>
  <c r="N58" i="7"/>
  <c r="O58" i="7"/>
  <c r="P58" i="7"/>
  <c r="Q58" i="7"/>
  <c r="R58" i="7"/>
  <c r="S58" i="7"/>
  <c r="T58" i="7"/>
  <c r="U58" i="7"/>
  <c r="V58" i="7"/>
  <c r="W58" i="7"/>
  <c r="X58" i="7"/>
  <c r="Y58" i="7"/>
  <c r="Z58" i="7"/>
  <c r="AA58" i="7"/>
  <c r="AB58" i="7"/>
  <c r="AC58" i="7"/>
  <c r="AD58" i="7"/>
  <c r="AE58" i="7"/>
  <c r="AF58" i="7"/>
  <c r="AG58" i="7"/>
  <c r="AH58" i="7"/>
  <c r="AI58" i="7"/>
  <c r="AJ58" i="7"/>
  <c r="AK58" i="7"/>
  <c r="AL58" i="7"/>
  <c r="AM58" i="7"/>
  <c r="AN58" i="7"/>
  <c r="AO58" i="7"/>
  <c r="AP58" i="7"/>
  <c r="AQ58" i="7"/>
  <c r="AR58" i="7"/>
  <c r="AS58" i="7"/>
  <c r="AT58" i="7"/>
  <c r="AU58" i="7"/>
  <c r="AV58" i="7"/>
  <c r="AW58" i="7"/>
  <c r="AX58" i="7"/>
  <c r="AY58" i="7"/>
  <c r="AZ58" i="7"/>
  <c r="BA58" i="7"/>
  <c r="BB58" i="7"/>
  <c r="A59" i="7"/>
  <c r="B59" i="7"/>
  <c r="C59" i="7"/>
  <c r="D59" i="7"/>
  <c r="E59" i="7"/>
  <c r="F59" i="7"/>
  <c r="G59" i="7"/>
  <c r="H59" i="7"/>
  <c r="I59" i="7"/>
  <c r="J59" i="7"/>
  <c r="K59" i="7"/>
  <c r="L59" i="7"/>
  <c r="M59" i="7"/>
  <c r="N59" i="7"/>
  <c r="O59" i="7"/>
  <c r="P59" i="7"/>
  <c r="Q59" i="7"/>
  <c r="R59" i="7"/>
  <c r="S59" i="7"/>
  <c r="T59" i="7"/>
  <c r="U59" i="7"/>
  <c r="V59" i="7"/>
  <c r="W59" i="7"/>
  <c r="X59" i="7"/>
  <c r="Y59" i="7"/>
  <c r="Z59" i="7"/>
  <c r="AA59" i="7"/>
  <c r="AB59" i="7"/>
  <c r="AC59" i="7"/>
  <c r="AD59" i="7"/>
  <c r="AE59" i="7"/>
  <c r="AF59" i="7"/>
  <c r="AG59" i="7"/>
  <c r="AH59" i="7"/>
  <c r="AI59" i="7"/>
  <c r="AJ59" i="7"/>
  <c r="AK59" i="7"/>
  <c r="AL59" i="7"/>
  <c r="AM59" i="7"/>
  <c r="AN59" i="7"/>
  <c r="AO59" i="7"/>
  <c r="AP59" i="7"/>
  <c r="AQ59" i="7"/>
  <c r="AR59" i="7"/>
  <c r="AS59" i="7"/>
  <c r="AT59" i="7"/>
  <c r="AU59" i="7"/>
  <c r="AV59" i="7"/>
  <c r="AW59" i="7"/>
  <c r="AX59" i="7"/>
  <c r="AY59" i="7"/>
  <c r="AZ59" i="7"/>
  <c r="BA59" i="7"/>
  <c r="BB59" i="7"/>
  <c r="A60" i="7"/>
  <c r="B60" i="7"/>
  <c r="C60" i="7"/>
  <c r="D60" i="7"/>
  <c r="E60" i="7"/>
  <c r="F60" i="7"/>
  <c r="G60" i="7"/>
  <c r="H60" i="7"/>
  <c r="I60" i="7"/>
  <c r="J60" i="7"/>
  <c r="K60" i="7"/>
  <c r="L60" i="7"/>
  <c r="M60" i="7"/>
  <c r="N60" i="7"/>
  <c r="O60" i="7"/>
  <c r="P60" i="7"/>
  <c r="Q60" i="7"/>
  <c r="R60" i="7"/>
  <c r="S60" i="7"/>
  <c r="T60" i="7"/>
  <c r="U60" i="7"/>
  <c r="V60" i="7"/>
  <c r="W60" i="7"/>
  <c r="X60" i="7"/>
  <c r="Y60" i="7"/>
  <c r="Z60" i="7"/>
  <c r="AA60" i="7"/>
  <c r="AB60" i="7"/>
  <c r="AC60" i="7"/>
  <c r="AD60" i="7"/>
  <c r="AE60" i="7"/>
  <c r="AF60" i="7"/>
  <c r="AG60" i="7"/>
  <c r="AH60" i="7"/>
  <c r="AI60" i="7"/>
  <c r="AJ60" i="7"/>
  <c r="AK60" i="7"/>
  <c r="AL60" i="7"/>
  <c r="AM60" i="7"/>
  <c r="AN60" i="7"/>
  <c r="AO60" i="7"/>
  <c r="AP60" i="7"/>
  <c r="AQ60" i="7"/>
  <c r="AR60" i="7"/>
  <c r="AS60" i="7"/>
  <c r="AT60" i="7"/>
  <c r="AU60" i="7"/>
  <c r="AV60" i="7"/>
  <c r="AW60" i="7"/>
  <c r="AX60" i="7"/>
  <c r="AY60" i="7"/>
  <c r="AZ60" i="7"/>
  <c r="BA60" i="7"/>
  <c r="BB60" i="7"/>
  <c r="A61" i="7"/>
  <c r="B61" i="7"/>
  <c r="C61" i="7"/>
  <c r="D61" i="7"/>
  <c r="E61" i="7"/>
  <c r="F61" i="7"/>
  <c r="G61" i="7"/>
  <c r="H61" i="7"/>
  <c r="I61" i="7"/>
  <c r="J61" i="7"/>
  <c r="K61" i="7"/>
  <c r="L61" i="7"/>
  <c r="M61" i="7"/>
  <c r="N61" i="7"/>
  <c r="O61" i="7"/>
  <c r="P61" i="7"/>
  <c r="Q61" i="7"/>
  <c r="R61" i="7"/>
  <c r="S61" i="7"/>
  <c r="T61" i="7"/>
  <c r="U61" i="7"/>
  <c r="V61" i="7"/>
  <c r="W61" i="7"/>
  <c r="X61" i="7"/>
  <c r="Y61" i="7"/>
  <c r="Z61" i="7"/>
  <c r="AA61" i="7"/>
  <c r="AB61" i="7"/>
  <c r="AC61" i="7"/>
  <c r="AD61" i="7"/>
  <c r="AE61" i="7"/>
  <c r="AF61" i="7"/>
  <c r="AG61" i="7"/>
  <c r="AH61" i="7"/>
  <c r="AI61" i="7"/>
  <c r="AJ61" i="7"/>
  <c r="AK61" i="7"/>
  <c r="AL61" i="7"/>
  <c r="AM61" i="7"/>
  <c r="AN61" i="7"/>
  <c r="AO61" i="7"/>
  <c r="AP61" i="7"/>
  <c r="AQ61" i="7"/>
  <c r="AR61" i="7"/>
  <c r="AS61" i="7"/>
  <c r="AT61" i="7"/>
  <c r="AU61" i="7"/>
  <c r="AV61" i="7"/>
  <c r="AW61" i="7"/>
  <c r="AX61" i="7"/>
  <c r="AY61" i="7"/>
  <c r="AZ61" i="7"/>
  <c r="BA61" i="7"/>
  <c r="BB61" i="7"/>
  <c r="A62" i="7"/>
  <c r="B62" i="7"/>
  <c r="C62" i="7"/>
  <c r="D62" i="7"/>
  <c r="E62" i="7"/>
  <c r="F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T62" i="7"/>
  <c r="U62" i="7"/>
  <c r="V62" i="7"/>
  <c r="W62" i="7"/>
  <c r="X62" i="7"/>
  <c r="Y62" i="7"/>
  <c r="Z62" i="7"/>
  <c r="AA62" i="7"/>
  <c r="AB62" i="7"/>
  <c r="AC62" i="7"/>
  <c r="AD62" i="7"/>
  <c r="AE62" i="7"/>
  <c r="AF62" i="7"/>
  <c r="AG62" i="7"/>
  <c r="AH62" i="7"/>
  <c r="AI62" i="7"/>
  <c r="AJ62" i="7"/>
  <c r="AK62" i="7"/>
  <c r="AL62" i="7"/>
  <c r="AM62" i="7"/>
  <c r="AN62" i="7"/>
  <c r="AO62" i="7"/>
  <c r="AP62" i="7"/>
  <c r="AQ62" i="7"/>
  <c r="AR62" i="7"/>
  <c r="AS62" i="7"/>
  <c r="AT62" i="7"/>
  <c r="AU62" i="7"/>
  <c r="AV62" i="7"/>
  <c r="AW62" i="7"/>
  <c r="AX62" i="7"/>
  <c r="AY62" i="7"/>
  <c r="AZ62" i="7"/>
  <c r="BA62" i="7"/>
  <c r="BB62" i="7"/>
  <c r="A63" i="7"/>
  <c r="B63" i="7"/>
  <c r="C63" i="7"/>
  <c r="D63" i="7"/>
  <c r="E63" i="7"/>
  <c r="F63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T63" i="7"/>
  <c r="U63" i="7"/>
  <c r="V63" i="7"/>
  <c r="W63" i="7"/>
  <c r="X63" i="7"/>
  <c r="Y63" i="7"/>
  <c r="Z63" i="7"/>
  <c r="AA63" i="7"/>
  <c r="AB63" i="7"/>
  <c r="AC63" i="7"/>
  <c r="AD63" i="7"/>
  <c r="AE63" i="7"/>
  <c r="AF63" i="7"/>
  <c r="AG63" i="7"/>
  <c r="AH63" i="7"/>
  <c r="AI63" i="7"/>
  <c r="AJ63" i="7"/>
  <c r="AK63" i="7"/>
  <c r="AL63" i="7"/>
  <c r="AM63" i="7"/>
  <c r="AN63" i="7"/>
  <c r="AO63" i="7"/>
  <c r="AP63" i="7"/>
  <c r="AQ63" i="7"/>
  <c r="AR63" i="7"/>
  <c r="AS63" i="7"/>
  <c r="AT63" i="7"/>
  <c r="AU63" i="7"/>
  <c r="AV63" i="7"/>
  <c r="AW63" i="7"/>
  <c r="AX63" i="7"/>
  <c r="AY63" i="7"/>
  <c r="AZ63" i="7"/>
  <c r="BA63" i="7"/>
  <c r="BB63" i="7"/>
  <c r="A64" i="7"/>
  <c r="B64" i="7"/>
  <c r="C64" i="7"/>
  <c r="D64" i="7"/>
  <c r="E64" i="7"/>
  <c r="F64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T64" i="7"/>
  <c r="U64" i="7"/>
  <c r="V64" i="7"/>
  <c r="W64" i="7"/>
  <c r="X64" i="7"/>
  <c r="Y64" i="7"/>
  <c r="Z64" i="7"/>
  <c r="AA64" i="7"/>
  <c r="AB64" i="7"/>
  <c r="AC64" i="7"/>
  <c r="AD64" i="7"/>
  <c r="AE64" i="7"/>
  <c r="AF64" i="7"/>
  <c r="AG64" i="7"/>
  <c r="AH64" i="7"/>
  <c r="AI64" i="7"/>
  <c r="AJ64" i="7"/>
  <c r="AK64" i="7"/>
  <c r="AL64" i="7"/>
  <c r="AM64" i="7"/>
  <c r="AN64" i="7"/>
  <c r="AO64" i="7"/>
  <c r="AP64" i="7"/>
  <c r="AQ64" i="7"/>
  <c r="AR64" i="7"/>
  <c r="AS64" i="7"/>
  <c r="AT64" i="7"/>
  <c r="AU64" i="7"/>
  <c r="AV64" i="7"/>
  <c r="AW64" i="7"/>
  <c r="AX64" i="7"/>
  <c r="AY64" i="7"/>
  <c r="AZ64" i="7"/>
  <c r="BA64" i="7"/>
  <c r="BB64" i="7"/>
  <c r="A65" i="7"/>
  <c r="B65" i="7"/>
  <c r="C65" i="7"/>
  <c r="D65" i="7"/>
  <c r="E65" i="7"/>
  <c r="F65" i="7"/>
  <c r="G65" i="7"/>
  <c r="H65" i="7"/>
  <c r="I65" i="7"/>
  <c r="J65" i="7"/>
  <c r="K65" i="7"/>
  <c r="L65" i="7"/>
  <c r="M65" i="7"/>
  <c r="N65" i="7"/>
  <c r="O65" i="7"/>
  <c r="P65" i="7"/>
  <c r="Q65" i="7"/>
  <c r="R65" i="7"/>
  <c r="S65" i="7"/>
  <c r="T65" i="7"/>
  <c r="U65" i="7"/>
  <c r="V65" i="7"/>
  <c r="W65" i="7"/>
  <c r="X65" i="7"/>
  <c r="Y65" i="7"/>
  <c r="Z65" i="7"/>
  <c r="AA65" i="7"/>
  <c r="AB65" i="7"/>
  <c r="AC65" i="7"/>
  <c r="AD65" i="7"/>
  <c r="AE65" i="7"/>
  <c r="AF65" i="7"/>
  <c r="AG65" i="7"/>
  <c r="AH65" i="7"/>
  <c r="AI65" i="7"/>
  <c r="AJ65" i="7"/>
  <c r="AK65" i="7"/>
  <c r="AL65" i="7"/>
  <c r="AM65" i="7"/>
  <c r="AN65" i="7"/>
  <c r="AO65" i="7"/>
  <c r="AP65" i="7"/>
  <c r="AQ65" i="7"/>
  <c r="AR65" i="7"/>
  <c r="AS65" i="7"/>
  <c r="AT65" i="7"/>
  <c r="AU65" i="7"/>
  <c r="AV65" i="7"/>
  <c r="AW65" i="7"/>
  <c r="AX65" i="7"/>
  <c r="AY65" i="7"/>
  <c r="AZ65" i="7"/>
  <c r="BA65" i="7"/>
  <c r="BB65" i="7"/>
  <c r="A66" i="7"/>
  <c r="B66" i="7"/>
  <c r="C66" i="7"/>
  <c r="D66" i="7"/>
  <c r="E66" i="7"/>
  <c r="F66" i="7"/>
  <c r="G66" i="7"/>
  <c r="H66" i="7"/>
  <c r="I66" i="7"/>
  <c r="J66" i="7"/>
  <c r="K66" i="7"/>
  <c r="L66" i="7"/>
  <c r="M66" i="7"/>
  <c r="N66" i="7"/>
  <c r="O66" i="7"/>
  <c r="P66" i="7"/>
  <c r="Q66" i="7"/>
  <c r="R66" i="7"/>
  <c r="S66" i="7"/>
  <c r="T66" i="7"/>
  <c r="U66" i="7"/>
  <c r="V66" i="7"/>
  <c r="W66" i="7"/>
  <c r="X66" i="7"/>
  <c r="Y66" i="7"/>
  <c r="Z66" i="7"/>
  <c r="AA66" i="7"/>
  <c r="AB66" i="7"/>
  <c r="AC66" i="7"/>
  <c r="AD66" i="7"/>
  <c r="AE66" i="7"/>
  <c r="AF66" i="7"/>
  <c r="AG66" i="7"/>
  <c r="AH66" i="7"/>
  <c r="AI66" i="7"/>
  <c r="AJ66" i="7"/>
  <c r="AK66" i="7"/>
  <c r="AL66" i="7"/>
  <c r="AM66" i="7"/>
  <c r="AN66" i="7"/>
  <c r="AO66" i="7"/>
  <c r="AP66" i="7"/>
  <c r="AQ66" i="7"/>
  <c r="AR66" i="7"/>
  <c r="AS66" i="7"/>
  <c r="AT66" i="7"/>
  <c r="AU66" i="7"/>
  <c r="AV66" i="7"/>
  <c r="AW66" i="7"/>
  <c r="AX66" i="7"/>
  <c r="AY66" i="7"/>
  <c r="AZ66" i="7"/>
  <c r="BA66" i="7"/>
  <c r="BB66" i="7"/>
  <c r="A67" i="7"/>
  <c r="B67" i="7"/>
  <c r="C67" i="7"/>
  <c r="D67" i="7"/>
  <c r="E67" i="7"/>
  <c r="F67" i="7"/>
  <c r="G67" i="7"/>
  <c r="H67" i="7"/>
  <c r="I67" i="7"/>
  <c r="J67" i="7"/>
  <c r="K67" i="7"/>
  <c r="L67" i="7"/>
  <c r="M67" i="7"/>
  <c r="N67" i="7"/>
  <c r="O67" i="7"/>
  <c r="P67" i="7"/>
  <c r="Q67" i="7"/>
  <c r="R67" i="7"/>
  <c r="S67" i="7"/>
  <c r="T67" i="7"/>
  <c r="U67" i="7"/>
  <c r="V67" i="7"/>
  <c r="W67" i="7"/>
  <c r="X67" i="7"/>
  <c r="Y67" i="7"/>
  <c r="Z67" i="7"/>
  <c r="AA67" i="7"/>
  <c r="AB67" i="7"/>
  <c r="AC67" i="7"/>
  <c r="AD67" i="7"/>
  <c r="AE67" i="7"/>
  <c r="AF67" i="7"/>
  <c r="AG67" i="7"/>
  <c r="AH67" i="7"/>
  <c r="AI67" i="7"/>
  <c r="AJ67" i="7"/>
  <c r="AK67" i="7"/>
  <c r="AL67" i="7"/>
  <c r="AM67" i="7"/>
  <c r="AN67" i="7"/>
  <c r="AO67" i="7"/>
  <c r="AP67" i="7"/>
  <c r="AQ67" i="7"/>
  <c r="AR67" i="7"/>
  <c r="AS67" i="7"/>
  <c r="AT67" i="7"/>
  <c r="AU67" i="7"/>
  <c r="AV67" i="7"/>
  <c r="AW67" i="7"/>
  <c r="AX67" i="7"/>
  <c r="AY67" i="7"/>
  <c r="AZ67" i="7"/>
  <c r="BA67" i="7"/>
  <c r="BB67" i="7"/>
  <c r="A68" i="7"/>
  <c r="B68" i="7"/>
  <c r="C68" i="7"/>
  <c r="D68" i="7"/>
  <c r="E68" i="7"/>
  <c r="F68" i="7"/>
  <c r="G68" i="7"/>
  <c r="H68" i="7"/>
  <c r="I68" i="7"/>
  <c r="J68" i="7"/>
  <c r="K68" i="7"/>
  <c r="L68" i="7"/>
  <c r="M68" i="7"/>
  <c r="N68" i="7"/>
  <c r="O68" i="7"/>
  <c r="P68" i="7"/>
  <c r="Q68" i="7"/>
  <c r="R68" i="7"/>
  <c r="S68" i="7"/>
  <c r="T68" i="7"/>
  <c r="U68" i="7"/>
  <c r="V68" i="7"/>
  <c r="W68" i="7"/>
  <c r="X68" i="7"/>
  <c r="Y68" i="7"/>
  <c r="Z68" i="7"/>
  <c r="AA68" i="7"/>
  <c r="AB68" i="7"/>
  <c r="AC68" i="7"/>
  <c r="AD68" i="7"/>
  <c r="AE68" i="7"/>
  <c r="AF68" i="7"/>
  <c r="AG68" i="7"/>
  <c r="AH68" i="7"/>
  <c r="AI68" i="7"/>
  <c r="AJ68" i="7"/>
  <c r="AK68" i="7"/>
  <c r="AL68" i="7"/>
  <c r="AM68" i="7"/>
  <c r="AN68" i="7"/>
  <c r="AO68" i="7"/>
  <c r="AP68" i="7"/>
  <c r="AQ68" i="7"/>
  <c r="AR68" i="7"/>
  <c r="AS68" i="7"/>
  <c r="AT68" i="7"/>
  <c r="AU68" i="7"/>
  <c r="AV68" i="7"/>
  <c r="AW68" i="7"/>
  <c r="AX68" i="7"/>
  <c r="AY68" i="7"/>
  <c r="AZ68" i="7"/>
  <c r="BA68" i="7"/>
  <c r="BB68" i="7"/>
  <c r="A69" i="7"/>
  <c r="B69" i="7"/>
  <c r="C69" i="7"/>
  <c r="D69" i="7"/>
  <c r="E69" i="7"/>
  <c r="F69" i="7"/>
  <c r="G69" i="7"/>
  <c r="H69" i="7"/>
  <c r="I69" i="7"/>
  <c r="J69" i="7"/>
  <c r="K69" i="7"/>
  <c r="L69" i="7"/>
  <c r="M69" i="7"/>
  <c r="N69" i="7"/>
  <c r="O69" i="7"/>
  <c r="P69" i="7"/>
  <c r="Q69" i="7"/>
  <c r="R69" i="7"/>
  <c r="S69" i="7"/>
  <c r="T69" i="7"/>
  <c r="U69" i="7"/>
  <c r="V69" i="7"/>
  <c r="W69" i="7"/>
  <c r="X69" i="7"/>
  <c r="Y69" i="7"/>
  <c r="Z69" i="7"/>
  <c r="AA69" i="7"/>
  <c r="AB69" i="7"/>
  <c r="AC69" i="7"/>
  <c r="AD69" i="7"/>
  <c r="AE69" i="7"/>
  <c r="AF69" i="7"/>
  <c r="AG69" i="7"/>
  <c r="AH69" i="7"/>
  <c r="AI69" i="7"/>
  <c r="AJ69" i="7"/>
  <c r="AK69" i="7"/>
  <c r="AL69" i="7"/>
  <c r="AM69" i="7"/>
  <c r="AN69" i="7"/>
  <c r="AO69" i="7"/>
  <c r="AP69" i="7"/>
  <c r="AQ69" i="7"/>
  <c r="AR69" i="7"/>
  <c r="AS69" i="7"/>
  <c r="AT69" i="7"/>
  <c r="AU69" i="7"/>
  <c r="AV69" i="7"/>
  <c r="AW69" i="7"/>
  <c r="AX69" i="7"/>
  <c r="AY69" i="7"/>
  <c r="AZ69" i="7"/>
  <c r="BA69" i="7"/>
  <c r="BB69" i="7"/>
  <c r="A70" i="7"/>
  <c r="B70" i="7"/>
  <c r="C70" i="7"/>
  <c r="D70" i="7"/>
  <c r="E70" i="7"/>
  <c r="F70" i="7"/>
  <c r="G70" i="7"/>
  <c r="H70" i="7"/>
  <c r="I70" i="7"/>
  <c r="J70" i="7"/>
  <c r="K70" i="7"/>
  <c r="L70" i="7"/>
  <c r="M70" i="7"/>
  <c r="N70" i="7"/>
  <c r="O70" i="7"/>
  <c r="P70" i="7"/>
  <c r="Q70" i="7"/>
  <c r="R70" i="7"/>
  <c r="S70" i="7"/>
  <c r="T70" i="7"/>
  <c r="U70" i="7"/>
  <c r="V70" i="7"/>
  <c r="W70" i="7"/>
  <c r="X70" i="7"/>
  <c r="Y70" i="7"/>
  <c r="Z70" i="7"/>
  <c r="AA70" i="7"/>
  <c r="AB70" i="7"/>
  <c r="AC70" i="7"/>
  <c r="AD70" i="7"/>
  <c r="AE70" i="7"/>
  <c r="AF70" i="7"/>
  <c r="AG70" i="7"/>
  <c r="AH70" i="7"/>
  <c r="AI70" i="7"/>
  <c r="AJ70" i="7"/>
  <c r="AK70" i="7"/>
  <c r="AL70" i="7"/>
  <c r="AM70" i="7"/>
  <c r="AN70" i="7"/>
  <c r="AO70" i="7"/>
  <c r="AP70" i="7"/>
  <c r="AQ70" i="7"/>
  <c r="AR70" i="7"/>
  <c r="AS70" i="7"/>
  <c r="AT70" i="7"/>
  <c r="AU70" i="7"/>
  <c r="AV70" i="7"/>
  <c r="AW70" i="7"/>
  <c r="AX70" i="7"/>
  <c r="AY70" i="7"/>
  <c r="AZ70" i="7"/>
  <c r="BA70" i="7"/>
  <c r="BB70" i="7"/>
  <c r="A71" i="7"/>
  <c r="B71" i="7"/>
  <c r="C71" i="7"/>
  <c r="D71" i="7"/>
  <c r="E71" i="7"/>
  <c r="F71" i="7"/>
  <c r="G71" i="7"/>
  <c r="H71" i="7"/>
  <c r="I71" i="7"/>
  <c r="J71" i="7"/>
  <c r="K71" i="7"/>
  <c r="L71" i="7"/>
  <c r="M71" i="7"/>
  <c r="N71" i="7"/>
  <c r="O71" i="7"/>
  <c r="P71" i="7"/>
  <c r="Q71" i="7"/>
  <c r="R71" i="7"/>
  <c r="S71" i="7"/>
  <c r="T71" i="7"/>
  <c r="U71" i="7"/>
  <c r="V71" i="7"/>
  <c r="W71" i="7"/>
  <c r="X71" i="7"/>
  <c r="Y71" i="7"/>
  <c r="Z71" i="7"/>
  <c r="AA71" i="7"/>
  <c r="AB71" i="7"/>
  <c r="AC71" i="7"/>
  <c r="AD71" i="7"/>
  <c r="AE71" i="7"/>
  <c r="AF71" i="7"/>
  <c r="AG71" i="7"/>
  <c r="AH71" i="7"/>
  <c r="AI71" i="7"/>
  <c r="AJ71" i="7"/>
  <c r="AK71" i="7"/>
  <c r="AL71" i="7"/>
  <c r="AM71" i="7"/>
  <c r="AN71" i="7"/>
  <c r="AO71" i="7"/>
  <c r="AP71" i="7"/>
  <c r="AQ71" i="7"/>
  <c r="AR71" i="7"/>
  <c r="AS71" i="7"/>
  <c r="AT71" i="7"/>
  <c r="AU71" i="7"/>
  <c r="AV71" i="7"/>
  <c r="AW71" i="7"/>
  <c r="AX71" i="7"/>
  <c r="AY71" i="7"/>
  <c r="AZ71" i="7"/>
  <c r="BA71" i="7"/>
  <c r="BB71" i="7"/>
  <c r="A72" i="7"/>
  <c r="B72" i="7"/>
  <c r="C72" i="7"/>
  <c r="D72" i="7"/>
  <c r="E72" i="7"/>
  <c r="F72" i="7"/>
  <c r="G72" i="7"/>
  <c r="H72" i="7"/>
  <c r="I72" i="7"/>
  <c r="J72" i="7"/>
  <c r="K72" i="7"/>
  <c r="L72" i="7"/>
  <c r="M72" i="7"/>
  <c r="N72" i="7"/>
  <c r="O72" i="7"/>
  <c r="P72" i="7"/>
  <c r="Q72" i="7"/>
  <c r="R72" i="7"/>
  <c r="S72" i="7"/>
  <c r="T72" i="7"/>
  <c r="U72" i="7"/>
  <c r="V72" i="7"/>
  <c r="W72" i="7"/>
  <c r="X72" i="7"/>
  <c r="Y72" i="7"/>
  <c r="Z72" i="7"/>
  <c r="AA72" i="7"/>
  <c r="AB72" i="7"/>
  <c r="AC72" i="7"/>
  <c r="AD72" i="7"/>
  <c r="AE72" i="7"/>
  <c r="AF72" i="7"/>
  <c r="AG72" i="7"/>
  <c r="AH72" i="7"/>
  <c r="AI72" i="7"/>
  <c r="AJ72" i="7"/>
  <c r="AK72" i="7"/>
  <c r="AL72" i="7"/>
  <c r="AM72" i="7"/>
  <c r="AN72" i="7"/>
  <c r="AO72" i="7"/>
  <c r="AP72" i="7"/>
  <c r="AQ72" i="7"/>
  <c r="AR72" i="7"/>
  <c r="AS72" i="7"/>
  <c r="AT72" i="7"/>
  <c r="AU72" i="7"/>
  <c r="AV72" i="7"/>
  <c r="AW72" i="7"/>
  <c r="AX72" i="7"/>
  <c r="AY72" i="7"/>
  <c r="AZ72" i="7"/>
  <c r="BA72" i="7"/>
  <c r="BB72" i="7"/>
  <c r="A73" i="7"/>
  <c r="B73" i="7"/>
  <c r="C73" i="7"/>
  <c r="D73" i="7"/>
  <c r="E73" i="7"/>
  <c r="F73" i="7"/>
  <c r="G73" i="7"/>
  <c r="H73" i="7"/>
  <c r="I73" i="7"/>
  <c r="J73" i="7"/>
  <c r="K73" i="7"/>
  <c r="L73" i="7"/>
  <c r="M73" i="7"/>
  <c r="N73" i="7"/>
  <c r="O73" i="7"/>
  <c r="P73" i="7"/>
  <c r="Q73" i="7"/>
  <c r="R73" i="7"/>
  <c r="S73" i="7"/>
  <c r="T73" i="7"/>
  <c r="U73" i="7"/>
  <c r="V73" i="7"/>
  <c r="W73" i="7"/>
  <c r="X73" i="7"/>
  <c r="Y73" i="7"/>
  <c r="Z73" i="7"/>
  <c r="AA73" i="7"/>
  <c r="AB73" i="7"/>
  <c r="AC73" i="7"/>
  <c r="AD73" i="7"/>
  <c r="AE73" i="7"/>
  <c r="AF73" i="7"/>
  <c r="AG73" i="7"/>
  <c r="AH73" i="7"/>
  <c r="AI73" i="7"/>
  <c r="AJ73" i="7"/>
  <c r="AK73" i="7"/>
  <c r="AL73" i="7"/>
  <c r="AM73" i="7"/>
  <c r="AN73" i="7"/>
  <c r="AO73" i="7"/>
  <c r="AP73" i="7"/>
  <c r="AQ73" i="7"/>
  <c r="AR73" i="7"/>
  <c r="AS73" i="7"/>
  <c r="AT73" i="7"/>
  <c r="AU73" i="7"/>
  <c r="AV73" i="7"/>
  <c r="AW73" i="7"/>
  <c r="AX73" i="7"/>
  <c r="AY73" i="7"/>
  <c r="AZ73" i="7"/>
  <c r="BA73" i="7"/>
  <c r="BB73" i="7"/>
  <c r="A74" i="7"/>
  <c r="B74" i="7"/>
  <c r="C74" i="7"/>
  <c r="D74" i="7"/>
  <c r="E74" i="7"/>
  <c r="F74" i="7"/>
  <c r="G74" i="7"/>
  <c r="H74" i="7"/>
  <c r="I74" i="7"/>
  <c r="J74" i="7"/>
  <c r="K74" i="7"/>
  <c r="L74" i="7"/>
  <c r="M74" i="7"/>
  <c r="N74" i="7"/>
  <c r="O74" i="7"/>
  <c r="P74" i="7"/>
  <c r="Q74" i="7"/>
  <c r="R74" i="7"/>
  <c r="S74" i="7"/>
  <c r="T74" i="7"/>
  <c r="U74" i="7"/>
  <c r="V74" i="7"/>
  <c r="W74" i="7"/>
  <c r="X74" i="7"/>
  <c r="Y74" i="7"/>
  <c r="Z74" i="7"/>
  <c r="AA74" i="7"/>
  <c r="AB74" i="7"/>
  <c r="AC74" i="7"/>
  <c r="AD74" i="7"/>
  <c r="AE74" i="7"/>
  <c r="AF74" i="7"/>
  <c r="AG74" i="7"/>
  <c r="AH74" i="7"/>
  <c r="AI74" i="7"/>
  <c r="AJ74" i="7"/>
  <c r="AK74" i="7"/>
  <c r="AL74" i="7"/>
  <c r="AM74" i="7"/>
  <c r="AN74" i="7"/>
  <c r="AO74" i="7"/>
  <c r="AP74" i="7"/>
  <c r="AQ74" i="7"/>
  <c r="AR74" i="7"/>
  <c r="AS74" i="7"/>
  <c r="AT74" i="7"/>
  <c r="AU74" i="7"/>
  <c r="AV74" i="7"/>
  <c r="AW74" i="7"/>
  <c r="AX74" i="7"/>
  <c r="AY74" i="7"/>
  <c r="AZ74" i="7"/>
  <c r="BA74" i="7"/>
  <c r="BB74" i="7"/>
  <c r="A75" i="7"/>
  <c r="B75" i="7"/>
  <c r="C75" i="7"/>
  <c r="D75" i="7"/>
  <c r="E75" i="7"/>
  <c r="F75" i="7"/>
  <c r="G75" i="7"/>
  <c r="H75" i="7"/>
  <c r="I75" i="7"/>
  <c r="J75" i="7"/>
  <c r="K75" i="7"/>
  <c r="L75" i="7"/>
  <c r="M75" i="7"/>
  <c r="N75" i="7"/>
  <c r="O75" i="7"/>
  <c r="P75" i="7"/>
  <c r="Q75" i="7"/>
  <c r="R75" i="7"/>
  <c r="S75" i="7"/>
  <c r="T75" i="7"/>
  <c r="U75" i="7"/>
  <c r="V75" i="7"/>
  <c r="W75" i="7"/>
  <c r="X75" i="7"/>
  <c r="Y75" i="7"/>
  <c r="Z75" i="7"/>
  <c r="AA75" i="7"/>
  <c r="AB75" i="7"/>
  <c r="AC75" i="7"/>
  <c r="AD75" i="7"/>
  <c r="AE75" i="7"/>
  <c r="AF75" i="7"/>
  <c r="AG75" i="7"/>
  <c r="AH75" i="7"/>
  <c r="AI75" i="7"/>
  <c r="AJ75" i="7"/>
  <c r="AK75" i="7"/>
  <c r="AL75" i="7"/>
  <c r="AM75" i="7"/>
  <c r="AN75" i="7"/>
  <c r="AO75" i="7"/>
  <c r="AP75" i="7"/>
  <c r="AQ75" i="7"/>
  <c r="AR75" i="7"/>
  <c r="AS75" i="7"/>
  <c r="AT75" i="7"/>
  <c r="AU75" i="7"/>
  <c r="AV75" i="7"/>
  <c r="AW75" i="7"/>
  <c r="AX75" i="7"/>
  <c r="AY75" i="7"/>
  <c r="AZ75" i="7"/>
  <c r="BA75" i="7"/>
  <c r="BB75" i="7"/>
  <c r="A76" i="7"/>
  <c r="B76" i="7"/>
  <c r="C76" i="7"/>
  <c r="D76" i="7"/>
  <c r="E76" i="7"/>
  <c r="F76" i="7"/>
  <c r="G76" i="7"/>
  <c r="H76" i="7"/>
  <c r="I76" i="7"/>
  <c r="J76" i="7"/>
  <c r="K76" i="7"/>
  <c r="L76" i="7"/>
  <c r="M76" i="7"/>
  <c r="N76" i="7"/>
  <c r="O76" i="7"/>
  <c r="P76" i="7"/>
  <c r="Q76" i="7"/>
  <c r="R76" i="7"/>
  <c r="S76" i="7"/>
  <c r="T76" i="7"/>
  <c r="U76" i="7"/>
  <c r="V76" i="7"/>
  <c r="W76" i="7"/>
  <c r="X76" i="7"/>
  <c r="Y76" i="7"/>
  <c r="Z76" i="7"/>
  <c r="AA76" i="7"/>
  <c r="AB76" i="7"/>
  <c r="AC76" i="7"/>
  <c r="AD76" i="7"/>
  <c r="AE76" i="7"/>
  <c r="AF76" i="7"/>
  <c r="AG76" i="7"/>
  <c r="AH76" i="7"/>
  <c r="AI76" i="7"/>
  <c r="AJ76" i="7"/>
  <c r="AK76" i="7"/>
  <c r="AL76" i="7"/>
  <c r="AM76" i="7"/>
  <c r="AN76" i="7"/>
  <c r="AO76" i="7"/>
  <c r="AP76" i="7"/>
  <c r="AQ76" i="7"/>
  <c r="AR76" i="7"/>
  <c r="AS76" i="7"/>
  <c r="AT76" i="7"/>
  <c r="AU76" i="7"/>
  <c r="AV76" i="7"/>
  <c r="AW76" i="7"/>
  <c r="AX76" i="7"/>
  <c r="AY76" i="7"/>
  <c r="AZ76" i="7"/>
  <c r="BA76" i="7"/>
  <c r="BB76" i="7"/>
  <c r="A77" i="7"/>
  <c r="B77" i="7"/>
  <c r="C77" i="7"/>
  <c r="D77" i="7"/>
  <c r="E77" i="7"/>
  <c r="F77" i="7"/>
  <c r="G77" i="7"/>
  <c r="H77" i="7"/>
  <c r="I77" i="7"/>
  <c r="J77" i="7"/>
  <c r="K77" i="7"/>
  <c r="L77" i="7"/>
  <c r="M77" i="7"/>
  <c r="N77" i="7"/>
  <c r="O77" i="7"/>
  <c r="P77" i="7"/>
  <c r="Q77" i="7"/>
  <c r="R77" i="7"/>
  <c r="S77" i="7"/>
  <c r="T77" i="7"/>
  <c r="U77" i="7"/>
  <c r="V77" i="7"/>
  <c r="W77" i="7"/>
  <c r="X77" i="7"/>
  <c r="Y77" i="7"/>
  <c r="Z77" i="7"/>
  <c r="AA77" i="7"/>
  <c r="AB77" i="7"/>
  <c r="AC77" i="7"/>
  <c r="AD77" i="7"/>
  <c r="AE77" i="7"/>
  <c r="AF77" i="7"/>
  <c r="AG77" i="7"/>
  <c r="AH77" i="7"/>
  <c r="AI77" i="7"/>
  <c r="AJ77" i="7"/>
  <c r="AK77" i="7"/>
  <c r="AL77" i="7"/>
  <c r="AM77" i="7"/>
  <c r="AN77" i="7"/>
  <c r="AO77" i="7"/>
  <c r="AP77" i="7"/>
  <c r="AQ77" i="7"/>
  <c r="AR77" i="7"/>
  <c r="AS77" i="7"/>
  <c r="AT77" i="7"/>
  <c r="AU77" i="7"/>
  <c r="AV77" i="7"/>
  <c r="AW77" i="7"/>
  <c r="AX77" i="7"/>
  <c r="AY77" i="7"/>
  <c r="AZ77" i="7"/>
  <c r="BA77" i="7"/>
  <c r="BB77" i="7"/>
  <c r="A78" i="7"/>
  <c r="B78" i="7"/>
  <c r="C78" i="7"/>
  <c r="D78" i="7"/>
  <c r="E78" i="7"/>
  <c r="F78" i="7"/>
  <c r="G78" i="7"/>
  <c r="H78" i="7"/>
  <c r="I78" i="7"/>
  <c r="J78" i="7"/>
  <c r="K78" i="7"/>
  <c r="L78" i="7"/>
  <c r="M78" i="7"/>
  <c r="N78" i="7"/>
  <c r="O78" i="7"/>
  <c r="P78" i="7"/>
  <c r="Q78" i="7"/>
  <c r="R78" i="7"/>
  <c r="S78" i="7"/>
  <c r="T78" i="7"/>
  <c r="U78" i="7"/>
  <c r="V78" i="7"/>
  <c r="W78" i="7"/>
  <c r="X78" i="7"/>
  <c r="Y78" i="7"/>
  <c r="Z78" i="7"/>
  <c r="AA78" i="7"/>
  <c r="AB78" i="7"/>
  <c r="AC78" i="7"/>
  <c r="AD78" i="7"/>
  <c r="AE78" i="7"/>
  <c r="AF78" i="7"/>
  <c r="AG78" i="7"/>
  <c r="AH78" i="7"/>
  <c r="AI78" i="7"/>
  <c r="AJ78" i="7"/>
  <c r="AK78" i="7"/>
  <c r="AL78" i="7"/>
  <c r="AM78" i="7"/>
  <c r="AN78" i="7"/>
  <c r="AO78" i="7"/>
  <c r="AP78" i="7"/>
  <c r="AQ78" i="7"/>
  <c r="AR78" i="7"/>
  <c r="AS78" i="7"/>
  <c r="AT78" i="7"/>
  <c r="AU78" i="7"/>
  <c r="AV78" i="7"/>
  <c r="AW78" i="7"/>
  <c r="AX78" i="7"/>
  <c r="AY78" i="7"/>
  <c r="AZ78" i="7"/>
  <c r="BA78" i="7"/>
  <c r="BB78" i="7"/>
  <c r="A79" i="7"/>
  <c r="B79" i="7"/>
  <c r="C79" i="7"/>
  <c r="D79" i="7"/>
  <c r="E79" i="7"/>
  <c r="F79" i="7"/>
  <c r="G79" i="7"/>
  <c r="H79" i="7"/>
  <c r="I79" i="7"/>
  <c r="J79" i="7"/>
  <c r="K79" i="7"/>
  <c r="L79" i="7"/>
  <c r="M79" i="7"/>
  <c r="N79" i="7"/>
  <c r="O79" i="7"/>
  <c r="P79" i="7"/>
  <c r="Q79" i="7"/>
  <c r="R79" i="7"/>
  <c r="S79" i="7"/>
  <c r="T79" i="7"/>
  <c r="U79" i="7"/>
  <c r="V79" i="7"/>
  <c r="W79" i="7"/>
  <c r="X79" i="7"/>
  <c r="Y79" i="7"/>
  <c r="Z79" i="7"/>
  <c r="AA79" i="7"/>
  <c r="AB79" i="7"/>
  <c r="AC79" i="7"/>
  <c r="AD79" i="7"/>
  <c r="AE79" i="7"/>
  <c r="AF79" i="7"/>
  <c r="AG79" i="7"/>
  <c r="AH79" i="7"/>
  <c r="AI79" i="7"/>
  <c r="AJ79" i="7"/>
  <c r="AK79" i="7"/>
  <c r="AL79" i="7"/>
  <c r="AM79" i="7"/>
  <c r="AN79" i="7"/>
  <c r="AO79" i="7"/>
  <c r="AP79" i="7"/>
  <c r="AQ79" i="7"/>
  <c r="AR79" i="7"/>
  <c r="AS79" i="7"/>
  <c r="AT79" i="7"/>
  <c r="AU79" i="7"/>
  <c r="AV79" i="7"/>
  <c r="AW79" i="7"/>
  <c r="AX79" i="7"/>
  <c r="AY79" i="7"/>
  <c r="AZ79" i="7"/>
  <c r="BA79" i="7"/>
  <c r="BB79" i="7"/>
  <c r="A80" i="7"/>
  <c r="B80" i="7"/>
  <c r="C80" i="7"/>
  <c r="D80" i="7"/>
  <c r="E80" i="7"/>
  <c r="F80" i="7"/>
  <c r="G80" i="7"/>
  <c r="H80" i="7"/>
  <c r="I80" i="7"/>
  <c r="J80" i="7"/>
  <c r="K80" i="7"/>
  <c r="L80" i="7"/>
  <c r="M80" i="7"/>
  <c r="N80" i="7"/>
  <c r="O80" i="7"/>
  <c r="P80" i="7"/>
  <c r="Q80" i="7"/>
  <c r="R80" i="7"/>
  <c r="S80" i="7"/>
  <c r="T80" i="7"/>
  <c r="U80" i="7"/>
  <c r="V80" i="7"/>
  <c r="W80" i="7"/>
  <c r="X80" i="7"/>
  <c r="Y80" i="7"/>
  <c r="Z80" i="7"/>
  <c r="AA80" i="7"/>
  <c r="AB80" i="7"/>
  <c r="AC80" i="7"/>
  <c r="AD80" i="7"/>
  <c r="AE80" i="7"/>
  <c r="AF80" i="7"/>
  <c r="AG80" i="7"/>
  <c r="AH80" i="7"/>
  <c r="AI80" i="7"/>
  <c r="AJ80" i="7"/>
  <c r="AK80" i="7"/>
  <c r="AL80" i="7"/>
  <c r="AM80" i="7"/>
  <c r="AN80" i="7"/>
  <c r="AO80" i="7"/>
  <c r="AP80" i="7"/>
  <c r="AQ80" i="7"/>
  <c r="AR80" i="7"/>
  <c r="AS80" i="7"/>
  <c r="AT80" i="7"/>
  <c r="AU80" i="7"/>
  <c r="AV80" i="7"/>
  <c r="AW80" i="7"/>
  <c r="AX80" i="7"/>
  <c r="AY80" i="7"/>
  <c r="AZ80" i="7"/>
  <c r="BA80" i="7"/>
  <c r="BB80" i="7"/>
  <c r="A81" i="7"/>
  <c r="B81" i="7"/>
  <c r="C81" i="7"/>
  <c r="D81" i="7"/>
  <c r="E81" i="7"/>
  <c r="F81" i="7"/>
  <c r="G81" i="7"/>
  <c r="H81" i="7"/>
  <c r="I81" i="7"/>
  <c r="J81" i="7"/>
  <c r="K81" i="7"/>
  <c r="L81" i="7"/>
  <c r="M81" i="7"/>
  <c r="N81" i="7"/>
  <c r="O81" i="7"/>
  <c r="P81" i="7"/>
  <c r="Q81" i="7"/>
  <c r="R81" i="7"/>
  <c r="S81" i="7"/>
  <c r="T81" i="7"/>
  <c r="U81" i="7"/>
  <c r="V81" i="7"/>
  <c r="W81" i="7"/>
  <c r="X81" i="7"/>
  <c r="Y81" i="7"/>
  <c r="Z81" i="7"/>
  <c r="AA81" i="7"/>
  <c r="AB81" i="7"/>
  <c r="AC81" i="7"/>
  <c r="AD81" i="7"/>
  <c r="AE81" i="7"/>
  <c r="AF81" i="7"/>
  <c r="AG81" i="7"/>
  <c r="AH81" i="7"/>
  <c r="AI81" i="7"/>
  <c r="AJ81" i="7"/>
  <c r="AK81" i="7"/>
  <c r="AL81" i="7"/>
  <c r="AM81" i="7"/>
  <c r="AN81" i="7"/>
  <c r="AO81" i="7"/>
  <c r="AP81" i="7"/>
  <c r="AQ81" i="7"/>
  <c r="AR81" i="7"/>
  <c r="AS81" i="7"/>
  <c r="AT81" i="7"/>
  <c r="AU81" i="7"/>
  <c r="AV81" i="7"/>
  <c r="AW81" i="7"/>
  <c r="AX81" i="7"/>
  <c r="AY81" i="7"/>
  <c r="AZ81" i="7"/>
  <c r="BA81" i="7"/>
  <c r="BB81" i="7"/>
  <c r="A82" i="7"/>
  <c r="B82" i="7"/>
  <c r="C82" i="7"/>
  <c r="D82" i="7"/>
  <c r="E82" i="7"/>
  <c r="F82" i="7"/>
  <c r="G82" i="7"/>
  <c r="H82" i="7"/>
  <c r="I82" i="7"/>
  <c r="J82" i="7"/>
  <c r="K82" i="7"/>
  <c r="L82" i="7"/>
  <c r="M82" i="7"/>
  <c r="N82" i="7"/>
  <c r="O82" i="7"/>
  <c r="P82" i="7"/>
  <c r="Q82" i="7"/>
  <c r="R82" i="7"/>
  <c r="S82" i="7"/>
  <c r="T82" i="7"/>
  <c r="U82" i="7"/>
  <c r="V82" i="7"/>
  <c r="W82" i="7"/>
  <c r="X82" i="7"/>
  <c r="Y82" i="7"/>
  <c r="Z82" i="7"/>
  <c r="AA82" i="7"/>
  <c r="AB82" i="7"/>
  <c r="AC82" i="7"/>
  <c r="AD82" i="7"/>
  <c r="AE82" i="7"/>
  <c r="AF82" i="7"/>
  <c r="AG82" i="7"/>
  <c r="AH82" i="7"/>
  <c r="AI82" i="7"/>
  <c r="AJ82" i="7"/>
  <c r="AK82" i="7"/>
  <c r="AL82" i="7"/>
  <c r="AM82" i="7"/>
  <c r="AN82" i="7"/>
  <c r="AO82" i="7"/>
  <c r="AP82" i="7"/>
  <c r="AQ82" i="7"/>
  <c r="AR82" i="7"/>
  <c r="AS82" i="7"/>
  <c r="AT82" i="7"/>
  <c r="AU82" i="7"/>
  <c r="AV82" i="7"/>
  <c r="AW82" i="7"/>
  <c r="AX82" i="7"/>
  <c r="AY82" i="7"/>
  <c r="AZ82" i="7"/>
  <c r="BA82" i="7"/>
  <c r="BB82" i="7"/>
  <c r="A83" i="7"/>
  <c r="B83" i="7"/>
  <c r="C83" i="7"/>
  <c r="D83" i="7"/>
  <c r="E83" i="7"/>
  <c r="F83" i="7"/>
  <c r="G83" i="7"/>
  <c r="H83" i="7"/>
  <c r="I83" i="7"/>
  <c r="J83" i="7"/>
  <c r="K83" i="7"/>
  <c r="L83" i="7"/>
  <c r="M83" i="7"/>
  <c r="N83" i="7"/>
  <c r="O83" i="7"/>
  <c r="P83" i="7"/>
  <c r="Q83" i="7"/>
  <c r="R83" i="7"/>
  <c r="S83" i="7"/>
  <c r="T83" i="7"/>
  <c r="U83" i="7"/>
  <c r="V83" i="7"/>
  <c r="W83" i="7"/>
  <c r="X83" i="7"/>
  <c r="Y83" i="7"/>
  <c r="Z83" i="7"/>
  <c r="AA83" i="7"/>
  <c r="AB83" i="7"/>
  <c r="AC83" i="7"/>
  <c r="AD83" i="7"/>
  <c r="AE83" i="7"/>
  <c r="AF83" i="7"/>
  <c r="AG83" i="7"/>
  <c r="AH83" i="7"/>
  <c r="AI83" i="7"/>
  <c r="AJ83" i="7"/>
  <c r="AK83" i="7"/>
  <c r="AL83" i="7"/>
  <c r="AM83" i="7"/>
  <c r="AN83" i="7"/>
  <c r="AO83" i="7"/>
  <c r="AP83" i="7"/>
  <c r="AQ83" i="7"/>
  <c r="AR83" i="7"/>
  <c r="AS83" i="7"/>
  <c r="AT83" i="7"/>
  <c r="AU83" i="7"/>
  <c r="AV83" i="7"/>
  <c r="AW83" i="7"/>
  <c r="AX83" i="7"/>
  <c r="AY83" i="7"/>
  <c r="AZ83" i="7"/>
  <c r="BA83" i="7"/>
  <c r="BB83" i="7"/>
  <c r="A84" i="7"/>
  <c r="B84" i="7"/>
  <c r="C84" i="7"/>
  <c r="D84" i="7"/>
  <c r="E84" i="7"/>
  <c r="F84" i="7"/>
  <c r="G84" i="7"/>
  <c r="H84" i="7"/>
  <c r="I84" i="7"/>
  <c r="J84" i="7"/>
  <c r="K84" i="7"/>
  <c r="L84" i="7"/>
  <c r="M84" i="7"/>
  <c r="N84" i="7"/>
  <c r="O84" i="7"/>
  <c r="P84" i="7"/>
  <c r="Q84" i="7"/>
  <c r="R84" i="7"/>
  <c r="S84" i="7"/>
  <c r="T84" i="7"/>
  <c r="U84" i="7"/>
  <c r="V84" i="7"/>
  <c r="W84" i="7"/>
  <c r="X84" i="7"/>
  <c r="Y84" i="7"/>
  <c r="Z84" i="7"/>
  <c r="AA84" i="7"/>
  <c r="AB84" i="7"/>
  <c r="AC84" i="7"/>
  <c r="AD84" i="7"/>
  <c r="AE84" i="7"/>
  <c r="AF84" i="7"/>
  <c r="AG84" i="7"/>
  <c r="AH84" i="7"/>
  <c r="AI84" i="7"/>
  <c r="AJ84" i="7"/>
  <c r="AK84" i="7"/>
  <c r="AL84" i="7"/>
  <c r="AM84" i="7"/>
  <c r="AN84" i="7"/>
  <c r="AO84" i="7"/>
  <c r="AP84" i="7"/>
  <c r="AQ84" i="7"/>
  <c r="AR84" i="7"/>
  <c r="AS84" i="7"/>
  <c r="AT84" i="7"/>
  <c r="AU84" i="7"/>
  <c r="AV84" i="7"/>
  <c r="AW84" i="7"/>
  <c r="AX84" i="7"/>
  <c r="AY84" i="7"/>
  <c r="AZ84" i="7"/>
  <c r="BA84" i="7"/>
  <c r="BB84" i="7"/>
  <c r="A85" i="7"/>
  <c r="B85" i="7"/>
  <c r="C85" i="7"/>
  <c r="D85" i="7"/>
  <c r="E85" i="7"/>
  <c r="F85" i="7"/>
  <c r="G85" i="7"/>
  <c r="H85" i="7"/>
  <c r="I85" i="7"/>
  <c r="J85" i="7"/>
  <c r="K85" i="7"/>
  <c r="L85" i="7"/>
  <c r="M85" i="7"/>
  <c r="N85" i="7"/>
  <c r="O85" i="7"/>
  <c r="P85" i="7"/>
  <c r="Q85" i="7"/>
  <c r="R85" i="7"/>
  <c r="S85" i="7"/>
  <c r="T85" i="7"/>
  <c r="U85" i="7"/>
  <c r="V85" i="7"/>
  <c r="W85" i="7"/>
  <c r="X85" i="7"/>
  <c r="Y85" i="7"/>
  <c r="Z85" i="7"/>
  <c r="AA85" i="7"/>
  <c r="AB85" i="7"/>
  <c r="AC85" i="7"/>
  <c r="AD85" i="7"/>
  <c r="AE85" i="7"/>
  <c r="AF85" i="7"/>
  <c r="AG85" i="7"/>
  <c r="AH85" i="7"/>
  <c r="AI85" i="7"/>
  <c r="AJ85" i="7"/>
  <c r="AK85" i="7"/>
  <c r="AL85" i="7"/>
  <c r="AM85" i="7"/>
  <c r="AN85" i="7"/>
  <c r="AO85" i="7"/>
  <c r="AP85" i="7"/>
  <c r="AQ85" i="7"/>
  <c r="AR85" i="7"/>
  <c r="AS85" i="7"/>
  <c r="AT85" i="7"/>
  <c r="AU85" i="7"/>
  <c r="AV85" i="7"/>
  <c r="AW85" i="7"/>
  <c r="AX85" i="7"/>
  <c r="AY85" i="7"/>
  <c r="AZ85" i="7"/>
  <c r="BA85" i="7"/>
  <c r="BB85" i="7"/>
  <c r="A86" i="7"/>
  <c r="B86" i="7"/>
  <c r="C86" i="7"/>
  <c r="D86" i="7"/>
  <c r="E86" i="7"/>
  <c r="F86" i="7"/>
  <c r="G86" i="7"/>
  <c r="H86" i="7"/>
  <c r="I86" i="7"/>
  <c r="J86" i="7"/>
  <c r="K86" i="7"/>
  <c r="L86" i="7"/>
  <c r="M86" i="7"/>
  <c r="N86" i="7"/>
  <c r="O86" i="7"/>
  <c r="P86" i="7"/>
  <c r="Q86" i="7"/>
  <c r="R86" i="7"/>
  <c r="S86" i="7"/>
  <c r="T86" i="7"/>
  <c r="U86" i="7"/>
  <c r="V86" i="7"/>
  <c r="W86" i="7"/>
  <c r="X86" i="7"/>
  <c r="Y86" i="7"/>
  <c r="Z86" i="7"/>
  <c r="AA86" i="7"/>
  <c r="AB86" i="7"/>
  <c r="AC86" i="7"/>
  <c r="AD86" i="7"/>
  <c r="AE86" i="7"/>
  <c r="AF86" i="7"/>
  <c r="AG86" i="7"/>
  <c r="AH86" i="7"/>
  <c r="AI86" i="7"/>
  <c r="AJ86" i="7"/>
  <c r="AK86" i="7"/>
  <c r="AL86" i="7"/>
  <c r="AM86" i="7"/>
  <c r="AN86" i="7"/>
  <c r="AO86" i="7"/>
  <c r="AP86" i="7"/>
  <c r="AQ86" i="7"/>
  <c r="AR86" i="7"/>
  <c r="AS86" i="7"/>
  <c r="AT86" i="7"/>
  <c r="AU86" i="7"/>
  <c r="AV86" i="7"/>
  <c r="AW86" i="7"/>
  <c r="AX86" i="7"/>
  <c r="AY86" i="7"/>
  <c r="AZ86" i="7"/>
  <c r="BA86" i="7"/>
  <c r="BB86" i="7"/>
  <c r="A87" i="7"/>
  <c r="B87" i="7"/>
  <c r="C87" i="7"/>
  <c r="D87" i="7"/>
  <c r="E87" i="7"/>
  <c r="F87" i="7"/>
  <c r="G87" i="7"/>
  <c r="H87" i="7"/>
  <c r="I87" i="7"/>
  <c r="J87" i="7"/>
  <c r="K87" i="7"/>
  <c r="L87" i="7"/>
  <c r="M87" i="7"/>
  <c r="N87" i="7"/>
  <c r="O87" i="7"/>
  <c r="P87" i="7"/>
  <c r="Q87" i="7"/>
  <c r="R87" i="7"/>
  <c r="S87" i="7"/>
  <c r="T87" i="7"/>
  <c r="U87" i="7"/>
  <c r="V87" i="7"/>
  <c r="W87" i="7"/>
  <c r="X87" i="7"/>
  <c r="Y87" i="7"/>
  <c r="Z87" i="7"/>
  <c r="AA87" i="7"/>
  <c r="AB87" i="7"/>
  <c r="AC87" i="7"/>
  <c r="AD87" i="7"/>
  <c r="AE87" i="7"/>
  <c r="AF87" i="7"/>
  <c r="AG87" i="7"/>
  <c r="AH87" i="7"/>
  <c r="AI87" i="7"/>
  <c r="AJ87" i="7"/>
  <c r="AK87" i="7"/>
  <c r="AL87" i="7"/>
  <c r="AM87" i="7"/>
  <c r="AN87" i="7"/>
  <c r="AO87" i="7"/>
  <c r="AP87" i="7"/>
  <c r="AQ87" i="7"/>
  <c r="AR87" i="7"/>
  <c r="AS87" i="7"/>
  <c r="AT87" i="7"/>
  <c r="AU87" i="7"/>
  <c r="AV87" i="7"/>
  <c r="AW87" i="7"/>
  <c r="AX87" i="7"/>
  <c r="AY87" i="7"/>
  <c r="AZ87" i="7"/>
  <c r="BA87" i="7"/>
  <c r="BB87" i="7"/>
  <c r="A88" i="7"/>
  <c r="B88" i="7"/>
  <c r="C88" i="7"/>
  <c r="D88" i="7"/>
  <c r="E88" i="7"/>
  <c r="F88" i="7"/>
  <c r="G88" i="7"/>
  <c r="H88" i="7"/>
  <c r="I88" i="7"/>
  <c r="J88" i="7"/>
  <c r="K88" i="7"/>
  <c r="L88" i="7"/>
  <c r="M88" i="7"/>
  <c r="N88" i="7"/>
  <c r="O88" i="7"/>
  <c r="P88" i="7"/>
  <c r="Q88" i="7"/>
  <c r="R88" i="7"/>
  <c r="S88" i="7"/>
  <c r="T88" i="7"/>
  <c r="U88" i="7"/>
  <c r="V88" i="7"/>
  <c r="W88" i="7"/>
  <c r="X88" i="7"/>
  <c r="Y88" i="7"/>
  <c r="Z88" i="7"/>
  <c r="AA88" i="7"/>
  <c r="AB88" i="7"/>
  <c r="AC88" i="7"/>
  <c r="AD88" i="7"/>
  <c r="AE88" i="7"/>
  <c r="AF88" i="7"/>
  <c r="AG88" i="7"/>
  <c r="AH88" i="7"/>
  <c r="AI88" i="7"/>
  <c r="AJ88" i="7"/>
  <c r="AK88" i="7"/>
  <c r="AL88" i="7"/>
  <c r="AM88" i="7"/>
  <c r="AN88" i="7"/>
  <c r="AO88" i="7"/>
  <c r="AP88" i="7"/>
  <c r="AQ88" i="7"/>
  <c r="AR88" i="7"/>
  <c r="AS88" i="7"/>
  <c r="AT88" i="7"/>
  <c r="AU88" i="7"/>
  <c r="AV88" i="7"/>
  <c r="AW88" i="7"/>
  <c r="AX88" i="7"/>
  <c r="AY88" i="7"/>
  <c r="AZ88" i="7"/>
  <c r="BA88" i="7"/>
  <c r="BB88" i="7"/>
  <c r="A89" i="7"/>
  <c r="B89" i="7"/>
  <c r="C89" i="7"/>
  <c r="D89" i="7"/>
  <c r="E89" i="7"/>
  <c r="F89" i="7"/>
  <c r="G89" i="7"/>
  <c r="H89" i="7"/>
  <c r="I89" i="7"/>
  <c r="J89" i="7"/>
  <c r="K89" i="7"/>
  <c r="L89" i="7"/>
  <c r="M89" i="7"/>
  <c r="N89" i="7"/>
  <c r="O89" i="7"/>
  <c r="P89" i="7"/>
  <c r="Q89" i="7"/>
  <c r="R89" i="7"/>
  <c r="S89" i="7"/>
  <c r="T89" i="7"/>
  <c r="U89" i="7"/>
  <c r="V89" i="7"/>
  <c r="W89" i="7"/>
  <c r="X89" i="7"/>
  <c r="Y89" i="7"/>
  <c r="Z89" i="7"/>
  <c r="AA89" i="7"/>
  <c r="AB89" i="7"/>
  <c r="AC89" i="7"/>
  <c r="AD89" i="7"/>
  <c r="AE89" i="7"/>
  <c r="AF89" i="7"/>
  <c r="AG89" i="7"/>
  <c r="AH89" i="7"/>
  <c r="AI89" i="7"/>
  <c r="AJ89" i="7"/>
  <c r="AK89" i="7"/>
  <c r="AL89" i="7"/>
  <c r="AM89" i="7"/>
  <c r="AN89" i="7"/>
  <c r="AO89" i="7"/>
  <c r="AP89" i="7"/>
  <c r="AQ89" i="7"/>
  <c r="AR89" i="7"/>
  <c r="AS89" i="7"/>
  <c r="AT89" i="7"/>
  <c r="AU89" i="7"/>
  <c r="AV89" i="7"/>
  <c r="AW89" i="7"/>
  <c r="AX89" i="7"/>
  <c r="AY89" i="7"/>
  <c r="AZ89" i="7"/>
  <c r="BA89" i="7"/>
  <c r="BB89" i="7"/>
  <c r="A90" i="7"/>
  <c r="B90" i="7"/>
  <c r="C90" i="7"/>
  <c r="D90" i="7"/>
  <c r="E90" i="7"/>
  <c r="F90" i="7"/>
  <c r="G90" i="7"/>
  <c r="H90" i="7"/>
  <c r="I90" i="7"/>
  <c r="J90" i="7"/>
  <c r="K90" i="7"/>
  <c r="L90" i="7"/>
  <c r="M90" i="7"/>
  <c r="N90" i="7"/>
  <c r="O90" i="7"/>
  <c r="P90" i="7"/>
  <c r="Q90" i="7"/>
  <c r="R90" i="7"/>
  <c r="S90" i="7"/>
  <c r="T90" i="7"/>
  <c r="U90" i="7"/>
  <c r="V90" i="7"/>
  <c r="W90" i="7"/>
  <c r="X90" i="7"/>
  <c r="Y90" i="7"/>
  <c r="Z90" i="7"/>
  <c r="AA90" i="7"/>
  <c r="AB90" i="7"/>
  <c r="AC90" i="7"/>
  <c r="AD90" i="7"/>
  <c r="AE90" i="7"/>
  <c r="AF90" i="7"/>
  <c r="AG90" i="7"/>
  <c r="AH90" i="7"/>
  <c r="AI90" i="7"/>
  <c r="AJ90" i="7"/>
  <c r="AK90" i="7"/>
  <c r="AL90" i="7"/>
  <c r="AM90" i="7"/>
  <c r="AN90" i="7"/>
  <c r="AO90" i="7"/>
  <c r="AP90" i="7"/>
  <c r="AQ90" i="7"/>
  <c r="AR90" i="7"/>
  <c r="AS90" i="7"/>
  <c r="AT90" i="7"/>
  <c r="AU90" i="7"/>
  <c r="AV90" i="7"/>
  <c r="AW90" i="7"/>
  <c r="AX90" i="7"/>
  <c r="AY90" i="7"/>
  <c r="AZ90" i="7"/>
  <c r="BA90" i="7"/>
  <c r="BB90" i="7"/>
  <c r="A91" i="7"/>
  <c r="B91" i="7"/>
  <c r="C91" i="7"/>
  <c r="D91" i="7"/>
  <c r="E91" i="7"/>
  <c r="F91" i="7"/>
  <c r="G91" i="7"/>
  <c r="H91" i="7"/>
  <c r="I91" i="7"/>
  <c r="J91" i="7"/>
  <c r="K91" i="7"/>
  <c r="L91" i="7"/>
  <c r="M91" i="7"/>
  <c r="N91" i="7"/>
  <c r="O91" i="7"/>
  <c r="P91" i="7"/>
  <c r="Q91" i="7"/>
  <c r="R91" i="7"/>
  <c r="S91" i="7"/>
  <c r="T91" i="7"/>
  <c r="U91" i="7"/>
  <c r="V91" i="7"/>
  <c r="W91" i="7"/>
  <c r="X91" i="7"/>
  <c r="Y91" i="7"/>
  <c r="Z91" i="7"/>
  <c r="AA91" i="7"/>
  <c r="AB91" i="7"/>
  <c r="AC91" i="7"/>
  <c r="AD91" i="7"/>
  <c r="AE91" i="7"/>
  <c r="AF91" i="7"/>
  <c r="AG91" i="7"/>
  <c r="AH91" i="7"/>
  <c r="AI91" i="7"/>
  <c r="AJ91" i="7"/>
  <c r="AK91" i="7"/>
  <c r="AL91" i="7"/>
  <c r="AM91" i="7"/>
  <c r="AN91" i="7"/>
  <c r="AO91" i="7"/>
  <c r="AP91" i="7"/>
  <c r="AQ91" i="7"/>
  <c r="AR91" i="7"/>
  <c r="AS91" i="7"/>
  <c r="AT91" i="7"/>
  <c r="AU91" i="7"/>
  <c r="AV91" i="7"/>
  <c r="AW91" i="7"/>
  <c r="AX91" i="7"/>
  <c r="AY91" i="7"/>
  <c r="AZ91" i="7"/>
  <c r="BA91" i="7"/>
  <c r="BB91" i="7"/>
  <c r="A92" i="7"/>
  <c r="B92" i="7"/>
  <c r="C92" i="7"/>
  <c r="D92" i="7"/>
  <c r="E92" i="7"/>
  <c r="F92" i="7"/>
  <c r="G92" i="7"/>
  <c r="H92" i="7"/>
  <c r="I92" i="7"/>
  <c r="J92" i="7"/>
  <c r="K92" i="7"/>
  <c r="L92" i="7"/>
  <c r="M92" i="7"/>
  <c r="N92" i="7"/>
  <c r="O92" i="7"/>
  <c r="P92" i="7"/>
  <c r="Q92" i="7"/>
  <c r="R92" i="7"/>
  <c r="S92" i="7"/>
  <c r="T92" i="7"/>
  <c r="U92" i="7"/>
  <c r="V92" i="7"/>
  <c r="W92" i="7"/>
  <c r="X92" i="7"/>
  <c r="Y92" i="7"/>
  <c r="Z92" i="7"/>
  <c r="AA92" i="7"/>
  <c r="AB92" i="7"/>
  <c r="AC92" i="7"/>
  <c r="AD92" i="7"/>
  <c r="AE92" i="7"/>
  <c r="AF92" i="7"/>
  <c r="AG92" i="7"/>
  <c r="AH92" i="7"/>
  <c r="AI92" i="7"/>
  <c r="AJ92" i="7"/>
  <c r="AK92" i="7"/>
  <c r="AL92" i="7"/>
  <c r="AM92" i="7"/>
  <c r="AN92" i="7"/>
  <c r="AO92" i="7"/>
  <c r="AP92" i="7"/>
  <c r="AQ92" i="7"/>
  <c r="AR92" i="7"/>
  <c r="AS92" i="7"/>
  <c r="AT92" i="7"/>
  <c r="AU92" i="7"/>
  <c r="AV92" i="7"/>
  <c r="AW92" i="7"/>
  <c r="AX92" i="7"/>
  <c r="AY92" i="7"/>
  <c r="AZ92" i="7"/>
  <c r="BA92" i="7"/>
  <c r="BB92" i="7"/>
  <c r="A93" i="7"/>
  <c r="B93" i="7"/>
  <c r="C93" i="7"/>
  <c r="D93" i="7"/>
  <c r="E93" i="7"/>
  <c r="F93" i="7"/>
  <c r="G93" i="7"/>
  <c r="H93" i="7"/>
  <c r="I93" i="7"/>
  <c r="J93" i="7"/>
  <c r="K93" i="7"/>
  <c r="L93" i="7"/>
  <c r="M93" i="7"/>
  <c r="N93" i="7"/>
  <c r="O93" i="7"/>
  <c r="P93" i="7"/>
  <c r="Q93" i="7"/>
  <c r="R93" i="7"/>
  <c r="S93" i="7"/>
  <c r="T93" i="7"/>
  <c r="U93" i="7"/>
  <c r="V93" i="7"/>
  <c r="W93" i="7"/>
  <c r="X93" i="7"/>
  <c r="Y93" i="7"/>
  <c r="Z93" i="7"/>
  <c r="AA93" i="7"/>
  <c r="AB93" i="7"/>
  <c r="AC93" i="7"/>
  <c r="AD93" i="7"/>
  <c r="AE93" i="7"/>
  <c r="AF93" i="7"/>
  <c r="AG93" i="7"/>
  <c r="AH93" i="7"/>
  <c r="AI93" i="7"/>
  <c r="AJ93" i="7"/>
  <c r="AK93" i="7"/>
  <c r="AL93" i="7"/>
  <c r="AM93" i="7"/>
  <c r="AN93" i="7"/>
  <c r="AO93" i="7"/>
  <c r="AP93" i="7"/>
  <c r="AQ93" i="7"/>
  <c r="AR93" i="7"/>
  <c r="AS93" i="7"/>
  <c r="AT93" i="7"/>
  <c r="AU93" i="7"/>
  <c r="AV93" i="7"/>
  <c r="AW93" i="7"/>
  <c r="AX93" i="7"/>
  <c r="AY93" i="7"/>
  <c r="AZ93" i="7"/>
  <c r="BA93" i="7"/>
  <c r="BB93" i="7"/>
  <c r="A94" i="7"/>
  <c r="B94" i="7"/>
  <c r="C94" i="7"/>
  <c r="D94" i="7"/>
  <c r="E94" i="7"/>
  <c r="F94" i="7"/>
  <c r="G94" i="7"/>
  <c r="H94" i="7"/>
  <c r="I94" i="7"/>
  <c r="J94" i="7"/>
  <c r="K94" i="7"/>
  <c r="L94" i="7"/>
  <c r="M94" i="7"/>
  <c r="N94" i="7"/>
  <c r="O94" i="7"/>
  <c r="P94" i="7"/>
  <c r="Q94" i="7"/>
  <c r="R94" i="7"/>
  <c r="S94" i="7"/>
  <c r="T94" i="7"/>
  <c r="U94" i="7"/>
  <c r="V94" i="7"/>
  <c r="W94" i="7"/>
  <c r="X94" i="7"/>
  <c r="Y94" i="7"/>
  <c r="Z94" i="7"/>
  <c r="AA94" i="7"/>
  <c r="AB94" i="7"/>
  <c r="AC94" i="7"/>
  <c r="AD94" i="7"/>
  <c r="AE94" i="7"/>
  <c r="AF94" i="7"/>
  <c r="AG94" i="7"/>
  <c r="AH94" i="7"/>
  <c r="AI94" i="7"/>
  <c r="AJ94" i="7"/>
  <c r="AK94" i="7"/>
  <c r="AL94" i="7"/>
  <c r="AM94" i="7"/>
  <c r="AN94" i="7"/>
  <c r="AO94" i="7"/>
  <c r="AP94" i="7"/>
  <c r="AQ94" i="7"/>
  <c r="AR94" i="7"/>
  <c r="AS94" i="7"/>
  <c r="AT94" i="7"/>
  <c r="AU94" i="7"/>
  <c r="AV94" i="7"/>
  <c r="AW94" i="7"/>
  <c r="AX94" i="7"/>
  <c r="AY94" i="7"/>
  <c r="AZ94" i="7"/>
  <c r="BA94" i="7"/>
  <c r="BB94" i="7"/>
  <c r="A95" i="7"/>
  <c r="B95" i="7"/>
  <c r="C95" i="7"/>
  <c r="D95" i="7"/>
  <c r="E95" i="7"/>
  <c r="F95" i="7"/>
  <c r="G95" i="7"/>
  <c r="H95" i="7"/>
  <c r="I95" i="7"/>
  <c r="J95" i="7"/>
  <c r="K95" i="7"/>
  <c r="L95" i="7"/>
  <c r="M95" i="7"/>
  <c r="N95" i="7"/>
  <c r="O95" i="7"/>
  <c r="P95" i="7"/>
  <c r="Q95" i="7"/>
  <c r="R95" i="7"/>
  <c r="S95" i="7"/>
  <c r="T95" i="7"/>
  <c r="U95" i="7"/>
  <c r="V95" i="7"/>
  <c r="W95" i="7"/>
  <c r="X95" i="7"/>
  <c r="Y95" i="7"/>
  <c r="Z95" i="7"/>
  <c r="AA95" i="7"/>
  <c r="AB95" i="7"/>
  <c r="AC95" i="7"/>
  <c r="AD95" i="7"/>
  <c r="AE95" i="7"/>
  <c r="AF95" i="7"/>
  <c r="AG95" i="7"/>
  <c r="AH95" i="7"/>
  <c r="AI95" i="7"/>
  <c r="AJ95" i="7"/>
  <c r="AK95" i="7"/>
  <c r="AL95" i="7"/>
  <c r="AM95" i="7"/>
  <c r="AN95" i="7"/>
  <c r="AO95" i="7"/>
  <c r="AP95" i="7"/>
  <c r="AQ95" i="7"/>
  <c r="AR95" i="7"/>
  <c r="AS95" i="7"/>
  <c r="AT95" i="7"/>
  <c r="AU95" i="7"/>
  <c r="AV95" i="7"/>
  <c r="AW95" i="7"/>
  <c r="AX95" i="7"/>
  <c r="AY95" i="7"/>
  <c r="AZ95" i="7"/>
  <c r="BA95" i="7"/>
  <c r="BB95" i="7"/>
  <c r="A96" i="7"/>
  <c r="B96" i="7"/>
  <c r="C96" i="7"/>
  <c r="D96" i="7"/>
  <c r="E96" i="7"/>
  <c r="F96" i="7"/>
  <c r="G96" i="7"/>
  <c r="H96" i="7"/>
  <c r="I96" i="7"/>
  <c r="J96" i="7"/>
  <c r="K96" i="7"/>
  <c r="L96" i="7"/>
  <c r="M96" i="7"/>
  <c r="N96" i="7"/>
  <c r="O96" i="7"/>
  <c r="P96" i="7"/>
  <c r="Q96" i="7"/>
  <c r="R96" i="7"/>
  <c r="S96" i="7"/>
  <c r="T96" i="7"/>
  <c r="U96" i="7"/>
  <c r="V96" i="7"/>
  <c r="W96" i="7"/>
  <c r="X96" i="7"/>
  <c r="Y96" i="7"/>
  <c r="Z96" i="7"/>
  <c r="AA96" i="7"/>
  <c r="AB96" i="7"/>
  <c r="AC96" i="7"/>
  <c r="AD96" i="7"/>
  <c r="AE96" i="7"/>
  <c r="AF96" i="7"/>
  <c r="AG96" i="7"/>
  <c r="AH96" i="7"/>
  <c r="AI96" i="7"/>
  <c r="AJ96" i="7"/>
  <c r="AK96" i="7"/>
  <c r="AL96" i="7"/>
  <c r="AM96" i="7"/>
  <c r="AN96" i="7"/>
  <c r="AO96" i="7"/>
  <c r="AP96" i="7"/>
  <c r="AQ96" i="7"/>
  <c r="AR96" i="7"/>
  <c r="AS96" i="7"/>
  <c r="AT96" i="7"/>
  <c r="AU96" i="7"/>
  <c r="AV96" i="7"/>
  <c r="AW96" i="7"/>
  <c r="AX96" i="7"/>
  <c r="AY96" i="7"/>
  <c r="AZ96" i="7"/>
  <c r="BA96" i="7"/>
  <c r="BB96" i="7"/>
  <c r="A97" i="7"/>
  <c r="B97" i="7"/>
  <c r="C97" i="7"/>
  <c r="D97" i="7"/>
  <c r="E97" i="7"/>
  <c r="F97" i="7"/>
  <c r="G97" i="7"/>
  <c r="H97" i="7"/>
  <c r="I97" i="7"/>
  <c r="J97" i="7"/>
  <c r="K97" i="7"/>
  <c r="L97" i="7"/>
  <c r="M97" i="7"/>
  <c r="N97" i="7"/>
  <c r="O97" i="7"/>
  <c r="P97" i="7"/>
  <c r="Q97" i="7"/>
  <c r="R97" i="7"/>
  <c r="S97" i="7"/>
  <c r="T97" i="7"/>
  <c r="U97" i="7"/>
  <c r="V97" i="7"/>
  <c r="W97" i="7"/>
  <c r="X97" i="7"/>
  <c r="Y97" i="7"/>
  <c r="Z97" i="7"/>
  <c r="AA97" i="7"/>
  <c r="AB97" i="7"/>
  <c r="AC97" i="7"/>
  <c r="AD97" i="7"/>
  <c r="AE97" i="7"/>
  <c r="AF97" i="7"/>
  <c r="AG97" i="7"/>
  <c r="AH97" i="7"/>
  <c r="AI97" i="7"/>
  <c r="AJ97" i="7"/>
  <c r="AK97" i="7"/>
  <c r="AL97" i="7"/>
  <c r="AM97" i="7"/>
  <c r="AN97" i="7"/>
  <c r="AO97" i="7"/>
  <c r="AP97" i="7"/>
  <c r="AQ97" i="7"/>
  <c r="AR97" i="7"/>
  <c r="AS97" i="7"/>
  <c r="AT97" i="7"/>
  <c r="AU97" i="7"/>
  <c r="AV97" i="7"/>
  <c r="AW97" i="7"/>
  <c r="AX97" i="7"/>
  <c r="AY97" i="7"/>
  <c r="AZ97" i="7"/>
  <c r="BA97" i="7"/>
  <c r="BB97" i="7"/>
  <c r="A98" i="7"/>
  <c r="B98" i="7"/>
  <c r="C98" i="7"/>
  <c r="D98" i="7"/>
  <c r="E98" i="7"/>
  <c r="F98" i="7"/>
  <c r="G98" i="7"/>
  <c r="H98" i="7"/>
  <c r="I98" i="7"/>
  <c r="J98" i="7"/>
  <c r="K98" i="7"/>
  <c r="L98" i="7"/>
  <c r="M98" i="7"/>
  <c r="N98" i="7"/>
  <c r="O98" i="7"/>
  <c r="P98" i="7"/>
  <c r="Q98" i="7"/>
  <c r="R98" i="7"/>
  <c r="S98" i="7"/>
  <c r="T98" i="7"/>
  <c r="U98" i="7"/>
  <c r="V98" i="7"/>
  <c r="W98" i="7"/>
  <c r="X98" i="7"/>
  <c r="Y98" i="7"/>
  <c r="Z98" i="7"/>
  <c r="AA98" i="7"/>
  <c r="AB98" i="7"/>
  <c r="AC98" i="7"/>
  <c r="AD98" i="7"/>
  <c r="AE98" i="7"/>
  <c r="AF98" i="7"/>
  <c r="AG98" i="7"/>
  <c r="AH98" i="7"/>
  <c r="AI98" i="7"/>
  <c r="AJ98" i="7"/>
  <c r="AK98" i="7"/>
  <c r="AL98" i="7"/>
  <c r="AM98" i="7"/>
  <c r="AN98" i="7"/>
  <c r="AO98" i="7"/>
  <c r="AP98" i="7"/>
  <c r="AQ98" i="7"/>
  <c r="AR98" i="7"/>
  <c r="AS98" i="7"/>
  <c r="AT98" i="7"/>
  <c r="AU98" i="7"/>
  <c r="AV98" i="7"/>
  <c r="AW98" i="7"/>
  <c r="AX98" i="7"/>
  <c r="AY98" i="7"/>
  <c r="AZ98" i="7"/>
  <c r="BA98" i="7"/>
  <c r="BB98" i="7"/>
  <c r="A99" i="7"/>
  <c r="B99" i="7"/>
  <c r="C99" i="7"/>
  <c r="D99" i="7"/>
  <c r="E99" i="7"/>
  <c r="F99" i="7"/>
  <c r="G99" i="7"/>
  <c r="H99" i="7"/>
  <c r="I99" i="7"/>
  <c r="J99" i="7"/>
  <c r="K99" i="7"/>
  <c r="L99" i="7"/>
  <c r="M99" i="7"/>
  <c r="N99" i="7"/>
  <c r="O99" i="7"/>
  <c r="P99" i="7"/>
  <c r="Q99" i="7"/>
  <c r="R99" i="7"/>
  <c r="S99" i="7"/>
  <c r="T99" i="7"/>
  <c r="U99" i="7"/>
  <c r="V99" i="7"/>
  <c r="W99" i="7"/>
  <c r="X99" i="7"/>
  <c r="Y99" i="7"/>
  <c r="Z99" i="7"/>
  <c r="AA99" i="7"/>
  <c r="AB99" i="7"/>
  <c r="AC99" i="7"/>
  <c r="AD99" i="7"/>
  <c r="AE99" i="7"/>
  <c r="AF99" i="7"/>
  <c r="AG99" i="7"/>
  <c r="AH99" i="7"/>
  <c r="AI99" i="7"/>
  <c r="AJ99" i="7"/>
  <c r="AK99" i="7"/>
  <c r="AL99" i="7"/>
  <c r="AM99" i="7"/>
  <c r="AN99" i="7"/>
  <c r="AO99" i="7"/>
  <c r="AP99" i="7"/>
  <c r="AQ99" i="7"/>
  <c r="AR99" i="7"/>
  <c r="AS99" i="7"/>
  <c r="AT99" i="7"/>
  <c r="AU99" i="7"/>
  <c r="AV99" i="7"/>
  <c r="AW99" i="7"/>
  <c r="AX99" i="7"/>
  <c r="AY99" i="7"/>
  <c r="AZ99" i="7"/>
  <c r="BA99" i="7"/>
  <c r="BB99" i="7"/>
  <c r="A100" i="7"/>
  <c r="B100" i="7"/>
  <c r="C100" i="7"/>
  <c r="D100" i="7"/>
  <c r="E100" i="7"/>
  <c r="F100" i="7"/>
  <c r="G100" i="7"/>
  <c r="H100" i="7"/>
  <c r="I100" i="7"/>
  <c r="J100" i="7"/>
  <c r="K100" i="7"/>
  <c r="L100" i="7"/>
  <c r="M100" i="7"/>
  <c r="N100" i="7"/>
  <c r="O100" i="7"/>
  <c r="P100" i="7"/>
  <c r="Q100" i="7"/>
  <c r="R100" i="7"/>
  <c r="S100" i="7"/>
  <c r="T100" i="7"/>
  <c r="U100" i="7"/>
  <c r="V100" i="7"/>
  <c r="W100" i="7"/>
  <c r="X100" i="7"/>
  <c r="Y100" i="7"/>
  <c r="Z100" i="7"/>
  <c r="AA100" i="7"/>
  <c r="AB100" i="7"/>
  <c r="AC100" i="7"/>
  <c r="AD100" i="7"/>
  <c r="AE100" i="7"/>
  <c r="AF100" i="7"/>
  <c r="AG100" i="7"/>
  <c r="AH100" i="7"/>
  <c r="AI100" i="7"/>
  <c r="AJ100" i="7"/>
  <c r="AK100" i="7"/>
  <c r="AL100" i="7"/>
  <c r="AM100" i="7"/>
  <c r="AN100" i="7"/>
  <c r="AO100" i="7"/>
  <c r="AP100" i="7"/>
  <c r="AQ100" i="7"/>
  <c r="AR100" i="7"/>
  <c r="AS100" i="7"/>
  <c r="AT100" i="7"/>
  <c r="AU100" i="7"/>
  <c r="AV100" i="7"/>
  <c r="AW100" i="7"/>
  <c r="AX100" i="7"/>
  <c r="AY100" i="7"/>
  <c r="AZ100" i="7"/>
  <c r="BA100" i="7"/>
  <c r="BB100" i="7"/>
  <c r="A101" i="7"/>
  <c r="B101" i="7"/>
  <c r="C101" i="7"/>
  <c r="D101" i="7"/>
  <c r="E101" i="7"/>
  <c r="F101" i="7"/>
  <c r="G101" i="7"/>
  <c r="H101" i="7"/>
  <c r="I101" i="7"/>
  <c r="J101" i="7"/>
  <c r="K101" i="7"/>
  <c r="L101" i="7"/>
  <c r="M101" i="7"/>
  <c r="N101" i="7"/>
  <c r="O101" i="7"/>
  <c r="P101" i="7"/>
  <c r="Q101" i="7"/>
  <c r="R101" i="7"/>
  <c r="S101" i="7"/>
  <c r="T101" i="7"/>
  <c r="U101" i="7"/>
  <c r="V101" i="7"/>
  <c r="W101" i="7"/>
  <c r="X101" i="7"/>
  <c r="Y101" i="7"/>
  <c r="Z101" i="7"/>
  <c r="AA101" i="7"/>
  <c r="AB101" i="7"/>
  <c r="AC101" i="7"/>
  <c r="AD101" i="7"/>
  <c r="AE101" i="7"/>
  <c r="AF101" i="7"/>
  <c r="AG101" i="7"/>
  <c r="AH101" i="7"/>
  <c r="AI101" i="7"/>
  <c r="AJ101" i="7"/>
  <c r="AK101" i="7"/>
  <c r="AL101" i="7"/>
  <c r="AM101" i="7"/>
  <c r="AN101" i="7"/>
  <c r="AO101" i="7"/>
  <c r="AP101" i="7"/>
  <c r="AQ101" i="7"/>
  <c r="AR101" i="7"/>
  <c r="AS101" i="7"/>
  <c r="AT101" i="7"/>
  <c r="AU101" i="7"/>
  <c r="AV101" i="7"/>
  <c r="AW101" i="7"/>
  <c r="AX101" i="7"/>
  <c r="AY101" i="7"/>
  <c r="AZ101" i="7"/>
  <c r="BA101" i="7"/>
  <c r="BB101" i="7"/>
  <c r="A102" i="7"/>
  <c r="B102" i="7"/>
  <c r="C102" i="7"/>
  <c r="D102" i="7"/>
  <c r="E102" i="7"/>
  <c r="F102" i="7"/>
  <c r="G102" i="7"/>
  <c r="H102" i="7"/>
  <c r="I102" i="7"/>
  <c r="J102" i="7"/>
  <c r="K102" i="7"/>
  <c r="L102" i="7"/>
  <c r="M102" i="7"/>
  <c r="N102" i="7"/>
  <c r="O102" i="7"/>
  <c r="P102" i="7"/>
  <c r="Q102" i="7"/>
  <c r="R102" i="7"/>
  <c r="S102" i="7"/>
  <c r="T102" i="7"/>
  <c r="U102" i="7"/>
  <c r="V102" i="7"/>
  <c r="W102" i="7"/>
  <c r="X102" i="7"/>
  <c r="Y102" i="7"/>
  <c r="Z102" i="7"/>
  <c r="AA102" i="7"/>
  <c r="AB102" i="7"/>
  <c r="AC102" i="7"/>
  <c r="AD102" i="7"/>
  <c r="AE102" i="7"/>
  <c r="AF102" i="7"/>
  <c r="AG102" i="7"/>
  <c r="AH102" i="7"/>
  <c r="AI102" i="7"/>
  <c r="AJ102" i="7"/>
  <c r="AK102" i="7"/>
  <c r="AL102" i="7"/>
  <c r="AM102" i="7"/>
  <c r="AN102" i="7"/>
  <c r="AO102" i="7"/>
  <c r="AP102" i="7"/>
  <c r="AQ102" i="7"/>
  <c r="AR102" i="7"/>
  <c r="AS102" i="7"/>
  <c r="AT102" i="7"/>
  <c r="AU102" i="7"/>
  <c r="AV102" i="7"/>
  <c r="AW102" i="7"/>
  <c r="AX102" i="7"/>
  <c r="AY102" i="7"/>
  <c r="AZ102" i="7"/>
  <c r="BA102" i="7"/>
  <c r="BB102" i="7"/>
  <c r="A103" i="7"/>
  <c r="B103" i="7"/>
  <c r="C103" i="7"/>
  <c r="D103" i="7"/>
  <c r="E103" i="7"/>
  <c r="F103" i="7"/>
  <c r="G103" i="7"/>
  <c r="H103" i="7"/>
  <c r="I103" i="7"/>
  <c r="J103" i="7"/>
  <c r="K103" i="7"/>
  <c r="L103" i="7"/>
  <c r="M103" i="7"/>
  <c r="N103" i="7"/>
  <c r="O103" i="7"/>
  <c r="P103" i="7"/>
  <c r="Q103" i="7"/>
  <c r="R103" i="7"/>
  <c r="S103" i="7"/>
  <c r="T103" i="7"/>
  <c r="U103" i="7"/>
  <c r="V103" i="7"/>
  <c r="W103" i="7"/>
  <c r="X103" i="7"/>
  <c r="Y103" i="7"/>
  <c r="Z103" i="7"/>
  <c r="AA103" i="7"/>
  <c r="AB103" i="7"/>
  <c r="AC103" i="7"/>
  <c r="AD103" i="7"/>
  <c r="AE103" i="7"/>
  <c r="AF103" i="7"/>
  <c r="AG103" i="7"/>
  <c r="AH103" i="7"/>
  <c r="AI103" i="7"/>
  <c r="AJ103" i="7"/>
  <c r="AK103" i="7"/>
  <c r="AL103" i="7"/>
  <c r="AM103" i="7"/>
  <c r="AN103" i="7"/>
  <c r="AO103" i="7"/>
  <c r="AP103" i="7"/>
  <c r="AQ103" i="7"/>
  <c r="AR103" i="7"/>
  <c r="AS103" i="7"/>
  <c r="AT103" i="7"/>
  <c r="AU103" i="7"/>
  <c r="AV103" i="7"/>
  <c r="AW103" i="7"/>
  <c r="AX103" i="7"/>
  <c r="AY103" i="7"/>
  <c r="AZ103" i="7"/>
  <c r="BA103" i="7"/>
  <c r="BB103" i="7"/>
  <c r="A104" i="7"/>
  <c r="B104" i="7"/>
  <c r="C104" i="7"/>
  <c r="D104" i="7"/>
  <c r="E104" i="7"/>
  <c r="F104" i="7"/>
  <c r="G104" i="7"/>
  <c r="H104" i="7"/>
  <c r="I104" i="7"/>
  <c r="J104" i="7"/>
  <c r="K104" i="7"/>
  <c r="L104" i="7"/>
  <c r="M104" i="7"/>
  <c r="N104" i="7"/>
  <c r="O104" i="7"/>
  <c r="P104" i="7"/>
  <c r="Q104" i="7"/>
  <c r="R104" i="7"/>
  <c r="S104" i="7"/>
  <c r="T104" i="7"/>
  <c r="U104" i="7"/>
  <c r="V104" i="7"/>
  <c r="W104" i="7"/>
  <c r="X104" i="7"/>
  <c r="Y104" i="7"/>
  <c r="Z104" i="7"/>
  <c r="AA104" i="7"/>
  <c r="AB104" i="7"/>
  <c r="AC104" i="7"/>
  <c r="AD104" i="7"/>
  <c r="AE104" i="7"/>
  <c r="AF104" i="7"/>
  <c r="AG104" i="7"/>
  <c r="AH104" i="7"/>
  <c r="AI104" i="7"/>
  <c r="AJ104" i="7"/>
  <c r="AK104" i="7"/>
  <c r="AL104" i="7"/>
  <c r="AM104" i="7"/>
  <c r="AN104" i="7"/>
  <c r="AO104" i="7"/>
  <c r="AP104" i="7"/>
  <c r="AQ104" i="7"/>
  <c r="AR104" i="7"/>
  <c r="AS104" i="7"/>
  <c r="AT104" i="7"/>
  <c r="AU104" i="7"/>
  <c r="AV104" i="7"/>
  <c r="AW104" i="7"/>
  <c r="AX104" i="7"/>
  <c r="AY104" i="7"/>
  <c r="AZ104" i="7"/>
  <c r="BA104" i="7"/>
  <c r="BB104" i="7"/>
  <c r="A105" i="7"/>
  <c r="B105" i="7"/>
  <c r="C105" i="7"/>
  <c r="D105" i="7"/>
  <c r="E105" i="7"/>
  <c r="F105" i="7"/>
  <c r="G105" i="7"/>
  <c r="H105" i="7"/>
  <c r="I105" i="7"/>
  <c r="J105" i="7"/>
  <c r="K105" i="7"/>
  <c r="L105" i="7"/>
  <c r="M105" i="7"/>
  <c r="N105" i="7"/>
  <c r="O105" i="7"/>
  <c r="P105" i="7"/>
  <c r="Q105" i="7"/>
  <c r="R105" i="7"/>
  <c r="S105" i="7"/>
  <c r="T105" i="7"/>
  <c r="U105" i="7"/>
  <c r="V105" i="7"/>
  <c r="W105" i="7"/>
  <c r="X105" i="7"/>
  <c r="Y105" i="7"/>
  <c r="Z105" i="7"/>
  <c r="AA105" i="7"/>
  <c r="AB105" i="7"/>
  <c r="AC105" i="7"/>
  <c r="AD105" i="7"/>
  <c r="AE105" i="7"/>
  <c r="AF105" i="7"/>
  <c r="AG105" i="7"/>
  <c r="AH105" i="7"/>
  <c r="AI105" i="7"/>
  <c r="AJ105" i="7"/>
  <c r="AK105" i="7"/>
  <c r="AL105" i="7"/>
  <c r="AM105" i="7"/>
  <c r="AN105" i="7"/>
  <c r="AO105" i="7"/>
  <c r="AP105" i="7"/>
  <c r="AQ105" i="7"/>
  <c r="AR105" i="7"/>
  <c r="AS105" i="7"/>
  <c r="AT105" i="7"/>
  <c r="AU105" i="7"/>
  <c r="AV105" i="7"/>
  <c r="AW105" i="7"/>
  <c r="AX105" i="7"/>
  <c r="AY105" i="7"/>
  <c r="AZ105" i="7"/>
  <c r="BA105" i="7"/>
  <c r="BB105" i="7"/>
  <c r="A106" i="7"/>
  <c r="B106" i="7"/>
  <c r="C106" i="7"/>
  <c r="D106" i="7"/>
  <c r="E106" i="7"/>
  <c r="F106" i="7"/>
  <c r="G106" i="7"/>
  <c r="H106" i="7"/>
  <c r="I106" i="7"/>
  <c r="J106" i="7"/>
  <c r="K106" i="7"/>
  <c r="L106" i="7"/>
  <c r="M106" i="7"/>
  <c r="N106" i="7"/>
  <c r="O106" i="7"/>
  <c r="P106" i="7"/>
  <c r="Q106" i="7"/>
  <c r="R106" i="7"/>
  <c r="S106" i="7"/>
  <c r="T106" i="7"/>
  <c r="U106" i="7"/>
  <c r="V106" i="7"/>
  <c r="W106" i="7"/>
  <c r="X106" i="7"/>
  <c r="Y106" i="7"/>
  <c r="Z106" i="7"/>
  <c r="AA106" i="7"/>
  <c r="AB106" i="7"/>
  <c r="AC106" i="7"/>
  <c r="AD106" i="7"/>
  <c r="AE106" i="7"/>
  <c r="AF106" i="7"/>
  <c r="AG106" i="7"/>
  <c r="AH106" i="7"/>
  <c r="AI106" i="7"/>
  <c r="AJ106" i="7"/>
  <c r="AK106" i="7"/>
  <c r="AL106" i="7"/>
  <c r="AM106" i="7"/>
  <c r="AN106" i="7"/>
  <c r="AO106" i="7"/>
  <c r="AP106" i="7"/>
  <c r="AQ106" i="7"/>
  <c r="AR106" i="7"/>
  <c r="AS106" i="7"/>
  <c r="AT106" i="7"/>
  <c r="AU106" i="7"/>
  <c r="AV106" i="7"/>
  <c r="AW106" i="7"/>
  <c r="AX106" i="7"/>
  <c r="AY106" i="7"/>
  <c r="AZ106" i="7"/>
  <c r="BA106" i="7"/>
  <c r="BB106" i="7"/>
  <c r="A107" i="7"/>
  <c r="B107" i="7"/>
  <c r="C107" i="7"/>
  <c r="D107" i="7"/>
  <c r="E107" i="7"/>
  <c r="F107" i="7"/>
  <c r="G107" i="7"/>
  <c r="H107" i="7"/>
  <c r="I107" i="7"/>
  <c r="J107" i="7"/>
  <c r="K107" i="7"/>
  <c r="L107" i="7"/>
  <c r="M107" i="7"/>
  <c r="N107" i="7"/>
  <c r="O107" i="7"/>
  <c r="P107" i="7"/>
  <c r="Q107" i="7"/>
  <c r="R107" i="7"/>
  <c r="S107" i="7"/>
  <c r="T107" i="7"/>
  <c r="U107" i="7"/>
  <c r="V107" i="7"/>
  <c r="W107" i="7"/>
  <c r="X107" i="7"/>
  <c r="Y107" i="7"/>
  <c r="Z107" i="7"/>
  <c r="AA107" i="7"/>
  <c r="AB107" i="7"/>
  <c r="AC107" i="7"/>
  <c r="AD107" i="7"/>
  <c r="AE107" i="7"/>
  <c r="AF107" i="7"/>
  <c r="AG107" i="7"/>
  <c r="AH107" i="7"/>
  <c r="AI107" i="7"/>
  <c r="AJ107" i="7"/>
  <c r="AK107" i="7"/>
  <c r="AL107" i="7"/>
  <c r="AM107" i="7"/>
  <c r="AN107" i="7"/>
  <c r="AO107" i="7"/>
  <c r="AP107" i="7"/>
  <c r="AQ107" i="7"/>
  <c r="AR107" i="7"/>
  <c r="AS107" i="7"/>
  <c r="AT107" i="7"/>
  <c r="AU107" i="7"/>
  <c r="AV107" i="7"/>
  <c r="AW107" i="7"/>
  <c r="AX107" i="7"/>
  <c r="AY107" i="7"/>
  <c r="AZ107" i="7"/>
  <c r="BA107" i="7"/>
  <c r="BB107" i="7"/>
  <c r="A108" i="7"/>
  <c r="B108" i="7"/>
  <c r="C108" i="7"/>
  <c r="D108" i="7"/>
  <c r="E108" i="7"/>
  <c r="F108" i="7"/>
  <c r="G108" i="7"/>
  <c r="H108" i="7"/>
  <c r="I108" i="7"/>
  <c r="J108" i="7"/>
  <c r="K108" i="7"/>
  <c r="L108" i="7"/>
  <c r="M108" i="7"/>
  <c r="N108" i="7"/>
  <c r="O108" i="7"/>
  <c r="P108" i="7"/>
  <c r="Q108" i="7"/>
  <c r="R108" i="7"/>
  <c r="S108" i="7"/>
  <c r="T108" i="7"/>
  <c r="U108" i="7"/>
  <c r="V108" i="7"/>
  <c r="W108" i="7"/>
  <c r="X108" i="7"/>
  <c r="Y108" i="7"/>
  <c r="Z108" i="7"/>
  <c r="AA108" i="7"/>
  <c r="AB108" i="7"/>
  <c r="AC108" i="7"/>
  <c r="AD108" i="7"/>
  <c r="AE108" i="7"/>
  <c r="AF108" i="7"/>
  <c r="AG108" i="7"/>
  <c r="AH108" i="7"/>
  <c r="AI108" i="7"/>
  <c r="AJ108" i="7"/>
  <c r="AK108" i="7"/>
  <c r="AL108" i="7"/>
  <c r="AM108" i="7"/>
  <c r="AN108" i="7"/>
  <c r="AO108" i="7"/>
  <c r="AP108" i="7"/>
  <c r="AQ108" i="7"/>
  <c r="AR108" i="7"/>
  <c r="AS108" i="7"/>
  <c r="AT108" i="7"/>
  <c r="AU108" i="7"/>
  <c r="AV108" i="7"/>
  <c r="AW108" i="7"/>
  <c r="AX108" i="7"/>
  <c r="AY108" i="7"/>
  <c r="AZ108" i="7"/>
  <c r="BA108" i="7"/>
  <c r="BB108" i="7"/>
  <c r="A109" i="7"/>
  <c r="B109" i="7"/>
  <c r="C109" i="7"/>
  <c r="D109" i="7"/>
  <c r="E109" i="7"/>
  <c r="F109" i="7"/>
  <c r="G109" i="7"/>
  <c r="H109" i="7"/>
  <c r="I109" i="7"/>
  <c r="J109" i="7"/>
  <c r="K109" i="7"/>
  <c r="L109" i="7"/>
  <c r="M109" i="7"/>
  <c r="N109" i="7"/>
  <c r="O109" i="7"/>
  <c r="P109" i="7"/>
  <c r="Q109" i="7"/>
  <c r="R109" i="7"/>
  <c r="S109" i="7"/>
  <c r="T109" i="7"/>
  <c r="U109" i="7"/>
  <c r="V109" i="7"/>
  <c r="W109" i="7"/>
  <c r="X109" i="7"/>
  <c r="Y109" i="7"/>
  <c r="Z109" i="7"/>
  <c r="AA109" i="7"/>
  <c r="AB109" i="7"/>
  <c r="AC109" i="7"/>
  <c r="AD109" i="7"/>
  <c r="AE109" i="7"/>
  <c r="AF109" i="7"/>
  <c r="AG109" i="7"/>
  <c r="AH109" i="7"/>
  <c r="AI109" i="7"/>
  <c r="AJ109" i="7"/>
  <c r="AK109" i="7"/>
  <c r="AL109" i="7"/>
  <c r="AM109" i="7"/>
  <c r="AN109" i="7"/>
  <c r="AO109" i="7"/>
  <c r="AP109" i="7"/>
  <c r="AQ109" i="7"/>
  <c r="AR109" i="7"/>
  <c r="AS109" i="7"/>
  <c r="AT109" i="7"/>
  <c r="AU109" i="7"/>
  <c r="AV109" i="7"/>
  <c r="AW109" i="7"/>
  <c r="AX109" i="7"/>
  <c r="AY109" i="7"/>
  <c r="AZ109" i="7"/>
  <c r="BA109" i="7"/>
  <c r="BB109" i="7"/>
  <c r="A110" i="7"/>
  <c r="B110" i="7"/>
  <c r="C110" i="7"/>
  <c r="D110" i="7"/>
  <c r="E110" i="7"/>
  <c r="F110" i="7"/>
  <c r="G110" i="7"/>
  <c r="H110" i="7"/>
  <c r="I110" i="7"/>
  <c r="J110" i="7"/>
  <c r="K110" i="7"/>
  <c r="L110" i="7"/>
  <c r="M110" i="7"/>
  <c r="N110" i="7"/>
  <c r="O110" i="7"/>
  <c r="P110" i="7"/>
  <c r="Q110" i="7"/>
  <c r="R110" i="7"/>
  <c r="S110" i="7"/>
  <c r="T110" i="7"/>
  <c r="U110" i="7"/>
  <c r="V110" i="7"/>
  <c r="W110" i="7"/>
  <c r="X110" i="7"/>
  <c r="Y110" i="7"/>
  <c r="Z110" i="7"/>
  <c r="AA110" i="7"/>
  <c r="AB110" i="7"/>
  <c r="AC110" i="7"/>
  <c r="AD110" i="7"/>
  <c r="AE110" i="7"/>
  <c r="AF110" i="7"/>
  <c r="AG110" i="7"/>
  <c r="AH110" i="7"/>
  <c r="AI110" i="7"/>
  <c r="AJ110" i="7"/>
  <c r="AK110" i="7"/>
  <c r="AL110" i="7"/>
  <c r="AM110" i="7"/>
  <c r="AN110" i="7"/>
  <c r="AO110" i="7"/>
  <c r="AP110" i="7"/>
  <c r="AQ110" i="7"/>
  <c r="AR110" i="7"/>
  <c r="AS110" i="7"/>
  <c r="AT110" i="7"/>
  <c r="AU110" i="7"/>
  <c r="AV110" i="7"/>
  <c r="AW110" i="7"/>
  <c r="AX110" i="7"/>
  <c r="AY110" i="7"/>
  <c r="AZ110" i="7"/>
  <c r="BA110" i="7"/>
  <c r="BB110" i="7"/>
  <c r="A111" i="7"/>
  <c r="B111" i="7"/>
  <c r="C111" i="7"/>
  <c r="D111" i="7"/>
  <c r="E111" i="7"/>
  <c r="F111" i="7"/>
  <c r="G111" i="7"/>
  <c r="H111" i="7"/>
  <c r="I111" i="7"/>
  <c r="J111" i="7"/>
  <c r="K111" i="7"/>
  <c r="L111" i="7"/>
  <c r="M111" i="7"/>
  <c r="N111" i="7"/>
  <c r="O111" i="7"/>
  <c r="P111" i="7"/>
  <c r="Q111" i="7"/>
  <c r="R111" i="7"/>
  <c r="S111" i="7"/>
  <c r="T111" i="7"/>
  <c r="U111" i="7"/>
  <c r="V111" i="7"/>
  <c r="W111" i="7"/>
  <c r="X111" i="7"/>
  <c r="Y111" i="7"/>
  <c r="Z111" i="7"/>
  <c r="AA111" i="7"/>
  <c r="AB111" i="7"/>
  <c r="AC111" i="7"/>
  <c r="AD111" i="7"/>
  <c r="AE111" i="7"/>
  <c r="AF111" i="7"/>
  <c r="AG111" i="7"/>
  <c r="AH111" i="7"/>
  <c r="AI111" i="7"/>
  <c r="AJ111" i="7"/>
  <c r="AK111" i="7"/>
  <c r="AL111" i="7"/>
  <c r="AM111" i="7"/>
  <c r="AN111" i="7"/>
  <c r="AO111" i="7"/>
  <c r="AP111" i="7"/>
  <c r="AQ111" i="7"/>
  <c r="AR111" i="7"/>
  <c r="AS111" i="7"/>
  <c r="AT111" i="7"/>
  <c r="AU111" i="7"/>
  <c r="AV111" i="7"/>
  <c r="AW111" i="7"/>
  <c r="AX111" i="7"/>
  <c r="AY111" i="7"/>
  <c r="AZ111" i="7"/>
  <c r="BA111" i="7"/>
  <c r="BB111" i="7"/>
  <c r="A112" i="7"/>
  <c r="B112" i="7"/>
  <c r="C112" i="7"/>
  <c r="D112" i="7"/>
  <c r="E112" i="7"/>
  <c r="F112" i="7"/>
  <c r="G112" i="7"/>
  <c r="H112" i="7"/>
  <c r="I112" i="7"/>
  <c r="J112" i="7"/>
  <c r="K112" i="7"/>
  <c r="L112" i="7"/>
  <c r="M112" i="7"/>
  <c r="N112" i="7"/>
  <c r="O112" i="7"/>
  <c r="P112" i="7"/>
  <c r="Q112" i="7"/>
  <c r="R112" i="7"/>
  <c r="S112" i="7"/>
  <c r="T112" i="7"/>
  <c r="U112" i="7"/>
  <c r="V112" i="7"/>
  <c r="W112" i="7"/>
  <c r="X112" i="7"/>
  <c r="Y112" i="7"/>
  <c r="Z112" i="7"/>
  <c r="AA112" i="7"/>
  <c r="AB112" i="7"/>
  <c r="AC112" i="7"/>
  <c r="AD112" i="7"/>
  <c r="AE112" i="7"/>
  <c r="AF112" i="7"/>
  <c r="AG112" i="7"/>
  <c r="AH112" i="7"/>
  <c r="AI112" i="7"/>
  <c r="AJ112" i="7"/>
  <c r="AK112" i="7"/>
  <c r="AL112" i="7"/>
  <c r="AM112" i="7"/>
  <c r="AN112" i="7"/>
  <c r="AO112" i="7"/>
  <c r="AP112" i="7"/>
  <c r="AQ112" i="7"/>
  <c r="AR112" i="7"/>
  <c r="AS112" i="7"/>
  <c r="AT112" i="7"/>
  <c r="AU112" i="7"/>
  <c r="AV112" i="7"/>
  <c r="AW112" i="7"/>
  <c r="AX112" i="7"/>
  <c r="AY112" i="7"/>
  <c r="AZ112" i="7"/>
  <c r="BA112" i="7"/>
  <c r="BB112" i="7"/>
  <c r="A113" i="7"/>
  <c r="B113" i="7"/>
  <c r="C113" i="7"/>
  <c r="D113" i="7"/>
  <c r="E113" i="7"/>
  <c r="F113" i="7"/>
  <c r="G113" i="7"/>
  <c r="H113" i="7"/>
  <c r="I113" i="7"/>
  <c r="J113" i="7"/>
  <c r="K113" i="7"/>
  <c r="L113" i="7"/>
  <c r="M113" i="7"/>
  <c r="N113" i="7"/>
  <c r="O113" i="7"/>
  <c r="P113" i="7"/>
  <c r="Q113" i="7"/>
  <c r="R113" i="7"/>
  <c r="S113" i="7"/>
  <c r="T113" i="7"/>
  <c r="U113" i="7"/>
  <c r="V113" i="7"/>
  <c r="W113" i="7"/>
  <c r="X113" i="7"/>
  <c r="Y113" i="7"/>
  <c r="Z113" i="7"/>
  <c r="AA113" i="7"/>
  <c r="AB113" i="7"/>
  <c r="AC113" i="7"/>
  <c r="AD113" i="7"/>
  <c r="AE113" i="7"/>
  <c r="AF113" i="7"/>
  <c r="AG113" i="7"/>
  <c r="AH113" i="7"/>
  <c r="AI113" i="7"/>
  <c r="AJ113" i="7"/>
  <c r="AK113" i="7"/>
  <c r="AL113" i="7"/>
  <c r="AM113" i="7"/>
  <c r="AN113" i="7"/>
  <c r="AO113" i="7"/>
  <c r="AP113" i="7"/>
  <c r="AQ113" i="7"/>
  <c r="AR113" i="7"/>
  <c r="AS113" i="7"/>
  <c r="AT113" i="7"/>
  <c r="AU113" i="7"/>
  <c r="AV113" i="7"/>
  <c r="AW113" i="7"/>
  <c r="AX113" i="7"/>
  <c r="AY113" i="7"/>
  <c r="AZ113" i="7"/>
  <c r="BA113" i="7"/>
  <c r="BB113" i="7"/>
  <c r="A114" i="7"/>
  <c r="B114" i="7"/>
  <c r="C114" i="7"/>
  <c r="D114" i="7"/>
  <c r="E114" i="7"/>
  <c r="F114" i="7"/>
  <c r="G114" i="7"/>
  <c r="H114" i="7"/>
  <c r="I114" i="7"/>
  <c r="J114" i="7"/>
  <c r="K114" i="7"/>
  <c r="L114" i="7"/>
  <c r="M114" i="7"/>
  <c r="N114" i="7"/>
  <c r="O114" i="7"/>
  <c r="P114" i="7"/>
  <c r="Q114" i="7"/>
  <c r="R114" i="7"/>
  <c r="S114" i="7"/>
  <c r="T114" i="7"/>
  <c r="U114" i="7"/>
  <c r="V114" i="7"/>
  <c r="W114" i="7"/>
  <c r="X114" i="7"/>
  <c r="Y114" i="7"/>
  <c r="Z114" i="7"/>
  <c r="AA114" i="7"/>
  <c r="AB114" i="7"/>
  <c r="AC114" i="7"/>
  <c r="AD114" i="7"/>
  <c r="AE114" i="7"/>
  <c r="AF114" i="7"/>
  <c r="AG114" i="7"/>
  <c r="AH114" i="7"/>
  <c r="AI114" i="7"/>
  <c r="AJ114" i="7"/>
  <c r="AK114" i="7"/>
  <c r="AL114" i="7"/>
  <c r="AM114" i="7"/>
  <c r="AN114" i="7"/>
  <c r="AO114" i="7"/>
  <c r="AP114" i="7"/>
  <c r="AQ114" i="7"/>
  <c r="AR114" i="7"/>
  <c r="AS114" i="7"/>
  <c r="AT114" i="7"/>
  <c r="AU114" i="7"/>
  <c r="AV114" i="7"/>
  <c r="AW114" i="7"/>
  <c r="AX114" i="7"/>
  <c r="AY114" i="7"/>
  <c r="AZ114" i="7"/>
  <c r="BA114" i="7"/>
  <c r="BB114" i="7"/>
  <c r="A115" i="7"/>
  <c r="B115" i="7"/>
  <c r="C115" i="7"/>
  <c r="D115" i="7"/>
  <c r="E115" i="7"/>
  <c r="F115" i="7"/>
  <c r="G115" i="7"/>
  <c r="H115" i="7"/>
  <c r="I115" i="7"/>
  <c r="J115" i="7"/>
  <c r="K115" i="7"/>
  <c r="L115" i="7"/>
  <c r="M115" i="7"/>
  <c r="N115" i="7"/>
  <c r="O115" i="7"/>
  <c r="P115" i="7"/>
  <c r="Q115" i="7"/>
  <c r="R115" i="7"/>
  <c r="S115" i="7"/>
  <c r="T115" i="7"/>
  <c r="U115" i="7"/>
  <c r="V115" i="7"/>
  <c r="W115" i="7"/>
  <c r="X115" i="7"/>
  <c r="Y115" i="7"/>
  <c r="Z115" i="7"/>
  <c r="AA115" i="7"/>
  <c r="AB115" i="7"/>
  <c r="AC115" i="7"/>
  <c r="AD115" i="7"/>
  <c r="AE115" i="7"/>
  <c r="AF115" i="7"/>
  <c r="AG115" i="7"/>
  <c r="AH115" i="7"/>
  <c r="AI115" i="7"/>
  <c r="AJ115" i="7"/>
  <c r="AK115" i="7"/>
  <c r="AL115" i="7"/>
  <c r="AM115" i="7"/>
  <c r="AN115" i="7"/>
  <c r="AO115" i="7"/>
  <c r="AP115" i="7"/>
  <c r="AQ115" i="7"/>
  <c r="AR115" i="7"/>
  <c r="AS115" i="7"/>
  <c r="AT115" i="7"/>
  <c r="AU115" i="7"/>
  <c r="AV115" i="7"/>
  <c r="AW115" i="7"/>
  <c r="AX115" i="7"/>
  <c r="AY115" i="7"/>
  <c r="AZ115" i="7"/>
  <c r="BA115" i="7"/>
  <c r="BB115" i="7"/>
  <c r="A116" i="7"/>
  <c r="B116" i="7"/>
  <c r="C116" i="7"/>
  <c r="D116" i="7"/>
  <c r="E116" i="7"/>
  <c r="F116" i="7"/>
  <c r="G116" i="7"/>
  <c r="H116" i="7"/>
  <c r="I116" i="7"/>
  <c r="J116" i="7"/>
  <c r="K116" i="7"/>
  <c r="L116" i="7"/>
  <c r="M116" i="7"/>
  <c r="N116" i="7"/>
  <c r="O116" i="7"/>
  <c r="P116" i="7"/>
  <c r="Q116" i="7"/>
  <c r="R116" i="7"/>
  <c r="S116" i="7"/>
  <c r="T116" i="7"/>
  <c r="U116" i="7"/>
  <c r="V116" i="7"/>
  <c r="W116" i="7"/>
  <c r="X116" i="7"/>
  <c r="Y116" i="7"/>
  <c r="Z116" i="7"/>
  <c r="AA116" i="7"/>
  <c r="AB116" i="7"/>
  <c r="AC116" i="7"/>
  <c r="AD116" i="7"/>
  <c r="AE116" i="7"/>
  <c r="AF116" i="7"/>
  <c r="AG116" i="7"/>
  <c r="AH116" i="7"/>
  <c r="AI116" i="7"/>
  <c r="AJ116" i="7"/>
  <c r="AK116" i="7"/>
  <c r="AL116" i="7"/>
  <c r="AM116" i="7"/>
  <c r="AN116" i="7"/>
  <c r="AO116" i="7"/>
  <c r="AP116" i="7"/>
  <c r="AQ116" i="7"/>
  <c r="AR116" i="7"/>
  <c r="AS116" i="7"/>
  <c r="AT116" i="7"/>
  <c r="AU116" i="7"/>
  <c r="AV116" i="7"/>
  <c r="AW116" i="7"/>
  <c r="AX116" i="7"/>
  <c r="AY116" i="7"/>
  <c r="AZ116" i="7"/>
  <c r="BA116" i="7"/>
  <c r="BB116" i="7"/>
  <c r="A117" i="7"/>
  <c r="B117" i="7"/>
  <c r="C117" i="7"/>
  <c r="D117" i="7"/>
  <c r="E117" i="7"/>
  <c r="F117" i="7"/>
  <c r="G117" i="7"/>
  <c r="H117" i="7"/>
  <c r="I117" i="7"/>
  <c r="J117" i="7"/>
  <c r="K117" i="7"/>
  <c r="L117" i="7"/>
  <c r="M117" i="7"/>
  <c r="N117" i="7"/>
  <c r="O117" i="7"/>
  <c r="P117" i="7"/>
  <c r="Q117" i="7"/>
  <c r="R117" i="7"/>
  <c r="S117" i="7"/>
  <c r="T117" i="7"/>
  <c r="U117" i="7"/>
  <c r="V117" i="7"/>
  <c r="W117" i="7"/>
  <c r="X117" i="7"/>
  <c r="Y117" i="7"/>
  <c r="Z117" i="7"/>
  <c r="AA117" i="7"/>
  <c r="AB117" i="7"/>
  <c r="AC117" i="7"/>
  <c r="AD117" i="7"/>
  <c r="AE117" i="7"/>
  <c r="AF117" i="7"/>
  <c r="AG117" i="7"/>
  <c r="AH117" i="7"/>
  <c r="AI117" i="7"/>
  <c r="AJ117" i="7"/>
  <c r="AK117" i="7"/>
  <c r="AL117" i="7"/>
  <c r="AM117" i="7"/>
  <c r="AN117" i="7"/>
  <c r="AO117" i="7"/>
  <c r="AP117" i="7"/>
  <c r="AQ117" i="7"/>
  <c r="AR117" i="7"/>
  <c r="AS117" i="7"/>
  <c r="AT117" i="7"/>
  <c r="AU117" i="7"/>
  <c r="AV117" i="7"/>
  <c r="AW117" i="7"/>
  <c r="AX117" i="7"/>
  <c r="AY117" i="7"/>
  <c r="AZ117" i="7"/>
  <c r="BA117" i="7"/>
  <c r="BB117" i="7"/>
  <c r="A118" i="7"/>
  <c r="B118" i="7"/>
  <c r="C118" i="7"/>
  <c r="D118" i="7"/>
  <c r="E118" i="7"/>
  <c r="F118" i="7"/>
  <c r="G118" i="7"/>
  <c r="H118" i="7"/>
  <c r="I118" i="7"/>
  <c r="J118" i="7"/>
  <c r="K118" i="7"/>
  <c r="L118" i="7"/>
  <c r="M118" i="7"/>
  <c r="N118" i="7"/>
  <c r="O118" i="7"/>
  <c r="P118" i="7"/>
  <c r="Q118" i="7"/>
  <c r="R118" i="7"/>
  <c r="S118" i="7"/>
  <c r="T118" i="7"/>
  <c r="U118" i="7"/>
  <c r="V118" i="7"/>
  <c r="W118" i="7"/>
  <c r="X118" i="7"/>
  <c r="Y118" i="7"/>
  <c r="Z118" i="7"/>
  <c r="AA118" i="7"/>
  <c r="AB118" i="7"/>
  <c r="AC118" i="7"/>
  <c r="AD118" i="7"/>
  <c r="AE118" i="7"/>
  <c r="AF118" i="7"/>
  <c r="AG118" i="7"/>
  <c r="AH118" i="7"/>
  <c r="AI118" i="7"/>
  <c r="AJ118" i="7"/>
  <c r="AK118" i="7"/>
  <c r="AL118" i="7"/>
  <c r="AM118" i="7"/>
  <c r="AN118" i="7"/>
  <c r="AO118" i="7"/>
  <c r="AP118" i="7"/>
  <c r="AQ118" i="7"/>
  <c r="AR118" i="7"/>
  <c r="AS118" i="7"/>
  <c r="AT118" i="7"/>
  <c r="AU118" i="7"/>
  <c r="AV118" i="7"/>
  <c r="AW118" i="7"/>
  <c r="AX118" i="7"/>
  <c r="AY118" i="7"/>
  <c r="AZ118" i="7"/>
  <c r="BA118" i="7"/>
  <c r="BB118" i="7"/>
  <c r="A119" i="7"/>
  <c r="B119" i="7"/>
  <c r="C119" i="7"/>
  <c r="D119" i="7"/>
  <c r="E119" i="7"/>
  <c r="F119" i="7"/>
  <c r="G119" i="7"/>
  <c r="H119" i="7"/>
  <c r="I119" i="7"/>
  <c r="J119" i="7"/>
  <c r="K119" i="7"/>
  <c r="L119" i="7"/>
  <c r="M119" i="7"/>
  <c r="N119" i="7"/>
  <c r="O119" i="7"/>
  <c r="P119" i="7"/>
  <c r="Q119" i="7"/>
  <c r="R119" i="7"/>
  <c r="S119" i="7"/>
  <c r="T119" i="7"/>
  <c r="U119" i="7"/>
  <c r="V119" i="7"/>
  <c r="W119" i="7"/>
  <c r="X119" i="7"/>
  <c r="Y119" i="7"/>
  <c r="Z119" i="7"/>
  <c r="AA119" i="7"/>
  <c r="AB119" i="7"/>
  <c r="AC119" i="7"/>
  <c r="AD119" i="7"/>
  <c r="AE119" i="7"/>
  <c r="AF119" i="7"/>
  <c r="AG119" i="7"/>
  <c r="AH119" i="7"/>
  <c r="AI119" i="7"/>
  <c r="AJ119" i="7"/>
  <c r="AK119" i="7"/>
  <c r="AL119" i="7"/>
  <c r="AM119" i="7"/>
  <c r="AN119" i="7"/>
  <c r="AO119" i="7"/>
  <c r="AP119" i="7"/>
  <c r="AQ119" i="7"/>
  <c r="AR119" i="7"/>
  <c r="AS119" i="7"/>
  <c r="AT119" i="7"/>
  <c r="AU119" i="7"/>
  <c r="AV119" i="7"/>
  <c r="AW119" i="7"/>
  <c r="AX119" i="7"/>
  <c r="AY119" i="7"/>
  <c r="AZ119" i="7"/>
  <c r="BA119" i="7"/>
  <c r="BB119" i="7"/>
  <c r="A120" i="7"/>
  <c r="B120" i="7"/>
  <c r="C120" i="7"/>
  <c r="D120" i="7"/>
  <c r="E120" i="7"/>
  <c r="F120" i="7"/>
  <c r="G120" i="7"/>
  <c r="H120" i="7"/>
  <c r="I120" i="7"/>
  <c r="J120" i="7"/>
  <c r="K120" i="7"/>
  <c r="L120" i="7"/>
  <c r="M120" i="7"/>
  <c r="N120" i="7"/>
  <c r="O120" i="7"/>
  <c r="P120" i="7"/>
  <c r="Q120" i="7"/>
  <c r="R120" i="7"/>
  <c r="S120" i="7"/>
  <c r="T120" i="7"/>
  <c r="U120" i="7"/>
  <c r="V120" i="7"/>
  <c r="W120" i="7"/>
  <c r="X120" i="7"/>
  <c r="Y120" i="7"/>
  <c r="Z120" i="7"/>
  <c r="AA120" i="7"/>
  <c r="AB120" i="7"/>
  <c r="AC120" i="7"/>
  <c r="AD120" i="7"/>
  <c r="AE120" i="7"/>
  <c r="AF120" i="7"/>
  <c r="AG120" i="7"/>
  <c r="AH120" i="7"/>
  <c r="AI120" i="7"/>
  <c r="AJ120" i="7"/>
  <c r="AK120" i="7"/>
  <c r="AL120" i="7"/>
  <c r="AM120" i="7"/>
  <c r="AN120" i="7"/>
  <c r="AO120" i="7"/>
  <c r="AP120" i="7"/>
  <c r="AQ120" i="7"/>
  <c r="AR120" i="7"/>
  <c r="AS120" i="7"/>
  <c r="AT120" i="7"/>
  <c r="AU120" i="7"/>
  <c r="AV120" i="7"/>
  <c r="AW120" i="7"/>
  <c r="AX120" i="7"/>
  <c r="AY120" i="7"/>
  <c r="AZ120" i="7"/>
  <c r="BA120" i="7"/>
  <c r="BB120" i="7"/>
  <c r="A121" i="7"/>
  <c r="B121" i="7"/>
  <c r="C121" i="7"/>
  <c r="D121" i="7"/>
  <c r="E121" i="7"/>
  <c r="F121" i="7"/>
  <c r="G121" i="7"/>
  <c r="H121" i="7"/>
  <c r="I121" i="7"/>
  <c r="J121" i="7"/>
  <c r="K121" i="7"/>
  <c r="L121" i="7"/>
  <c r="M121" i="7"/>
  <c r="N121" i="7"/>
  <c r="O121" i="7"/>
  <c r="P121" i="7"/>
  <c r="Q121" i="7"/>
  <c r="R121" i="7"/>
  <c r="S121" i="7"/>
  <c r="T121" i="7"/>
  <c r="U121" i="7"/>
  <c r="V121" i="7"/>
  <c r="W121" i="7"/>
  <c r="X121" i="7"/>
  <c r="Y121" i="7"/>
  <c r="Z121" i="7"/>
  <c r="AA121" i="7"/>
  <c r="AB121" i="7"/>
  <c r="AC121" i="7"/>
  <c r="AD121" i="7"/>
  <c r="AE121" i="7"/>
  <c r="AF121" i="7"/>
  <c r="AG121" i="7"/>
  <c r="AH121" i="7"/>
  <c r="AI121" i="7"/>
  <c r="AJ121" i="7"/>
  <c r="AK121" i="7"/>
  <c r="AL121" i="7"/>
  <c r="AM121" i="7"/>
  <c r="AN121" i="7"/>
  <c r="AO121" i="7"/>
  <c r="AP121" i="7"/>
  <c r="AQ121" i="7"/>
  <c r="AR121" i="7"/>
  <c r="AS121" i="7"/>
  <c r="AT121" i="7"/>
  <c r="AU121" i="7"/>
  <c r="AV121" i="7"/>
  <c r="AW121" i="7"/>
  <c r="AX121" i="7"/>
  <c r="AY121" i="7"/>
  <c r="AZ121" i="7"/>
  <c r="BA121" i="7"/>
  <c r="BB121" i="7"/>
  <c r="A122" i="7"/>
  <c r="B122" i="7"/>
  <c r="C122" i="7"/>
  <c r="D122" i="7"/>
  <c r="E122" i="7"/>
  <c r="F122" i="7"/>
  <c r="G122" i="7"/>
  <c r="H122" i="7"/>
  <c r="I122" i="7"/>
  <c r="J122" i="7"/>
  <c r="K122" i="7"/>
  <c r="L122" i="7"/>
  <c r="M122" i="7"/>
  <c r="N122" i="7"/>
  <c r="O122" i="7"/>
  <c r="P122" i="7"/>
  <c r="Q122" i="7"/>
  <c r="R122" i="7"/>
  <c r="S122" i="7"/>
  <c r="T122" i="7"/>
  <c r="U122" i="7"/>
  <c r="V122" i="7"/>
  <c r="W122" i="7"/>
  <c r="X122" i="7"/>
  <c r="Y122" i="7"/>
  <c r="Z122" i="7"/>
  <c r="AA122" i="7"/>
  <c r="AB122" i="7"/>
  <c r="AC122" i="7"/>
  <c r="AD122" i="7"/>
  <c r="AE122" i="7"/>
  <c r="AF122" i="7"/>
  <c r="AG122" i="7"/>
  <c r="AH122" i="7"/>
  <c r="AI122" i="7"/>
  <c r="AJ122" i="7"/>
  <c r="AK122" i="7"/>
  <c r="AL122" i="7"/>
  <c r="AM122" i="7"/>
  <c r="AN122" i="7"/>
  <c r="AO122" i="7"/>
  <c r="AP122" i="7"/>
  <c r="AQ122" i="7"/>
  <c r="AR122" i="7"/>
  <c r="AS122" i="7"/>
  <c r="AT122" i="7"/>
  <c r="AU122" i="7"/>
  <c r="AV122" i="7"/>
  <c r="AW122" i="7"/>
  <c r="AX122" i="7"/>
  <c r="AY122" i="7"/>
  <c r="AZ122" i="7"/>
  <c r="BA122" i="7"/>
  <c r="BB122" i="7"/>
  <c r="A123" i="7"/>
  <c r="B123" i="7"/>
  <c r="C123" i="7"/>
  <c r="D123" i="7"/>
  <c r="E123" i="7"/>
  <c r="F123" i="7"/>
  <c r="G123" i="7"/>
  <c r="H123" i="7"/>
  <c r="I123" i="7"/>
  <c r="J123" i="7"/>
  <c r="K123" i="7"/>
  <c r="L123" i="7"/>
  <c r="M123" i="7"/>
  <c r="N123" i="7"/>
  <c r="O123" i="7"/>
  <c r="P123" i="7"/>
  <c r="Q123" i="7"/>
  <c r="R123" i="7"/>
  <c r="S123" i="7"/>
  <c r="T123" i="7"/>
  <c r="U123" i="7"/>
  <c r="V123" i="7"/>
  <c r="W123" i="7"/>
  <c r="X123" i="7"/>
  <c r="Y123" i="7"/>
  <c r="Z123" i="7"/>
  <c r="AA123" i="7"/>
  <c r="AB123" i="7"/>
  <c r="AC123" i="7"/>
  <c r="AD123" i="7"/>
  <c r="AE123" i="7"/>
  <c r="AF123" i="7"/>
  <c r="AG123" i="7"/>
  <c r="AH123" i="7"/>
  <c r="AI123" i="7"/>
  <c r="AJ123" i="7"/>
  <c r="AK123" i="7"/>
  <c r="AL123" i="7"/>
  <c r="AM123" i="7"/>
  <c r="AN123" i="7"/>
  <c r="AO123" i="7"/>
  <c r="AP123" i="7"/>
  <c r="AQ123" i="7"/>
  <c r="AR123" i="7"/>
  <c r="AS123" i="7"/>
  <c r="AT123" i="7"/>
  <c r="AU123" i="7"/>
  <c r="AV123" i="7"/>
  <c r="AW123" i="7"/>
  <c r="AX123" i="7"/>
  <c r="AY123" i="7"/>
  <c r="AZ123" i="7"/>
  <c r="BA123" i="7"/>
  <c r="BB123" i="7"/>
  <c r="A124" i="7"/>
  <c r="B124" i="7"/>
  <c r="C124" i="7"/>
  <c r="D124" i="7"/>
  <c r="E124" i="7"/>
  <c r="F124" i="7"/>
  <c r="G124" i="7"/>
  <c r="H124" i="7"/>
  <c r="I124" i="7"/>
  <c r="J124" i="7"/>
  <c r="K124" i="7"/>
  <c r="L124" i="7"/>
  <c r="M124" i="7"/>
  <c r="N124" i="7"/>
  <c r="O124" i="7"/>
  <c r="P124" i="7"/>
  <c r="Q124" i="7"/>
  <c r="R124" i="7"/>
  <c r="S124" i="7"/>
  <c r="T124" i="7"/>
  <c r="U124" i="7"/>
  <c r="V124" i="7"/>
  <c r="W124" i="7"/>
  <c r="X124" i="7"/>
  <c r="Y124" i="7"/>
  <c r="Z124" i="7"/>
  <c r="AA124" i="7"/>
  <c r="AB124" i="7"/>
  <c r="AC124" i="7"/>
  <c r="AD124" i="7"/>
  <c r="AE124" i="7"/>
  <c r="AF124" i="7"/>
  <c r="AG124" i="7"/>
  <c r="AH124" i="7"/>
  <c r="AI124" i="7"/>
  <c r="AJ124" i="7"/>
  <c r="AK124" i="7"/>
  <c r="AL124" i="7"/>
  <c r="AM124" i="7"/>
  <c r="AN124" i="7"/>
  <c r="AO124" i="7"/>
  <c r="AP124" i="7"/>
  <c r="AQ124" i="7"/>
  <c r="AR124" i="7"/>
  <c r="AS124" i="7"/>
  <c r="AT124" i="7"/>
  <c r="AU124" i="7"/>
  <c r="AV124" i="7"/>
  <c r="AW124" i="7"/>
  <c r="AX124" i="7"/>
  <c r="AY124" i="7"/>
  <c r="AZ124" i="7"/>
  <c r="BA124" i="7"/>
  <c r="BB124" i="7"/>
  <c r="A125" i="7"/>
  <c r="B125" i="7"/>
  <c r="C125" i="7"/>
  <c r="D125" i="7"/>
  <c r="E125" i="7"/>
  <c r="F125" i="7"/>
  <c r="G125" i="7"/>
  <c r="H125" i="7"/>
  <c r="I125" i="7"/>
  <c r="J125" i="7"/>
  <c r="K125" i="7"/>
  <c r="L125" i="7"/>
  <c r="M125" i="7"/>
  <c r="N125" i="7"/>
  <c r="O125" i="7"/>
  <c r="P125" i="7"/>
  <c r="Q125" i="7"/>
  <c r="R125" i="7"/>
  <c r="S125" i="7"/>
  <c r="T125" i="7"/>
  <c r="U125" i="7"/>
  <c r="V125" i="7"/>
  <c r="W125" i="7"/>
  <c r="X125" i="7"/>
  <c r="Y125" i="7"/>
  <c r="Z125" i="7"/>
  <c r="AA125" i="7"/>
  <c r="AB125" i="7"/>
  <c r="AC125" i="7"/>
  <c r="AD125" i="7"/>
  <c r="AE125" i="7"/>
  <c r="AF125" i="7"/>
  <c r="AG125" i="7"/>
  <c r="AH125" i="7"/>
  <c r="AI125" i="7"/>
  <c r="AJ125" i="7"/>
  <c r="AK125" i="7"/>
  <c r="AL125" i="7"/>
  <c r="AM125" i="7"/>
  <c r="AN125" i="7"/>
  <c r="AO125" i="7"/>
  <c r="AP125" i="7"/>
  <c r="AQ125" i="7"/>
  <c r="AR125" i="7"/>
  <c r="AS125" i="7"/>
  <c r="AT125" i="7"/>
  <c r="AU125" i="7"/>
  <c r="AV125" i="7"/>
  <c r="AW125" i="7"/>
  <c r="AX125" i="7"/>
  <c r="AY125" i="7"/>
  <c r="AZ125" i="7"/>
  <c r="BA125" i="7"/>
  <c r="BB125" i="7"/>
  <c r="A126" i="7"/>
  <c r="B126" i="7"/>
  <c r="C126" i="7"/>
  <c r="D126" i="7"/>
  <c r="E126" i="7"/>
  <c r="F126" i="7"/>
  <c r="G126" i="7"/>
  <c r="H126" i="7"/>
  <c r="I126" i="7"/>
  <c r="J126" i="7"/>
  <c r="K126" i="7"/>
  <c r="L126" i="7"/>
  <c r="M126" i="7"/>
  <c r="N126" i="7"/>
  <c r="O126" i="7"/>
  <c r="P126" i="7"/>
  <c r="Q126" i="7"/>
  <c r="R126" i="7"/>
  <c r="S126" i="7"/>
  <c r="T126" i="7"/>
  <c r="U126" i="7"/>
  <c r="V126" i="7"/>
  <c r="W126" i="7"/>
  <c r="X126" i="7"/>
  <c r="Y126" i="7"/>
  <c r="Z126" i="7"/>
  <c r="AA126" i="7"/>
  <c r="AB126" i="7"/>
  <c r="AC126" i="7"/>
  <c r="AD126" i="7"/>
  <c r="AE126" i="7"/>
  <c r="AF126" i="7"/>
  <c r="AG126" i="7"/>
  <c r="AH126" i="7"/>
  <c r="AI126" i="7"/>
  <c r="AJ126" i="7"/>
  <c r="AK126" i="7"/>
  <c r="AL126" i="7"/>
  <c r="AM126" i="7"/>
  <c r="AN126" i="7"/>
  <c r="AO126" i="7"/>
  <c r="AP126" i="7"/>
  <c r="AQ126" i="7"/>
  <c r="AR126" i="7"/>
  <c r="AS126" i="7"/>
  <c r="AT126" i="7"/>
  <c r="AU126" i="7"/>
  <c r="AV126" i="7"/>
  <c r="AW126" i="7"/>
  <c r="AX126" i="7"/>
  <c r="AY126" i="7"/>
  <c r="AZ126" i="7"/>
  <c r="BA126" i="7"/>
  <c r="BB126" i="7"/>
  <c r="A127" i="7"/>
  <c r="B127" i="7"/>
  <c r="C127" i="7"/>
  <c r="D127" i="7"/>
  <c r="E127" i="7"/>
  <c r="F127" i="7"/>
  <c r="G127" i="7"/>
  <c r="H127" i="7"/>
  <c r="I127" i="7"/>
  <c r="J127" i="7"/>
  <c r="K127" i="7"/>
  <c r="L127" i="7"/>
  <c r="M127" i="7"/>
  <c r="N127" i="7"/>
  <c r="O127" i="7"/>
  <c r="P127" i="7"/>
  <c r="Q127" i="7"/>
  <c r="R127" i="7"/>
  <c r="S127" i="7"/>
  <c r="T127" i="7"/>
  <c r="U127" i="7"/>
  <c r="V127" i="7"/>
  <c r="W127" i="7"/>
  <c r="X127" i="7"/>
  <c r="Y127" i="7"/>
  <c r="Z127" i="7"/>
  <c r="AA127" i="7"/>
  <c r="AB127" i="7"/>
  <c r="AC127" i="7"/>
  <c r="AD127" i="7"/>
  <c r="AE127" i="7"/>
  <c r="AF127" i="7"/>
  <c r="AG127" i="7"/>
  <c r="AH127" i="7"/>
  <c r="AI127" i="7"/>
  <c r="AJ127" i="7"/>
  <c r="AK127" i="7"/>
  <c r="AL127" i="7"/>
  <c r="AM127" i="7"/>
  <c r="AN127" i="7"/>
  <c r="AO127" i="7"/>
  <c r="AP127" i="7"/>
  <c r="AQ127" i="7"/>
  <c r="AR127" i="7"/>
  <c r="AS127" i="7"/>
  <c r="AT127" i="7"/>
  <c r="AU127" i="7"/>
  <c r="AV127" i="7"/>
  <c r="AW127" i="7"/>
  <c r="AX127" i="7"/>
  <c r="AY127" i="7"/>
  <c r="AZ127" i="7"/>
  <c r="BA127" i="7"/>
  <c r="BB127" i="7"/>
  <c r="A128" i="7"/>
  <c r="B128" i="7"/>
  <c r="C128" i="7"/>
  <c r="D128" i="7"/>
  <c r="E128" i="7"/>
  <c r="F128" i="7"/>
  <c r="G128" i="7"/>
  <c r="H128" i="7"/>
  <c r="I128" i="7"/>
  <c r="J128" i="7"/>
  <c r="K128" i="7"/>
  <c r="L128" i="7"/>
  <c r="M128" i="7"/>
  <c r="N128" i="7"/>
  <c r="O128" i="7"/>
  <c r="P128" i="7"/>
  <c r="Q128" i="7"/>
  <c r="R128" i="7"/>
  <c r="S128" i="7"/>
  <c r="T128" i="7"/>
  <c r="U128" i="7"/>
  <c r="V128" i="7"/>
  <c r="W128" i="7"/>
  <c r="X128" i="7"/>
  <c r="Y128" i="7"/>
  <c r="Z128" i="7"/>
  <c r="AA128" i="7"/>
  <c r="AB128" i="7"/>
  <c r="AC128" i="7"/>
  <c r="AD128" i="7"/>
  <c r="AE128" i="7"/>
  <c r="AF128" i="7"/>
  <c r="AG128" i="7"/>
  <c r="AH128" i="7"/>
  <c r="AI128" i="7"/>
  <c r="AJ128" i="7"/>
  <c r="AK128" i="7"/>
  <c r="AL128" i="7"/>
  <c r="AM128" i="7"/>
  <c r="AN128" i="7"/>
  <c r="AO128" i="7"/>
  <c r="AP128" i="7"/>
  <c r="AQ128" i="7"/>
  <c r="AR128" i="7"/>
  <c r="AS128" i="7"/>
  <c r="AT128" i="7"/>
  <c r="AU128" i="7"/>
  <c r="AV128" i="7"/>
  <c r="AW128" i="7"/>
  <c r="AX128" i="7"/>
  <c r="AY128" i="7"/>
  <c r="AZ128" i="7"/>
  <c r="BA128" i="7"/>
  <c r="BB128" i="7"/>
  <c r="A129" i="7"/>
  <c r="B129" i="7"/>
  <c r="C129" i="7"/>
  <c r="D129" i="7"/>
  <c r="E129" i="7"/>
  <c r="F129" i="7"/>
  <c r="G129" i="7"/>
  <c r="H129" i="7"/>
  <c r="I129" i="7"/>
  <c r="J129" i="7"/>
  <c r="K129" i="7"/>
  <c r="L129" i="7"/>
  <c r="M129" i="7"/>
  <c r="N129" i="7"/>
  <c r="O129" i="7"/>
  <c r="P129" i="7"/>
  <c r="Q129" i="7"/>
  <c r="R129" i="7"/>
  <c r="S129" i="7"/>
  <c r="T129" i="7"/>
  <c r="U129" i="7"/>
  <c r="V129" i="7"/>
  <c r="W129" i="7"/>
  <c r="X129" i="7"/>
  <c r="Y129" i="7"/>
  <c r="Z129" i="7"/>
  <c r="AA129" i="7"/>
  <c r="AB129" i="7"/>
  <c r="AC129" i="7"/>
  <c r="AD129" i="7"/>
  <c r="AE129" i="7"/>
  <c r="AF129" i="7"/>
  <c r="AG129" i="7"/>
  <c r="AH129" i="7"/>
  <c r="AI129" i="7"/>
  <c r="AJ129" i="7"/>
  <c r="AK129" i="7"/>
  <c r="AL129" i="7"/>
  <c r="AM129" i="7"/>
  <c r="AN129" i="7"/>
  <c r="AO129" i="7"/>
  <c r="AP129" i="7"/>
  <c r="AQ129" i="7"/>
  <c r="AR129" i="7"/>
  <c r="AS129" i="7"/>
  <c r="AT129" i="7"/>
  <c r="AU129" i="7"/>
  <c r="AV129" i="7"/>
  <c r="AW129" i="7"/>
  <c r="AX129" i="7"/>
  <c r="AY129" i="7"/>
  <c r="AZ129" i="7"/>
  <c r="BA129" i="7"/>
  <c r="BB129" i="7"/>
  <c r="A130" i="7"/>
  <c r="B130" i="7"/>
  <c r="C130" i="7"/>
  <c r="D130" i="7"/>
  <c r="E130" i="7"/>
  <c r="F130" i="7"/>
  <c r="G130" i="7"/>
  <c r="H130" i="7"/>
  <c r="I130" i="7"/>
  <c r="J130" i="7"/>
  <c r="K130" i="7"/>
  <c r="L130" i="7"/>
  <c r="M130" i="7"/>
  <c r="N130" i="7"/>
  <c r="O130" i="7"/>
  <c r="P130" i="7"/>
  <c r="Q130" i="7"/>
  <c r="R130" i="7"/>
  <c r="S130" i="7"/>
  <c r="T130" i="7"/>
  <c r="U130" i="7"/>
  <c r="V130" i="7"/>
  <c r="W130" i="7"/>
  <c r="X130" i="7"/>
  <c r="Y130" i="7"/>
  <c r="Z130" i="7"/>
  <c r="AA130" i="7"/>
  <c r="AB130" i="7"/>
  <c r="AC130" i="7"/>
  <c r="AD130" i="7"/>
  <c r="AE130" i="7"/>
  <c r="AF130" i="7"/>
  <c r="AG130" i="7"/>
  <c r="AH130" i="7"/>
  <c r="AI130" i="7"/>
  <c r="AJ130" i="7"/>
  <c r="AK130" i="7"/>
  <c r="AL130" i="7"/>
  <c r="AM130" i="7"/>
  <c r="AN130" i="7"/>
  <c r="AO130" i="7"/>
  <c r="AP130" i="7"/>
  <c r="AQ130" i="7"/>
  <c r="AR130" i="7"/>
  <c r="AS130" i="7"/>
  <c r="AT130" i="7"/>
  <c r="AU130" i="7"/>
  <c r="AV130" i="7"/>
  <c r="AW130" i="7"/>
  <c r="AX130" i="7"/>
  <c r="AY130" i="7"/>
  <c r="AZ130" i="7"/>
  <c r="BA130" i="7"/>
  <c r="BB130" i="7"/>
  <c r="A131" i="7"/>
  <c r="B131" i="7"/>
  <c r="C131" i="7"/>
  <c r="D131" i="7"/>
  <c r="E131" i="7"/>
  <c r="F131" i="7"/>
  <c r="G131" i="7"/>
  <c r="H131" i="7"/>
  <c r="I131" i="7"/>
  <c r="J131" i="7"/>
  <c r="K131" i="7"/>
  <c r="L131" i="7"/>
  <c r="M131" i="7"/>
  <c r="N131" i="7"/>
  <c r="O131" i="7"/>
  <c r="P131" i="7"/>
  <c r="Q131" i="7"/>
  <c r="R131" i="7"/>
  <c r="S131" i="7"/>
  <c r="T131" i="7"/>
  <c r="U131" i="7"/>
  <c r="V131" i="7"/>
  <c r="W131" i="7"/>
  <c r="X131" i="7"/>
  <c r="Y131" i="7"/>
  <c r="Z131" i="7"/>
  <c r="AA131" i="7"/>
  <c r="AB131" i="7"/>
  <c r="AC131" i="7"/>
  <c r="AD131" i="7"/>
  <c r="AE131" i="7"/>
  <c r="AF131" i="7"/>
  <c r="AG131" i="7"/>
  <c r="AH131" i="7"/>
  <c r="AI131" i="7"/>
  <c r="AJ131" i="7"/>
  <c r="AK131" i="7"/>
  <c r="AL131" i="7"/>
  <c r="AM131" i="7"/>
  <c r="AN131" i="7"/>
  <c r="AO131" i="7"/>
  <c r="AP131" i="7"/>
  <c r="AQ131" i="7"/>
  <c r="AR131" i="7"/>
  <c r="AS131" i="7"/>
  <c r="AT131" i="7"/>
  <c r="AU131" i="7"/>
  <c r="AV131" i="7"/>
  <c r="AW131" i="7"/>
  <c r="AX131" i="7"/>
  <c r="AY131" i="7"/>
  <c r="AZ131" i="7"/>
  <c r="BA131" i="7"/>
  <c r="BB131" i="7"/>
  <c r="A132" i="7"/>
  <c r="B132" i="7"/>
  <c r="C132" i="7"/>
  <c r="D132" i="7"/>
  <c r="E132" i="7"/>
  <c r="F132" i="7"/>
  <c r="G132" i="7"/>
  <c r="H132" i="7"/>
  <c r="I132" i="7"/>
  <c r="J132" i="7"/>
  <c r="K132" i="7"/>
  <c r="L132" i="7"/>
  <c r="M132" i="7"/>
  <c r="N132" i="7"/>
  <c r="O132" i="7"/>
  <c r="P132" i="7"/>
  <c r="Q132" i="7"/>
  <c r="R132" i="7"/>
  <c r="S132" i="7"/>
  <c r="T132" i="7"/>
  <c r="U132" i="7"/>
  <c r="V132" i="7"/>
  <c r="W132" i="7"/>
  <c r="X132" i="7"/>
  <c r="Y132" i="7"/>
  <c r="Z132" i="7"/>
  <c r="AA132" i="7"/>
  <c r="AB132" i="7"/>
  <c r="AC132" i="7"/>
  <c r="AD132" i="7"/>
  <c r="AE132" i="7"/>
  <c r="AF132" i="7"/>
  <c r="AG132" i="7"/>
  <c r="AH132" i="7"/>
  <c r="AI132" i="7"/>
  <c r="AJ132" i="7"/>
  <c r="AK132" i="7"/>
  <c r="AL132" i="7"/>
  <c r="AM132" i="7"/>
  <c r="AN132" i="7"/>
  <c r="AO132" i="7"/>
  <c r="AP132" i="7"/>
  <c r="AQ132" i="7"/>
  <c r="AR132" i="7"/>
  <c r="AS132" i="7"/>
  <c r="AT132" i="7"/>
  <c r="AU132" i="7"/>
  <c r="AV132" i="7"/>
  <c r="AW132" i="7"/>
  <c r="AX132" i="7"/>
  <c r="AY132" i="7"/>
  <c r="AZ132" i="7"/>
  <c r="BA132" i="7"/>
  <c r="BB132" i="7"/>
  <c r="A133" i="7"/>
  <c r="B133" i="7"/>
  <c r="C133" i="7"/>
  <c r="D133" i="7"/>
  <c r="E133" i="7"/>
  <c r="F133" i="7"/>
  <c r="G133" i="7"/>
  <c r="H133" i="7"/>
  <c r="I133" i="7"/>
  <c r="J133" i="7"/>
  <c r="K133" i="7"/>
  <c r="L133" i="7"/>
  <c r="M133" i="7"/>
  <c r="N133" i="7"/>
  <c r="O133" i="7"/>
  <c r="P133" i="7"/>
  <c r="Q133" i="7"/>
  <c r="R133" i="7"/>
  <c r="S133" i="7"/>
  <c r="T133" i="7"/>
  <c r="U133" i="7"/>
  <c r="V133" i="7"/>
  <c r="W133" i="7"/>
  <c r="X133" i="7"/>
  <c r="Y133" i="7"/>
  <c r="Z133" i="7"/>
  <c r="AA133" i="7"/>
  <c r="AB133" i="7"/>
  <c r="AC133" i="7"/>
  <c r="AD133" i="7"/>
  <c r="AE133" i="7"/>
  <c r="AF133" i="7"/>
  <c r="AG133" i="7"/>
  <c r="AH133" i="7"/>
  <c r="AI133" i="7"/>
  <c r="AJ133" i="7"/>
  <c r="AK133" i="7"/>
  <c r="AL133" i="7"/>
  <c r="AM133" i="7"/>
  <c r="AN133" i="7"/>
  <c r="AO133" i="7"/>
  <c r="AP133" i="7"/>
  <c r="AQ133" i="7"/>
  <c r="AR133" i="7"/>
  <c r="AS133" i="7"/>
  <c r="AT133" i="7"/>
  <c r="AU133" i="7"/>
  <c r="AV133" i="7"/>
  <c r="AW133" i="7"/>
  <c r="AX133" i="7"/>
  <c r="AY133" i="7"/>
  <c r="AZ133" i="7"/>
  <c r="BA133" i="7"/>
  <c r="BB133" i="7"/>
  <c r="A134" i="7"/>
  <c r="B134" i="7"/>
  <c r="C134" i="7"/>
  <c r="D134" i="7"/>
  <c r="E134" i="7"/>
  <c r="F134" i="7"/>
  <c r="G134" i="7"/>
  <c r="H134" i="7"/>
  <c r="I134" i="7"/>
  <c r="J134" i="7"/>
  <c r="K134" i="7"/>
  <c r="L134" i="7"/>
  <c r="M134" i="7"/>
  <c r="N134" i="7"/>
  <c r="O134" i="7"/>
  <c r="P134" i="7"/>
  <c r="Q134" i="7"/>
  <c r="R134" i="7"/>
  <c r="S134" i="7"/>
  <c r="T134" i="7"/>
  <c r="U134" i="7"/>
  <c r="V134" i="7"/>
  <c r="W134" i="7"/>
  <c r="X134" i="7"/>
  <c r="Y134" i="7"/>
  <c r="Z134" i="7"/>
  <c r="AA134" i="7"/>
  <c r="AB134" i="7"/>
  <c r="AC134" i="7"/>
  <c r="AD134" i="7"/>
  <c r="AE134" i="7"/>
  <c r="AF134" i="7"/>
  <c r="AG134" i="7"/>
  <c r="AH134" i="7"/>
  <c r="AI134" i="7"/>
  <c r="AJ134" i="7"/>
  <c r="AK134" i="7"/>
  <c r="AL134" i="7"/>
  <c r="AM134" i="7"/>
  <c r="AN134" i="7"/>
  <c r="AO134" i="7"/>
  <c r="AP134" i="7"/>
  <c r="AQ134" i="7"/>
  <c r="AR134" i="7"/>
  <c r="AS134" i="7"/>
  <c r="AT134" i="7"/>
  <c r="AU134" i="7"/>
  <c r="AV134" i="7"/>
  <c r="AW134" i="7"/>
  <c r="AX134" i="7"/>
  <c r="AY134" i="7"/>
  <c r="AZ134" i="7"/>
  <c r="BA134" i="7"/>
  <c r="BB134" i="7"/>
  <c r="A135" i="7"/>
  <c r="B135" i="7"/>
  <c r="C135" i="7"/>
  <c r="D135" i="7"/>
  <c r="E135" i="7"/>
  <c r="F135" i="7"/>
  <c r="G135" i="7"/>
  <c r="H135" i="7"/>
  <c r="I135" i="7"/>
  <c r="J135" i="7"/>
  <c r="K135" i="7"/>
  <c r="L135" i="7"/>
  <c r="M135" i="7"/>
  <c r="N135" i="7"/>
  <c r="O135" i="7"/>
  <c r="P135" i="7"/>
  <c r="Q135" i="7"/>
  <c r="R135" i="7"/>
  <c r="S135" i="7"/>
  <c r="T135" i="7"/>
  <c r="U135" i="7"/>
  <c r="V135" i="7"/>
  <c r="W135" i="7"/>
  <c r="X135" i="7"/>
  <c r="Y135" i="7"/>
  <c r="Z135" i="7"/>
  <c r="AA135" i="7"/>
  <c r="AB135" i="7"/>
  <c r="AC135" i="7"/>
  <c r="AD135" i="7"/>
  <c r="AE135" i="7"/>
  <c r="AF135" i="7"/>
  <c r="AG135" i="7"/>
  <c r="AH135" i="7"/>
  <c r="AI135" i="7"/>
  <c r="AJ135" i="7"/>
  <c r="AK135" i="7"/>
  <c r="AL135" i="7"/>
  <c r="AM135" i="7"/>
  <c r="AN135" i="7"/>
  <c r="AO135" i="7"/>
  <c r="AP135" i="7"/>
  <c r="AQ135" i="7"/>
  <c r="AR135" i="7"/>
  <c r="AS135" i="7"/>
  <c r="AT135" i="7"/>
  <c r="AU135" i="7"/>
  <c r="AV135" i="7"/>
  <c r="AW135" i="7"/>
  <c r="AX135" i="7"/>
  <c r="AY135" i="7"/>
  <c r="AZ135" i="7"/>
  <c r="BA135" i="7"/>
  <c r="BB135" i="7"/>
  <c r="A136" i="7"/>
  <c r="B136" i="7"/>
  <c r="C136" i="7"/>
  <c r="D136" i="7"/>
  <c r="E136" i="7"/>
  <c r="F136" i="7"/>
  <c r="G136" i="7"/>
  <c r="H136" i="7"/>
  <c r="I136" i="7"/>
  <c r="J136" i="7"/>
  <c r="K136" i="7"/>
  <c r="L136" i="7"/>
  <c r="M136" i="7"/>
  <c r="N136" i="7"/>
  <c r="O136" i="7"/>
  <c r="P136" i="7"/>
  <c r="Q136" i="7"/>
  <c r="R136" i="7"/>
  <c r="S136" i="7"/>
  <c r="T136" i="7"/>
  <c r="U136" i="7"/>
  <c r="V136" i="7"/>
  <c r="W136" i="7"/>
  <c r="X136" i="7"/>
  <c r="Y136" i="7"/>
  <c r="Z136" i="7"/>
  <c r="AA136" i="7"/>
  <c r="AB136" i="7"/>
  <c r="AC136" i="7"/>
  <c r="AD136" i="7"/>
  <c r="AE136" i="7"/>
  <c r="AF136" i="7"/>
  <c r="AG136" i="7"/>
  <c r="AH136" i="7"/>
  <c r="AI136" i="7"/>
  <c r="AJ136" i="7"/>
  <c r="AK136" i="7"/>
  <c r="AL136" i="7"/>
  <c r="AM136" i="7"/>
  <c r="AN136" i="7"/>
  <c r="AO136" i="7"/>
  <c r="AP136" i="7"/>
  <c r="AQ136" i="7"/>
  <c r="AR136" i="7"/>
  <c r="AS136" i="7"/>
  <c r="AT136" i="7"/>
  <c r="AU136" i="7"/>
  <c r="AV136" i="7"/>
  <c r="AW136" i="7"/>
  <c r="AX136" i="7"/>
  <c r="AY136" i="7"/>
  <c r="AZ136" i="7"/>
  <c r="BA136" i="7"/>
  <c r="BB136" i="7"/>
  <c r="A137" i="7"/>
  <c r="B137" i="7"/>
  <c r="C137" i="7"/>
  <c r="D137" i="7"/>
  <c r="E137" i="7"/>
  <c r="F137" i="7"/>
  <c r="G137" i="7"/>
  <c r="H137" i="7"/>
  <c r="I137" i="7"/>
  <c r="J137" i="7"/>
  <c r="K137" i="7"/>
  <c r="L137" i="7"/>
  <c r="M137" i="7"/>
  <c r="N137" i="7"/>
  <c r="O137" i="7"/>
  <c r="P137" i="7"/>
  <c r="Q137" i="7"/>
  <c r="R137" i="7"/>
  <c r="S137" i="7"/>
  <c r="T137" i="7"/>
  <c r="U137" i="7"/>
  <c r="V137" i="7"/>
  <c r="W137" i="7"/>
  <c r="X137" i="7"/>
  <c r="Y137" i="7"/>
  <c r="Z137" i="7"/>
  <c r="AA137" i="7"/>
  <c r="AB137" i="7"/>
  <c r="AC137" i="7"/>
  <c r="AD137" i="7"/>
  <c r="AE137" i="7"/>
  <c r="AF137" i="7"/>
  <c r="AG137" i="7"/>
  <c r="AH137" i="7"/>
  <c r="AI137" i="7"/>
  <c r="AJ137" i="7"/>
  <c r="AK137" i="7"/>
  <c r="AL137" i="7"/>
  <c r="AM137" i="7"/>
  <c r="AN137" i="7"/>
  <c r="AO137" i="7"/>
  <c r="AP137" i="7"/>
  <c r="AQ137" i="7"/>
  <c r="AR137" i="7"/>
  <c r="AS137" i="7"/>
  <c r="AT137" i="7"/>
  <c r="AU137" i="7"/>
  <c r="AV137" i="7"/>
  <c r="AW137" i="7"/>
  <c r="AX137" i="7"/>
  <c r="AY137" i="7"/>
  <c r="AZ137" i="7"/>
  <c r="BA137" i="7"/>
  <c r="BB137" i="7"/>
  <c r="A138" i="7"/>
  <c r="B138" i="7"/>
  <c r="C138" i="7"/>
  <c r="D138" i="7"/>
  <c r="E138" i="7"/>
  <c r="F138" i="7"/>
  <c r="G138" i="7"/>
  <c r="H138" i="7"/>
  <c r="I138" i="7"/>
  <c r="J138" i="7"/>
  <c r="K138" i="7"/>
  <c r="L138" i="7"/>
  <c r="M138" i="7"/>
  <c r="N138" i="7"/>
  <c r="O138" i="7"/>
  <c r="P138" i="7"/>
  <c r="Q138" i="7"/>
  <c r="R138" i="7"/>
  <c r="S138" i="7"/>
  <c r="T138" i="7"/>
  <c r="U138" i="7"/>
  <c r="V138" i="7"/>
  <c r="W138" i="7"/>
  <c r="X138" i="7"/>
  <c r="Y138" i="7"/>
  <c r="Z138" i="7"/>
  <c r="AA138" i="7"/>
  <c r="AB138" i="7"/>
  <c r="AC138" i="7"/>
  <c r="AD138" i="7"/>
  <c r="AE138" i="7"/>
  <c r="AF138" i="7"/>
  <c r="AG138" i="7"/>
  <c r="AH138" i="7"/>
  <c r="AI138" i="7"/>
  <c r="AJ138" i="7"/>
  <c r="AK138" i="7"/>
  <c r="AL138" i="7"/>
  <c r="AM138" i="7"/>
  <c r="AN138" i="7"/>
  <c r="AO138" i="7"/>
  <c r="AP138" i="7"/>
  <c r="AQ138" i="7"/>
  <c r="AR138" i="7"/>
  <c r="AS138" i="7"/>
  <c r="AT138" i="7"/>
  <c r="AU138" i="7"/>
  <c r="AV138" i="7"/>
  <c r="AW138" i="7"/>
  <c r="AX138" i="7"/>
  <c r="AY138" i="7"/>
  <c r="AZ138" i="7"/>
  <c r="BA138" i="7"/>
  <c r="BB138" i="7"/>
  <c r="A139" i="7"/>
  <c r="B139" i="7"/>
  <c r="C139" i="7"/>
  <c r="D139" i="7"/>
  <c r="E139" i="7"/>
  <c r="F139" i="7"/>
  <c r="G139" i="7"/>
  <c r="H139" i="7"/>
  <c r="I139" i="7"/>
  <c r="J139" i="7"/>
  <c r="K139" i="7"/>
  <c r="L139" i="7"/>
  <c r="M139" i="7"/>
  <c r="N139" i="7"/>
  <c r="O139" i="7"/>
  <c r="P139" i="7"/>
  <c r="Q139" i="7"/>
  <c r="R139" i="7"/>
  <c r="S139" i="7"/>
  <c r="T139" i="7"/>
  <c r="U139" i="7"/>
  <c r="V139" i="7"/>
  <c r="W139" i="7"/>
  <c r="X139" i="7"/>
  <c r="Y139" i="7"/>
  <c r="Z139" i="7"/>
  <c r="AA139" i="7"/>
  <c r="AB139" i="7"/>
  <c r="AC139" i="7"/>
  <c r="AD139" i="7"/>
  <c r="AE139" i="7"/>
  <c r="AF139" i="7"/>
  <c r="AG139" i="7"/>
  <c r="AH139" i="7"/>
  <c r="AI139" i="7"/>
  <c r="AJ139" i="7"/>
  <c r="AK139" i="7"/>
  <c r="AL139" i="7"/>
  <c r="AM139" i="7"/>
  <c r="AN139" i="7"/>
  <c r="AO139" i="7"/>
  <c r="AP139" i="7"/>
  <c r="AQ139" i="7"/>
  <c r="AR139" i="7"/>
  <c r="AS139" i="7"/>
  <c r="AT139" i="7"/>
  <c r="AU139" i="7"/>
  <c r="AV139" i="7"/>
  <c r="AW139" i="7"/>
  <c r="AX139" i="7"/>
  <c r="AY139" i="7"/>
  <c r="AZ139" i="7"/>
  <c r="BA139" i="7"/>
  <c r="BB139" i="7"/>
  <c r="A140" i="7"/>
  <c r="B140" i="7"/>
  <c r="C140" i="7"/>
  <c r="D140" i="7"/>
  <c r="E140" i="7"/>
  <c r="F140" i="7"/>
  <c r="G140" i="7"/>
  <c r="H140" i="7"/>
  <c r="I140" i="7"/>
  <c r="J140" i="7"/>
  <c r="K140" i="7"/>
  <c r="L140" i="7"/>
  <c r="M140" i="7"/>
  <c r="N140" i="7"/>
  <c r="O140" i="7"/>
  <c r="P140" i="7"/>
  <c r="Q140" i="7"/>
  <c r="R140" i="7"/>
  <c r="S140" i="7"/>
  <c r="T140" i="7"/>
  <c r="U140" i="7"/>
  <c r="V140" i="7"/>
  <c r="W140" i="7"/>
  <c r="X140" i="7"/>
  <c r="Y140" i="7"/>
  <c r="Z140" i="7"/>
  <c r="AA140" i="7"/>
  <c r="AB140" i="7"/>
  <c r="AC140" i="7"/>
  <c r="AD140" i="7"/>
  <c r="AE140" i="7"/>
  <c r="AF140" i="7"/>
  <c r="AG140" i="7"/>
  <c r="AH140" i="7"/>
  <c r="AI140" i="7"/>
  <c r="AJ140" i="7"/>
  <c r="AK140" i="7"/>
  <c r="AL140" i="7"/>
  <c r="AM140" i="7"/>
  <c r="AN140" i="7"/>
  <c r="AO140" i="7"/>
  <c r="AP140" i="7"/>
  <c r="AQ140" i="7"/>
  <c r="AR140" i="7"/>
  <c r="AS140" i="7"/>
  <c r="AT140" i="7"/>
  <c r="AU140" i="7"/>
  <c r="AV140" i="7"/>
  <c r="AW140" i="7"/>
  <c r="AX140" i="7"/>
  <c r="AY140" i="7"/>
  <c r="AZ140" i="7"/>
  <c r="BA140" i="7"/>
  <c r="BB140" i="7"/>
  <c r="A141" i="7"/>
  <c r="B141" i="7"/>
  <c r="C141" i="7"/>
  <c r="D141" i="7"/>
  <c r="E141" i="7"/>
  <c r="F141" i="7"/>
  <c r="G141" i="7"/>
  <c r="H141" i="7"/>
  <c r="I141" i="7"/>
  <c r="J141" i="7"/>
  <c r="K141" i="7"/>
  <c r="L141" i="7"/>
  <c r="M141" i="7"/>
  <c r="N141" i="7"/>
  <c r="O141" i="7"/>
  <c r="P141" i="7"/>
  <c r="Q141" i="7"/>
  <c r="R141" i="7"/>
  <c r="S141" i="7"/>
  <c r="T141" i="7"/>
  <c r="U141" i="7"/>
  <c r="V141" i="7"/>
  <c r="W141" i="7"/>
  <c r="X141" i="7"/>
  <c r="Y141" i="7"/>
  <c r="Z141" i="7"/>
  <c r="AA141" i="7"/>
  <c r="AB141" i="7"/>
  <c r="AC141" i="7"/>
  <c r="AD141" i="7"/>
  <c r="AE141" i="7"/>
  <c r="AF141" i="7"/>
  <c r="AG141" i="7"/>
  <c r="AH141" i="7"/>
  <c r="AI141" i="7"/>
  <c r="AJ141" i="7"/>
  <c r="AK141" i="7"/>
  <c r="AL141" i="7"/>
  <c r="AM141" i="7"/>
  <c r="AN141" i="7"/>
  <c r="AO141" i="7"/>
  <c r="AP141" i="7"/>
  <c r="AQ141" i="7"/>
  <c r="AR141" i="7"/>
  <c r="AS141" i="7"/>
  <c r="AT141" i="7"/>
  <c r="AU141" i="7"/>
  <c r="AV141" i="7"/>
  <c r="AW141" i="7"/>
  <c r="AX141" i="7"/>
  <c r="AY141" i="7"/>
  <c r="AZ141" i="7"/>
  <c r="BA141" i="7"/>
  <c r="BB141" i="7"/>
  <c r="A142" i="7"/>
  <c r="B142" i="7"/>
  <c r="C142" i="7"/>
  <c r="D142" i="7"/>
  <c r="E142" i="7"/>
  <c r="F142" i="7"/>
  <c r="G142" i="7"/>
  <c r="H142" i="7"/>
  <c r="I142" i="7"/>
  <c r="J142" i="7"/>
  <c r="K142" i="7"/>
  <c r="L142" i="7"/>
  <c r="M142" i="7"/>
  <c r="N142" i="7"/>
  <c r="O142" i="7"/>
  <c r="P142" i="7"/>
  <c r="Q142" i="7"/>
  <c r="R142" i="7"/>
  <c r="S142" i="7"/>
  <c r="T142" i="7"/>
  <c r="U142" i="7"/>
  <c r="V142" i="7"/>
  <c r="W142" i="7"/>
  <c r="X142" i="7"/>
  <c r="Y142" i="7"/>
  <c r="Z142" i="7"/>
  <c r="AA142" i="7"/>
  <c r="AB142" i="7"/>
  <c r="AC142" i="7"/>
  <c r="AD142" i="7"/>
  <c r="AE142" i="7"/>
  <c r="AF142" i="7"/>
  <c r="AG142" i="7"/>
  <c r="AH142" i="7"/>
  <c r="AI142" i="7"/>
  <c r="AJ142" i="7"/>
  <c r="AK142" i="7"/>
  <c r="AL142" i="7"/>
  <c r="AM142" i="7"/>
  <c r="AN142" i="7"/>
  <c r="AO142" i="7"/>
  <c r="AP142" i="7"/>
  <c r="AQ142" i="7"/>
  <c r="AR142" i="7"/>
  <c r="AS142" i="7"/>
  <c r="AT142" i="7"/>
  <c r="AU142" i="7"/>
  <c r="AV142" i="7"/>
  <c r="AW142" i="7"/>
  <c r="AX142" i="7"/>
  <c r="AY142" i="7"/>
  <c r="AZ142" i="7"/>
  <c r="BA142" i="7"/>
  <c r="BB142" i="7"/>
  <c r="A143" i="7"/>
  <c r="B143" i="7"/>
  <c r="C143" i="7"/>
  <c r="D143" i="7"/>
  <c r="E143" i="7"/>
  <c r="F143" i="7"/>
  <c r="G143" i="7"/>
  <c r="H143" i="7"/>
  <c r="I143" i="7"/>
  <c r="J143" i="7"/>
  <c r="K143" i="7"/>
  <c r="L143" i="7"/>
  <c r="M143" i="7"/>
  <c r="N143" i="7"/>
  <c r="O143" i="7"/>
  <c r="P143" i="7"/>
  <c r="Q143" i="7"/>
  <c r="R143" i="7"/>
  <c r="S143" i="7"/>
  <c r="T143" i="7"/>
  <c r="U143" i="7"/>
  <c r="V143" i="7"/>
  <c r="W143" i="7"/>
  <c r="X143" i="7"/>
  <c r="Y143" i="7"/>
  <c r="Z143" i="7"/>
  <c r="AA143" i="7"/>
  <c r="AB143" i="7"/>
  <c r="AC143" i="7"/>
  <c r="AD143" i="7"/>
  <c r="AE143" i="7"/>
  <c r="AF143" i="7"/>
  <c r="AG143" i="7"/>
  <c r="AH143" i="7"/>
  <c r="AI143" i="7"/>
  <c r="AJ143" i="7"/>
  <c r="AK143" i="7"/>
  <c r="AL143" i="7"/>
  <c r="AM143" i="7"/>
  <c r="AN143" i="7"/>
  <c r="AO143" i="7"/>
  <c r="AP143" i="7"/>
  <c r="AQ143" i="7"/>
  <c r="AR143" i="7"/>
  <c r="AS143" i="7"/>
  <c r="AT143" i="7"/>
  <c r="AU143" i="7"/>
  <c r="AV143" i="7"/>
  <c r="AW143" i="7"/>
  <c r="AX143" i="7"/>
  <c r="AY143" i="7"/>
  <c r="AZ143" i="7"/>
  <c r="BA143" i="7"/>
  <c r="BB143" i="7"/>
  <c r="A144" i="7"/>
  <c r="B144" i="7"/>
  <c r="C144" i="7"/>
  <c r="D144" i="7"/>
  <c r="E144" i="7"/>
  <c r="F144" i="7"/>
  <c r="G144" i="7"/>
  <c r="H144" i="7"/>
  <c r="I144" i="7"/>
  <c r="J144" i="7"/>
  <c r="K144" i="7"/>
  <c r="L144" i="7"/>
  <c r="M144" i="7"/>
  <c r="N144" i="7"/>
  <c r="O144" i="7"/>
  <c r="P144" i="7"/>
  <c r="Q144" i="7"/>
  <c r="R144" i="7"/>
  <c r="S144" i="7"/>
  <c r="T144" i="7"/>
  <c r="U144" i="7"/>
  <c r="V144" i="7"/>
  <c r="W144" i="7"/>
  <c r="X144" i="7"/>
  <c r="Y144" i="7"/>
  <c r="Z144" i="7"/>
  <c r="AA144" i="7"/>
  <c r="AB144" i="7"/>
  <c r="AC144" i="7"/>
  <c r="AD144" i="7"/>
  <c r="AE144" i="7"/>
  <c r="AF144" i="7"/>
  <c r="AG144" i="7"/>
  <c r="AH144" i="7"/>
  <c r="AI144" i="7"/>
  <c r="AJ144" i="7"/>
  <c r="AK144" i="7"/>
  <c r="AL144" i="7"/>
  <c r="AM144" i="7"/>
  <c r="AN144" i="7"/>
  <c r="AO144" i="7"/>
  <c r="AP144" i="7"/>
  <c r="AQ144" i="7"/>
  <c r="AR144" i="7"/>
  <c r="AS144" i="7"/>
  <c r="AT144" i="7"/>
  <c r="AU144" i="7"/>
  <c r="AV144" i="7"/>
  <c r="AW144" i="7"/>
  <c r="AX144" i="7"/>
  <c r="AY144" i="7"/>
  <c r="AZ144" i="7"/>
  <c r="BA144" i="7"/>
  <c r="BB144" i="7"/>
  <c r="A145" i="7"/>
  <c r="B145" i="7"/>
  <c r="C145" i="7"/>
  <c r="D145" i="7"/>
  <c r="E145" i="7"/>
  <c r="F145" i="7"/>
  <c r="G145" i="7"/>
  <c r="H145" i="7"/>
  <c r="I145" i="7"/>
  <c r="J145" i="7"/>
  <c r="K145" i="7"/>
  <c r="L145" i="7"/>
  <c r="M145" i="7"/>
  <c r="N145" i="7"/>
  <c r="O145" i="7"/>
  <c r="P145" i="7"/>
  <c r="Q145" i="7"/>
  <c r="R145" i="7"/>
  <c r="S145" i="7"/>
  <c r="T145" i="7"/>
  <c r="U145" i="7"/>
  <c r="V145" i="7"/>
  <c r="W145" i="7"/>
  <c r="X145" i="7"/>
  <c r="Y145" i="7"/>
  <c r="Z145" i="7"/>
  <c r="AA145" i="7"/>
  <c r="AB145" i="7"/>
  <c r="AC145" i="7"/>
  <c r="AD145" i="7"/>
  <c r="AE145" i="7"/>
  <c r="AF145" i="7"/>
  <c r="AG145" i="7"/>
  <c r="AH145" i="7"/>
  <c r="AI145" i="7"/>
  <c r="AJ145" i="7"/>
  <c r="AK145" i="7"/>
  <c r="AL145" i="7"/>
  <c r="AM145" i="7"/>
  <c r="AN145" i="7"/>
  <c r="AO145" i="7"/>
  <c r="AP145" i="7"/>
  <c r="AQ145" i="7"/>
  <c r="AR145" i="7"/>
  <c r="AS145" i="7"/>
  <c r="AT145" i="7"/>
  <c r="AU145" i="7"/>
  <c r="AV145" i="7"/>
  <c r="AW145" i="7"/>
  <c r="AX145" i="7"/>
  <c r="AY145" i="7"/>
  <c r="AZ145" i="7"/>
  <c r="BA145" i="7"/>
  <c r="BB145" i="7"/>
  <c r="A146" i="7"/>
  <c r="B146" i="7"/>
  <c r="C146" i="7"/>
  <c r="D146" i="7"/>
  <c r="E146" i="7"/>
  <c r="F146" i="7"/>
  <c r="G146" i="7"/>
  <c r="H146" i="7"/>
  <c r="I146" i="7"/>
  <c r="J146" i="7"/>
  <c r="K146" i="7"/>
  <c r="L146" i="7"/>
  <c r="M146" i="7"/>
  <c r="N146" i="7"/>
  <c r="O146" i="7"/>
  <c r="P146" i="7"/>
  <c r="Q146" i="7"/>
  <c r="R146" i="7"/>
  <c r="S146" i="7"/>
  <c r="T146" i="7"/>
  <c r="U146" i="7"/>
  <c r="V146" i="7"/>
  <c r="W146" i="7"/>
  <c r="X146" i="7"/>
  <c r="Y146" i="7"/>
  <c r="Z146" i="7"/>
  <c r="AA146" i="7"/>
  <c r="AB146" i="7"/>
  <c r="AC146" i="7"/>
  <c r="AD146" i="7"/>
  <c r="AE146" i="7"/>
  <c r="AF146" i="7"/>
  <c r="AG146" i="7"/>
  <c r="AH146" i="7"/>
  <c r="AI146" i="7"/>
  <c r="AJ146" i="7"/>
  <c r="AK146" i="7"/>
  <c r="AL146" i="7"/>
  <c r="AM146" i="7"/>
  <c r="AN146" i="7"/>
  <c r="AO146" i="7"/>
  <c r="AP146" i="7"/>
  <c r="AQ146" i="7"/>
  <c r="AR146" i="7"/>
  <c r="AS146" i="7"/>
  <c r="AT146" i="7"/>
  <c r="AU146" i="7"/>
  <c r="AV146" i="7"/>
  <c r="AW146" i="7"/>
  <c r="AX146" i="7"/>
  <c r="AY146" i="7"/>
  <c r="AZ146" i="7"/>
  <c r="BA146" i="7"/>
  <c r="BB146" i="7"/>
  <c r="A147" i="7"/>
  <c r="B147" i="7"/>
  <c r="C147" i="7"/>
  <c r="D147" i="7"/>
  <c r="E147" i="7"/>
  <c r="F147" i="7"/>
  <c r="G147" i="7"/>
  <c r="H147" i="7"/>
  <c r="I147" i="7"/>
  <c r="J147" i="7"/>
  <c r="K147" i="7"/>
  <c r="L147" i="7"/>
  <c r="M147" i="7"/>
  <c r="N147" i="7"/>
  <c r="O147" i="7"/>
  <c r="P147" i="7"/>
  <c r="Q147" i="7"/>
  <c r="R147" i="7"/>
  <c r="S147" i="7"/>
  <c r="T147" i="7"/>
  <c r="U147" i="7"/>
  <c r="V147" i="7"/>
  <c r="W147" i="7"/>
  <c r="X147" i="7"/>
  <c r="Y147" i="7"/>
  <c r="Z147" i="7"/>
  <c r="AA147" i="7"/>
  <c r="AB147" i="7"/>
  <c r="AC147" i="7"/>
  <c r="AD147" i="7"/>
  <c r="AE147" i="7"/>
  <c r="AF147" i="7"/>
  <c r="AG147" i="7"/>
  <c r="AH147" i="7"/>
  <c r="AI147" i="7"/>
  <c r="AJ147" i="7"/>
  <c r="AK147" i="7"/>
  <c r="AL147" i="7"/>
  <c r="AM147" i="7"/>
  <c r="AN147" i="7"/>
  <c r="AO147" i="7"/>
  <c r="AP147" i="7"/>
  <c r="AQ147" i="7"/>
  <c r="AR147" i="7"/>
  <c r="AS147" i="7"/>
  <c r="AT147" i="7"/>
  <c r="AU147" i="7"/>
  <c r="AV147" i="7"/>
  <c r="AW147" i="7"/>
  <c r="AX147" i="7"/>
  <c r="AY147" i="7"/>
  <c r="AZ147" i="7"/>
  <c r="BA147" i="7"/>
  <c r="BB147" i="7"/>
  <c r="A148" i="7"/>
  <c r="B148" i="7"/>
  <c r="C148" i="7"/>
  <c r="D148" i="7"/>
  <c r="E148" i="7"/>
  <c r="F148" i="7"/>
  <c r="G148" i="7"/>
  <c r="H148" i="7"/>
  <c r="I148" i="7"/>
  <c r="J148" i="7"/>
  <c r="K148" i="7"/>
  <c r="L148" i="7"/>
  <c r="M148" i="7"/>
  <c r="N148" i="7"/>
  <c r="O148" i="7"/>
  <c r="P148" i="7"/>
  <c r="Q148" i="7"/>
  <c r="R148" i="7"/>
  <c r="S148" i="7"/>
  <c r="T148" i="7"/>
  <c r="U148" i="7"/>
  <c r="V148" i="7"/>
  <c r="W148" i="7"/>
  <c r="X148" i="7"/>
  <c r="Y148" i="7"/>
  <c r="Z148" i="7"/>
  <c r="AA148" i="7"/>
  <c r="AB148" i="7"/>
  <c r="AC148" i="7"/>
  <c r="AD148" i="7"/>
  <c r="AE148" i="7"/>
  <c r="AF148" i="7"/>
  <c r="AG148" i="7"/>
  <c r="AH148" i="7"/>
  <c r="AI148" i="7"/>
  <c r="AJ148" i="7"/>
  <c r="AK148" i="7"/>
  <c r="AL148" i="7"/>
  <c r="AM148" i="7"/>
  <c r="AN148" i="7"/>
  <c r="AO148" i="7"/>
  <c r="AP148" i="7"/>
  <c r="AQ148" i="7"/>
  <c r="AR148" i="7"/>
  <c r="AS148" i="7"/>
  <c r="AT148" i="7"/>
  <c r="AU148" i="7"/>
  <c r="AV148" i="7"/>
  <c r="AW148" i="7"/>
  <c r="AX148" i="7"/>
  <c r="AY148" i="7"/>
  <c r="AZ148" i="7"/>
  <c r="BA148" i="7"/>
  <c r="BB148" i="7"/>
  <c r="A149" i="7"/>
  <c r="B149" i="7"/>
  <c r="C149" i="7"/>
  <c r="D149" i="7"/>
  <c r="E149" i="7"/>
  <c r="F149" i="7"/>
  <c r="G149" i="7"/>
  <c r="H149" i="7"/>
  <c r="I149" i="7"/>
  <c r="J149" i="7"/>
  <c r="K149" i="7"/>
  <c r="L149" i="7"/>
  <c r="M149" i="7"/>
  <c r="N149" i="7"/>
  <c r="O149" i="7"/>
  <c r="P149" i="7"/>
  <c r="Q149" i="7"/>
  <c r="R149" i="7"/>
  <c r="S149" i="7"/>
  <c r="T149" i="7"/>
  <c r="U149" i="7"/>
  <c r="V149" i="7"/>
  <c r="W149" i="7"/>
  <c r="X149" i="7"/>
  <c r="Y149" i="7"/>
  <c r="Z149" i="7"/>
  <c r="AA149" i="7"/>
  <c r="AB149" i="7"/>
  <c r="AC149" i="7"/>
  <c r="AD149" i="7"/>
  <c r="AE149" i="7"/>
  <c r="AF149" i="7"/>
  <c r="AG149" i="7"/>
  <c r="AH149" i="7"/>
  <c r="AI149" i="7"/>
  <c r="AJ149" i="7"/>
  <c r="AK149" i="7"/>
  <c r="AL149" i="7"/>
  <c r="AM149" i="7"/>
  <c r="AN149" i="7"/>
  <c r="AO149" i="7"/>
  <c r="AP149" i="7"/>
  <c r="AQ149" i="7"/>
  <c r="AR149" i="7"/>
  <c r="AS149" i="7"/>
  <c r="AT149" i="7"/>
  <c r="AU149" i="7"/>
  <c r="AV149" i="7"/>
  <c r="AW149" i="7"/>
  <c r="AX149" i="7"/>
  <c r="AY149" i="7"/>
  <c r="AZ149" i="7"/>
  <c r="BA149" i="7"/>
  <c r="BB149" i="7"/>
  <c r="A150" i="7"/>
  <c r="B150" i="7"/>
  <c r="C150" i="7"/>
  <c r="D150" i="7"/>
  <c r="E150" i="7"/>
  <c r="F150" i="7"/>
  <c r="G150" i="7"/>
  <c r="H150" i="7"/>
  <c r="I150" i="7"/>
  <c r="J150" i="7"/>
  <c r="K150" i="7"/>
  <c r="L150" i="7"/>
  <c r="M150" i="7"/>
  <c r="N150" i="7"/>
  <c r="O150" i="7"/>
  <c r="P150" i="7"/>
  <c r="Q150" i="7"/>
  <c r="R150" i="7"/>
  <c r="S150" i="7"/>
  <c r="T150" i="7"/>
  <c r="U150" i="7"/>
  <c r="V150" i="7"/>
  <c r="W150" i="7"/>
  <c r="X150" i="7"/>
  <c r="Y150" i="7"/>
  <c r="Z150" i="7"/>
  <c r="AA150" i="7"/>
  <c r="AB150" i="7"/>
  <c r="AC150" i="7"/>
  <c r="AD150" i="7"/>
  <c r="AE150" i="7"/>
  <c r="AF150" i="7"/>
  <c r="AG150" i="7"/>
  <c r="AH150" i="7"/>
  <c r="AI150" i="7"/>
  <c r="AJ150" i="7"/>
  <c r="AK150" i="7"/>
  <c r="AL150" i="7"/>
  <c r="AM150" i="7"/>
  <c r="AN150" i="7"/>
  <c r="AO150" i="7"/>
  <c r="AP150" i="7"/>
  <c r="AQ150" i="7"/>
  <c r="AR150" i="7"/>
  <c r="AS150" i="7"/>
  <c r="AT150" i="7"/>
  <c r="AU150" i="7"/>
  <c r="AV150" i="7"/>
  <c r="AW150" i="7"/>
  <c r="AX150" i="7"/>
  <c r="AY150" i="7"/>
  <c r="AZ150" i="7"/>
  <c r="BA150" i="7"/>
  <c r="BB150" i="7"/>
  <c r="A151" i="7"/>
  <c r="B151" i="7"/>
  <c r="C151" i="7"/>
  <c r="D151" i="7"/>
  <c r="E151" i="7"/>
  <c r="F151" i="7"/>
  <c r="G151" i="7"/>
  <c r="H151" i="7"/>
  <c r="I151" i="7"/>
  <c r="J151" i="7"/>
  <c r="K151" i="7"/>
  <c r="L151" i="7"/>
  <c r="M151" i="7"/>
  <c r="N151" i="7"/>
  <c r="O151" i="7"/>
  <c r="P151" i="7"/>
  <c r="Q151" i="7"/>
  <c r="R151" i="7"/>
  <c r="S151" i="7"/>
  <c r="T151" i="7"/>
  <c r="U151" i="7"/>
  <c r="V151" i="7"/>
  <c r="W151" i="7"/>
  <c r="X151" i="7"/>
  <c r="Y151" i="7"/>
  <c r="Z151" i="7"/>
  <c r="AA151" i="7"/>
  <c r="AB151" i="7"/>
  <c r="AC151" i="7"/>
  <c r="AD151" i="7"/>
  <c r="AE151" i="7"/>
  <c r="AF151" i="7"/>
  <c r="AG151" i="7"/>
  <c r="AH151" i="7"/>
  <c r="AI151" i="7"/>
  <c r="AJ151" i="7"/>
  <c r="AK151" i="7"/>
  <c r="AL151" i="7"/>
  <c r="AM151" i="7"/>
  <c r="AN151" i="7"/>
  <c r="AO151" i="7"/>
  <c r="AP151" i="7"/>
  <c r="AQ151" i="7"/>
  <c r="AR151" i="7"/>
  <c r="AS151" i="7"/>
  <c r="AT151" i="7"/>
  <c r="AU151" i="7"/>
  <c r="AV151" i="7"/>
  <c r="AW151" i="7"/>
  <c r="AX151" i="7"/>
  <c r="AY151" i="7"/>
  <c r="AZ151" i="7"/>
  <c r="BA151" i="7"/>
  <c r="BB151" i="7"/>
  <c r="A152" i="7"/>
  <c r="B152" i="7"/>
  <c r="C152" i="7"/>
  <c r="D152" i="7"/>
  <c r="E152" i="7"/>
  <c r="F152" i="7"/>
  <c r="G152" i="7"/>
  <c r="H152" i="7"/>
  <c r="I152" i="7"/>
  <c r="J152" i="7"/>
  <c r="K152" i="7"/>
  <c r="L152" i="7"/>
  <c r="M152" i="7"/>
  <c r="N152" i="7"/>
  <c r="O152" i="7"/>
  <c r="P152" i="7"/>
  <c r="Q152" i="7"/>
  <c r="R152" i="7"/>
  <c r="S152" i="7"/>
  <c r="T152" i="7"/>
  <c r="U152" i="7"/>
  <c r="V152" i="7"/>
  <c r="W152" i="7"/>
  <c r="X152" i="7"/>
  <c r="Y152" i="7"/>
  <c r="Z152" i="7"/>
  <c r="AA152" i="7"/>
  <c r="AB152" i="7"/>
  <c r="AC152" i="7"/>
  <c r="AD152" i="7"/>
  <c r="AE152" i="7"/>
  <c r="AF152" i="7"/>
  <c r="AG152" i="7"/>
  <c r="AH152" i="7"/>
  <c r="AI152" i="7"/>
  <c r="AJ152" i="7"/>
  <c r="AK152" i="7"/>
  <c r="AL152" i="7"/>
  <c r="AM152" i="7"/>
  <c r="AN152" i="7"/>
  <c r="AO152" i="7"/>
  <c r="AP152" i="7"/>
  <c r="AQ152" i="7"/>
  <c r="AR152" i="7"/>
  <c r="AS152" i="7"/>
  <c r="AT152" i="7"/>
  <c r="AU152" i="7"/>
  <c r="AV152" i="7"/>
  <c r="AW152" i="7"/>
  <c r="AX152" i="7"/>
  <c r="AY152" i="7"/>
  <c r="AZ152" i="7"/>
  <c r="BA152" i="7"/>
  <c r="BB152" i="7"/>
  <c r="A153" i="7"/>
  <c r="B153" i="7"/>
  <c r="C153" i="7"/>
  <c r="D153" i="7"/>
  <c r="E153" i="7"/>
  <c r="F153" i="7"/>
  <c r="G153" i="7"/>
  <c r="H153" i="7"/>
  <c r="I153" i="7"/>
  <c r="J153" i="7"/>
  <c r="K153" i="7"/>
  <c r="L153" i="7"/>
  <c r="M153" i="7"/>
  <c r="N153" i="7"/>
  <c r="O153" i="7"/>
  <c r="P153" i="7"/>
  <c r="Q153" i="7"/>
  <c r="R153" i="7"/>
  <c r="S153" i="7"/>
  <c r="T153" i="7"/>
  <c r="U153" i="7"/>
  <c r="V153" i="7"/>
  <c r="W153" i="7"/>
  <c r="X153" i="7"/>
  <c r="Y153" i="7"/>
  <c r="Z153" i="7"/>
  <c r="AA153" i="7"/>
  <c r="AB153" i="7"/>
  <c r="AC153" i="7"/>
  <c r="AD153" i="7"/>
  <c r="AE153" i="7"/>
  <c r="AF153" i="7"/>
  <c r="AG153" i="7"/>
  <c r="AH153" i="7"/>
  <c r="AI153" i="7"/>
  <c r="AJ153" i="7"/>
  <c r="AK153" i="7"/>
  <c r="AL153" i="7"/>
  <c r="AM153" i="7"/>
  <c r="AN153" i="7"/>
  <c r="AO153" i="7"/>
  <c r="AP153" i="7"/>
  <c r="AQ153" i="7"/>
  <c r="AR153" i="7"/>
  <c r="AS153" i="7"/>
  <c r="AT153" i="7"/>
  <c r="AU153" i="7"/>
  <c r="AV153" i="7"/>
  <c r="AW153" i="7"/>
  <c r="AX153" i="7"/>
  <c r="AY153" i="7"/>
  <c r="AZ153" i="7"/>
  <c r="BA153" i="7"/>
  <c r="BB153" i="7"/>
  <c r="A154" i="7"/>
  <c r="B154" i="7"/>
  <c r="C154" i="7"/>
  <c r="D154" i="7"/>
  <c r="E154" i="7"/>
  <c r="F154" i="7"/>
  <c r="G154" i="7"/>
  <c r="H154" i="7"/>
  <c r="I154" i="7"/>
  <c r="J154" i="7"/>
  <c r="K154" i="7"/>
  <c r="L154" i="7"/>
  <c r="M154" i="7"/>
  <c r="N154" i="7"/>
  <c r="O154" i="7"/>
  <c r="P154" i="7"/>
  <c r="Q154" i="7"/>
  <c r="R154" i="7"/>
  <c r="S154" i="7"/>
  <c r="T154" i="7"/>
  <c r="U154" i="7"/>
  <c r="V154" i="7"/>
  <c r="W154" i="7"/>
  <c r="X154" i="7"/>
  <c r="Y154" i="7"/>
  <c r="Z154" i="7"/>
  <c r="AA154" i="7"/>
  <c r="AB154" i="7"/>
  <c r="AC154" i="7"/>
  <c r="AD154" i="7"/>
  <c r="AE154" i="7"/>
  <c r="AF154" i="7"/>
  <c r="AG154" i="7"/>
  <c r="AH154" i="7"/>
  <c r="AI154" i="7"/>
  <c r="AJ154" i="7"/>
  <c r="AK154" i="7"/>
  <c r="AL154" i="7"/>
  <c r="AM154" i="7"/>
  <c r="AN154" i="7"/>
  <c r="AO154" i="7"/>
  <c r="AP154" i="7"/>
  <c r="AQ154" i="7"/>
  <c r="AR154" i="7"/>
  <c r="AS154" i="7"/>
  <c r="AT154" i="7"/>
  <c r="AU154" i="7"/>
  <c r="AV154" i="7"/>
  <c r="AW154" i="7"/>
  <c r="AX154" i="7"/>
  <c r="AY154" i="7"/>
  <c r="AZ154" i="7"/>
  <c r="BA154" i="7"/>
  <c r="BB154" i="7"/>
  <c r="A155" i="7"/>
  <c r="B155" i="7"/>
  <c r="C155" i="7"/>
  <c r="D155" i="7"/>
  <c r="E155" i="7"/>
  <c r="F155" i="7"/>
  <c r="G155" i="7"/>
  <c r="H155" i="7"/>
  <c r="I155" i="7"/>
  <c r="J155" i="7"/>
  <c r="K155" i="7"/>
  <c r="L155" i="7"/>
  <c r="M155" i="7"/>
  <c r="N155" i="7"/>
  <c r="O155" i="7"/>
  <c r="P155" i="7"/>
  <c r="Q155" i="7"/>
  <c r="R155" i="7"/>
  <c r="S155" i="7"/>
  <c r="T155" i="7"/>
  <c r="U155" i="7"/>
  <c r="V155" i="7"/>
  <c r="W155" i="7"/>
  <c r="X155" i="7"/>
  <c r="Y155" i="7"/>
  <c r="Z155" i="7"/>
  <c r="AA155" i="7"/>
  <c r="AB155" i="7"/>
  <c r="AC155" i="7"/>
  <c r="AD155" i="7"/>
  <c r="AE155" i="7"/>
  <c r="AF155" i="7"/>
  <c r="AG155" i="7"/>
  <c r="AH155" i="7"/>
  <c r="AI155" i="7"/>
  <c r="AJ155" i="7"/>
  <c r="AK155" i="7"/>
  <c r="AL155" i="7"/>
  <c r="AM155" i="7"/>
  <c r="AN155" i="7"/>
  <c r="AO155" i="7"/>
  <c r="AP155" i="7"/>
  <c r="AQ155" i="7"/>
  <c r="AR155" i="7"/>
  <c r="AS155" i="7"/>
  <c r="AT155" i="7"/>
  <c r="AU155" i="7"/>
  <c r="AV155" i="7"/>
  <c r="AW155" i="7"/>
  <c r="AX155" i="7"/>
  <c r="AY155" i="7"/>
  <c r="AZ155" i="7"/>
  <c r="BA155" i="7"/>
  <c r="BB155" i="7"/>
  <c r="A156" i="7"/>
  <c r="B156" i="7"/>
  <c r="C156" i="7"/>
  <c r="D156" i="7"/>
  <c r="E156" i="7"/>
  <c r="F156" i="7"/>
  <c r="G156" i="7"/>
  <c r="H156" i="7"/>
  <c r="I156" i="7"/>
  <c r="J156" i="7"/>
  <c r="K156" i="7"/>
  <c r="L156" i="7"/>
  <c r="M156" i="7"/>
  <c r="N156" i="7"/>
  <c r="O156" i="7"/>
  <c r="P156" i="7"/>
  <c r="Q156" i="7"/>
  <c r="R156" i="7"/>
  <c r="S156" i="7"/>
  <c r="T156" i="7"/>
  <c r="U156" i="7"/>
  <c r="V156" i="7"/>
  <c r="W156" i="7"/>
  <c r="X156" i="7"/>
  <c r="Y156" i="7"/>
  <c r="Z156" i="7"/>
  <c r="AA156" i="7"/>
  <c r="AB156" i="7"/>
  <c r="AC156" i="7"/>
  <c r="AD156" i="7"/>
  <c r="AE156" i="7"/>
  <c r="AF156" i="7"/>
  <c r="AG156" i="7"/>
  <c r="AH156" i="7"/>
  <c r="AI156" i="7"/>
  <c r="AJ156" i="7"/>
  <c r="AK156" i="7"/>
  <c r="AL156" i="7"/>
  <c r="AM156" i="7"/>
  <c r="AN156" i="7"/>
  <c r="AO156" i="7"/>
  <c r="AP156" i="7"/>
  <c r="AQ156" i="7"/>
  <c r="AR156" i="7"/>
  <c r="AS156" i="7"/>
  <c r="AT156" i="7"/>
  <c r="AU156" i="7"/>
  <c r="AV156" i="7"/>
  <c r="AW156" i="7"/>
  <c r="AX156" i="7"/>
  <c r="AY156" i="7"/>
  <c r="AZ156" i="7"/>
  <c r="BA156" i="7"/>
  <c r="BB156" i="7"/>
  <c r="A157" i="7"/>
  <c r="B157" i="7"/>
  <c r="C157" i="7"/>
  <c r="D157" i="7"/>
  <c r="E157" i="7"/>
  <c r="F157" i="7"/>
  <c r="G157" i="7"/>
  <c r="H157" i="7"/>
  <c r="I157" i="7"/>
  <c r="J157" i="7"/>
  <c r="K157" i="7"/>
  <c r="L157" i="7"/>
  <c r="M157" i="7"/>
  <c r="N157" i="7"/>
  <c r="O157" i="7"/>
  <c r="P157" i="7"/>
  <c r="Q157" i="7"/>
  <c r="R157" i="7"/>
  <c r="S157" i="7"/>
  <c r="T157" i="7"/>
  <c r="U157" i="7"/>
  <c r="V157" i="7"/>
  <c r="W157" i="7"/>
  <c r="X157" i="7"/>
  <c r="Y157" i="7"/>
  <c r="Z157" i="7"/>
  <c r="AA157" i="7"/>
  <c r="AB157" i="7"/>
  <c r="AC157" i="7"/>
  <c r="AD157" i="7"/>
  <c r="AE157" i="7"/>
  <c r="AF157" i="7"/>
  <c r="AG157" i="7"/>
  <c r="AH157" i="7"/>
  <c r="AI157" i="7"/>
  <c r="AJ157" i="7"/>
  <c r="AK157" i="7"/>
  <c r="AL157" i="7"/>
  <c r="AM157" i="7"/>
  <c r="AN157" i="7"/>
  <c r="AO157" i="7"/>
  <c r="AP157" i="7"/>
  <c r="AQ157" i="7"/>
  <c r="AR157" i="7"/>
  <c r="AS157" i="7"/>
  <c r="AT157" i="7"/>
  <c r="AU157" i="7"/>
  <c r="AV157" i="7"/>
  <c r="AW157" i="7"/>
  <c r="AX157" i="7"/>
  <c r="AY157" i="7"/>
  <c r="AZ157" i="7"/>
  <c r="BA157" i="7"/>
  <c r="BB157" i="7"/>
  <c r="A158" i="7"/>
  <c r="B158" i="7"/>
  <c r="C158" i="7"/>
  <c r="D158" i="7"/>
  <c r="E158" i="7"/>
  <c r="F158" i="7"/>
  <c r="G158" i="7"/>
  <c r="H158" i="7"/>
  <c r="I158" i="7"/>
  <c r="J158" i="7"/>
  <c r="K158" i="7"/>
  <c r="L158" i="7"/>
  <c r="M158" i="7"/>
  <c r="N158" i="7"/>
  <c r="O158" i="7"/>
  <c r="P158" i="7"/>
  <c r="Q158" i="7"/>
  <c r="R158" i="7"/>
  <c r="S158" i="7"/>
  <c r="T158" i="7"/>
  <c r="U158" i="7"/>
  <c r="V158" i="7"/>
  <c r="W158" i="7"/>
  <c r="X158" i="7"/>
  <c r="Y158" i="7"/>
  <c r="Z158" i="7"/>
  <c r="AA158" i="7"/>
  <c r="AB158" i="7"/>
  <c r="AC158" i="7"/>
  <c r="AD158" i="7"/>
  <c r="AE158" i="7"/>
  <c r="AF158" i="7"/>
  <c r="AG158" i="7"/>
  <c r="AH158" i="7"/>
  <c r="AI158" i="7"/>
  <c r="AJ158" i="7"/>
  <c r="AK158" i="7"/>
  <c r="AL158" i="7"/>
  <c r="AM158" i="7"/>
  <c r="AN158" i="7"/>
  <c r="AO158" i="7"/>
  <c r="AP158" i="7"/>
  <c r="AQ158" i="7"/>
  <c r="AR158" i="7"/>
  <c r="AS158" i="7"/>
  <c r="AT158" i="7"/>
  <c r="AU158" i="7"/>
  <c r="AV158" i="7"/>
  <c r="AW158" i="7"/>
  <c r="AX158" i="7"/>
  <c r="AY158" i="7"/>
  <c r="AZ158" i="7"/>
  <c r="BA158" i="7"/>
  <c r="BB158" i="7"/>
  <c r="A159" i="7"/>
  <c r="B159" i="7"/>
  <c r="C159" i="7"/>
  <c r="D159" i="7"/>
  <c r="E159" i="7"/>
  <c r="F159" i="7"/>
  <c r="G159" i="7"/>
  <c r="H159" i="7"/>
  <c r="I159" i="7"/>
  <c r="J159" i="7"/>
  <c r="K159" i="7"/>
  <c r="L159" i="7"/>
  <c r="M159" i="7"/>
  <c r="N159" i="7"/>
  <c r="O159" i="7"/>
  <c r="P159" i="7"/>
  <c r="Q159" i="7"/>
  <c r="R159" i="7"/>
  <c r="S159" i="7"/>
  <c r="T159" i="7"/>
  <c r="U159" i="7"/>
  <c r="V159" i="7"/>
  <c r="W159" i="7"/>
  <c r="X159" i="7"/>
  <c r="Y159" i="7"/>
  <c r="Z159" i="7"/>
  <c r="AA159" i="7"/>
  <c r="AB159" i="7"/>
  <c r="AC159" i="7"/>
  <c r="AD159" i="7"/>
  <c r="AE159" i="7"/>
  <c r="AF159" i="7"/>
  <c r="AG159" i="7"/>
  <c r="AH159" i="7"/>
  <c r="AI159" i="7"/>
  <c r="AJ159" i="7"/>
  <c r="AK159" i="7"/>
  <c r="AL159" i="7"/>
  <c r="AM159" i="7"/>
  <c r="AN159" i="7"/>
  <c r="AO159" i="7"/>
  <c r="AP159" i="7"/>
  <c r="AQ159" i="7"/>
  <c r="AR159" i="7"/>
  <c r="AS159" i="7"/>
  <c r="AT159" i="7"/>
  <c r="AU159" i="7"/>
  <c r="AV159" i="7"/>
  <c r="AW159" i="7"/>
  <c r="AX159" i="7"/>
  <c r="AY159" i="7"/>
  <c r="AZ159" i="7"/>
  <c r="BA159" i="7"/>
  <c r="BB159" i="7"/>
  <c r="A160" i="7"/>
  <c r="B160" i="7"/>
  <c r="C160" i="7"/>
  <c r="D160" i="7"/>
  <c r="E160" i="7"/>
  <c r="F160" i="7"/>
  <c r="G160" i="7"/>
  <c r="H160" i="7"/>
  <c r="I160" i="7"/>
  <c r="J160" i="7"/>
  <c r="K160" i="7"/>
  <c r="L160" i="7"/>
  <c r="M160" i="7"/>
  <c r="N160" i="7"/>
  <c r="O160" i="7"/>
  <c r="P160" i="7"/>
  <c r="Q160" i="7"/>
  <c r="R160" i="7"/>
  <c r="S160" i="7"/>
  <c r="T160" i="7"/>
  <c r="U160" i="7"/>
  <c r="V160" i="7"/>
  <c r="W160" i="7"/>
  <c r="X160" i="7"/>
  <c r="Y160" i="7"/>
  <c r="Z160" i="7"/>
  <c r="AA160" i="7"/>
  <c r="AB160" i="7"/>
  <c r="AC160" i="7"/>
  <c r="AD160" i="7"/>
  <c r="AE160" i="7"/>
  <c r="AF160" i="7"/>
  <c r="AG160" i="7"/>
  <c r="AH160" i="7"/>
  <c r="AI160" i="7"/>
  <c r="AJ160" i="7"/>
  <c r="AK160" i="7"/>
  <c r="AL160" i="7"/>
  <c r="AM160" i="7"/>
  <c r="AN160" i="7"/>
  <c r="AO160" i="7"/>
  <c r="AP160" i="7"/>
  <c r="AQ160" i="7"/>
  <c r="AR160" i="7"/>
  <c r="AS160" i="7"/>
  <c r="AT160" i="7"/>
  <c r="AU160" i="7"/>
  <c r="AV160" i="7"/>
  <c r="AW160" i="7"/>
  <c r="AX160" i="7"/>
  <c r="AY160" i="7"/>
  <c r="AZ160" i="7"/>
  <c r="BA160" i="7"/>
  <c r="BB160" i="7"/>
  <c r="A161" i="7"/>
  <c r="B161" i="7"/>
  <c r="C161" i="7"/>
  <c r="D161" i="7"/>
  <c r="E161" i="7"/>
  <c r="F161" i="7"/>
  <c r="G161" i="7"/>
  <c r="H161" i="7"/>
  <c r="I161" i="7"/>
  <c r="J161" i="7"/>
  <c r="K161" i="7"/>
  <c r="L161" i="7"/>
  <c r="M161" i="7"/>
  <c r="N161" i="7"/>
  <c r="O161" i="7"/>
  <c r="P161" i="7"/>
  <c r="Q161" i="7"/>
  <c r="R161" i="7"/>
  <c r="S161" i="7"/>
  <c r="T161" i="7"/>
  <c r="U161" i="7"/>
  <c r="V161" i="7"/>
  <c r="W161" i="7"/>
  <c r="X161" i="7"/>
  <c r="Y161" i="7"/>
  <c r="Z161" i="7"/>
  <c r="AA161" i="7"/>
  <c r="AB161" i="7"/>
  <c r="AC161" i="7"/>
  <c r="AD161" i="7"/>
  <c r="AE161" i="7"/>
  <c r="AF161" i="7"/>
  <c r="AG161" i="7"/>
  <c r="AH161" i="7"/>
  <c r="AI161" i="7"/>
  <c r="AJ161" i="7"/>
  <c r="AK161" i="7"/>
  <c r="AL161" i="7"/>
  <c r="AM161" i="7"/>
  <c r="AN161" i="7"/>
  <c r="AO161" i="7"/>
  <c r="AP161" i="7"/>
  <c r="AQ161" i="7"/>
  <c r="AR161" i="7"/>
  <c r="AS161" i="7"/>
  <c r="AT161" i="7"/>
  <c r="AU161" i="7"/>
  <c r="AV161" i="7"/>
  <c r="AW161" i="7"/>
  <c r="AX161" i="7"/>
  <c r="AY161" i="7"/>
  <c r="AZ161" i="7"/>
  <c r="BA161" i="7"/>
  <c r="BB161" i="7"/>
  <c r="A162" i="7"/>
  <c r="B162" i="7"/>
  <c r="C162" i="7"/>
  <c r="D162" i="7"/>
  <c r="E162" i="7"/>
  <c r="F162" i="7"/>
  <c r="G162" i="7"/>
  <c r="H162" i="7"/>
  <c r="I162" i="7"/>
  <c r="J162" i="7"/>
  <c r="K162" i="7"/>
  <c r="L162" i="7"/>
  <c r="M162" i="7"/>
  <c r="N162" i="7"/>
  <c r="O162" i="7"/>
  <c r="P162" i="7"/>
  <c r="Q162" i="7"/>
  <c r="R162" i="7"/>
  <c r="S162" i="7"/>
  <c r="T162" i="7"/>
  <c r="U162" i="7"/>
  <c r="V162" i="7"/>
  <c r="W162" i="7"/>
  <c r="X162" i="7"/>
  <c r="Y162" i="7"/>
  <c r="Z162" i="7"/>
  <c r="AA162" i="7"/>
  <c r="AB162" i="7"/>
  <c r="AC162" i="7"/>
  <c r="AD162" i="7"/>
  <c r="AE162" i="7"/>
  <c r="AF162" i="7"/>
  <c r="AG162" i="7"/>
  <c r="AH162" i="7"/>
  <c r="AI162" i="7"/>
  <c r="AJ162" i="7"/>
  <c r="AK162" i="7"/>
  <c r="AL162" i="7"/>
  <c r="AM162" i="7"/>
  <c r="AN162" i="7"/>
  <c r="AO162" i="7"/>
  <c r="AP162" i="7"/>
  <c r="AQ162" i="7"/>
  <c r="AR162" i="7"/>
  <c r="AS162" i="7"/>
  <c r="AT162" i="7"/>
  <c r="AU162" i="7"/>
  <c r="AV162" i="7"/>
  <c r="AW162" i="7"/>
  <c r="AX162" i="7"/>
  <c r="AY162" i="7"/>
  <c r="AZ162" i="7"/>
  <c r="BA162" i="7"/>
  <c r="BB162" i="7"/>
  <c r="A163" i="7"/>
  <c r="B163" i="7"/>
  <c r="C163" i="7"/>
  <c r="D163" i="7"/>
  <c r="E163" i="7"/>
  <c r="F163" i="7"/>
  <c r="G163" i="7"/>
  <c r="H163" i="7"/>
  <c r="I163" i="7"/>
  <c r="J163" i="7"/>
  <c r="K163" i="7"/>
  <c r="L163" i="7"/>
  <c r="M163" i="7"/>
  <c r="N163" i="7"/>
  <c r="O163" i="7"/>
  <c r="P163" i="7"/>
  <c r="Q163" i="7"/>
  <c r="R163" i="7"/>
  <c r="S163" i="7"/>
  <c r="T163" i="7"/>
  <c r="U163" i="7"/>
  <c r="V163" i="7"/>
  <c r="W163" i="7"/>
  <c r="X163" i="7"/>
  <c r="Y163" i="7"/>
  <c r="Z163" i="7"/>
  <c r="AA163" i="7"/>
  <c r="AB163" i="7"/>
  <c r="AC163" i="7"/>
  <c r="AD163" i="7"/>
  <c r="AE163" i="7"/>
  <c r="AF163" i="7"/>
  <c r="AG163" i="7"/>
  <c r="AH163" i="7"/>
  <c r="AI163" i="7"/>
  <c r="AJ163" i="7"/>
  <c r="AK163" i="7"/>
  <c r="AL163" i="7"/>
  <c r="AM163" i="7"/>
  <c r="AN163" i="7"/>
  <c r="AO163" i="7"/>
  <c r="AP163" i="7"/>
  <c r="AQ163" i="7"/>
  <c r="AR163" i="7"/>
  <c r="AS163" i="7"/>
  <c r="AT163" i="7"/>
  <c r="AU163" i="7"/>
  <c r="AV163" i="7"/>
  <c r="AW163" i="7"/>
  <c r="AX163" i="7"/>
  <c r="AY163" i="7"/>
  <c r="AZ163" i="7"/>
  <c r="BA163" i="7"/>
  <c r="BB163" i="7"/>
  <c r="A164" i="7"/>
  <c r="B164" i="7"/>
  <c r="C164" i="7"/>
  <c r="D164" i="7"/>
  <c r="E164" i="7"/>
  <c r="F164" i="7"/>
  <c r="G164" i="7"/>
  <c r="H164" i="7"/>
  <c r="I164" i="7"/>
  <c r="J164" i="7"/>
  <c r="K164" i="7"/>
  <c r="L164" i="7"/>
  <c r="M164" i="7"/>
  <c r="N164" i="7"/>
  <c r="O164" i="7"/>
  <c r="P164" i="7"/>
  <c r="Q164" i="7"/>
  <c r="R164" i="7"/>
  <c r="S164" i="7"/>
  <c r="T164" i="7"/>
  <c r="U164" i="7"/>
  <c r="V164" i="7"/>
  <c r="W164" i="7"/>
  <c r="X164" i="7"/>
  <c r="Y164" i="7"/>
  <c r="Z164" i="7"/>
  <c r="AA164" i="7"/>
  <c r="AB164" i="7"/>
  <c r="AC164" i="7"/>
  <c r="AD164" i="7"/>
  <c r="AE164" i="7"/>
  <c r="AF164" i="7"/>
  <c r="AG164" i="7"/>
  <c r="AH164" i="7"/>
  <c r="AI164" i="7"/>
  <c r="AJ164" i="7"/>
  <c r="AK164" i="7"/>
  <c r="AL164" i="7"/>
  <c r="AM164" i="7"/>
  <c r="AN164" i="7"/>
  <c r="AO164" i="7"/>
  <c r="AP164" i="7"/>
  <c r="AQ164" i="7"/>
  <c r="AR164" i="7"/>
  <c r="AS164" i="7"/>
  <c r="AT164" i="7"/>
  <c r="AU164" i="7"/>
  <c r="AV164" i="7"/>
  <c r="AW164" i="7"/>
  <c r="AX164" i="7"/>
  <c r="AY164" i="7"/>
  <c r="AZ164" i="7"/>
  <c r="BA164" i="7"/>
  <c r="BB164" i="7"/>
  <c r="A165" i="7"/>
  <c r="B165" i="7"/>
  <c r="C165" i="7"/>
  <c r="D165" i="7"/>
  <c r="E165" i="7"/>
  <c r="F165" i="7"/>
  <c r="G165" i="7"/>
  <c r="H165" i="7"/>
  <c r="I165" i="7"/>
  <c r="J165" i="7"/>
  <c r="K165" i="7"/>
  <c r="L165" i="7"/>
  <c r="M165" i="7"/>
  <c r="N165" i="7"/>
  <c r="O165" i="7"/>
  <c r="P165" i="7"/>
  <c r="Q165" i="7"/>
  <c r="R165" i="7"/>
  <c r="S165" i="7"/>
  <c r="T165" i="7"/>
  <c r="U165" i="7"/>
  <c r="V165" i="7"/>
  <c r="W165" i="7"/>
  <c r="X165" i="7"/>
  <c r="Y165" i="7"/>
  <c r="Z165" i="7"/>
  <c r="AA165" i="7"/>
  <c r="AB165" i="7"/>
  <c r="AC165" i="7"/>
  <c r="AD165" i="7"/>
  <c r="AE165" i="7"/>
  <c r="AF165" i="7"/>
  <c r="AG165" i="7"/>
  <c r="AH165" i="7"/>
  <c r="AI165" i="7"/>
  <c r="AJ165" i="7"/>
  <c r="AK165" i="7"/>
  <c r="AL165" i="7"/>
  <c r="AM165" i="7"/>
  <c r="AN165" i="7"/>
  <c r="AO165" i="7"/>
  <c r="AP165" i="7"/>
  <c r="AQ165" i="7"/>
  <c r="AR165" i="7"/>
  <c r="AS165" i="7"/>
  <c r="AT165" i="7"/>
  <c r="AU165" i="7"/>
  <c r="AV165" i="7"/>
  <c r="AW165" i="7"/>
  <c r="AX165" i="7"/>
  <c r="AY165" i="7"/>
  <c r="AZ165" i="7"/>
  <c r="BA165" i="7"/>
  <c r="BB165" i="7"/>
  <c r="A166" i="7"/>
  <c r="B166" i="7"/>
  <c r="C166" i="7"/>
  <c r="D166" i="7"/>
  <c r="E166" i="7"/>
  <c r="F166" i="7"/>
  <c r="G166" i="7"/>
  <c r="H166" i="7"/>
  <c r="I166" i="7"/>
  <c r="J166" i="7"/>
  <c r="K166" i="7"/>
  <c r="L166" i="7"/>
  <c r="M166" i="7"/>
  <c r="N166" i="7"/>
  <c r="O166" i="7"/>
  <c r="P166" i="7"/>
  <c r="Q166" i="7"/>
  <c r="R166" i="7"/>
  <c r="S166" i="7"/>
  <c r="T166" i="7"/>
  <c r="U166" i="7"/>
  <c r="V166" i="7"/>
  <c r="W166" i="7"/>
  <c r="X166" i="7"/>
  <c r="Y166" i="7"/>
  <c r="Z166" i="7"/>
  <c r="AA166" i="7"/>
  <c r="AB166" i="7"/>
  <c r="AC166" i="7"/>
  <c r="AD166" i="7"/>
  <c r="AE166" i="7"/>
  <c r="AF166" i="7"/>
  <c r="AG166" i="7"/>
  <c r="AH166" i="7"/>
  <c r="AI166" i="7"/>
  <c r="AJ166" i="7"/>
  <c r="AK166" i="7"/>
  <c r="AL166" i="7"/>
  <c r="AM166" i="7"/>
  <c r="AN166" i="7"/>
  <c r="AO166" i="7"/>
  <c r="AP166" i="7"/>
  <c r="AQ166" i="7"/>
  <c r="AR166" i="7"/>
  <c r="AS166" i="7"/>
  <c r="AT166" i="7"/>
  <c r="AU166" i="7"/>
  <c r="AV166" i="7"/>
  <c r="AW166" i="7"/>
  <c r="AX166" i="7"/>
  <c r="AY166" i="7"/>
  <c r="AZ166" i="7"/>
  <c r="BA166" i="7"/>
  <c r="BB166" i="7"/>
  <c r="A167" i="7"/>
  <c r="B167" i="7"/>
  <c r="C167" i="7"/>
  <c r="D167" i="7"/>
  <c r="E167" i="7"/>
  <c r="F167" i="7"/>
  <c r="G167" i="7"/>
  <c r="H167" i="7"/>
  <c r="I167" i="7"/>
  <c r="J167" i="7"/>
  <c r="K167" i="7"/>
  <c r="L167" i="7"/>
  <c r="M167" i="7"/>
  <c r="N167" i="7"/>
  <c r="O167" i="7"/>
  <c r="P167" i="7"/>
  <c r="Q167" i="7"/>
  <c r="R167" i="7"/>
  <c r="S167" i="7"/>
  <c r="T167" i="7"/>
  <c r="U167" i="7"/>
  <c r="V167" i="7"/>
  <c r="W167" i="7"/>
  <c r="X167" i="7"/>
  <c r="Y167" i="7"/>
  <c r="Z167" i="7"/>
  <c r="AA167" i="7"/>
  <c r="AB167" i="7"/>
  <c r="AC167" i="7"/>
  <c r="AD167" i="7"/>
  <c r="AE167" i="7"/>
  <c r="AF167" i="7"/>
  <c r="AG167" i="7"/>
  <c r="AH167" i="7"/>
  <c r="AI167" i="7"/>
  <c r="AJ167" i="7"/>
  <c r="AK167" i="7"/>
  <c r="AL167" i="7"/>
  <c r="AM167" i="7"/>
  <c r="AN167" i="7"/>
  <c r="AO167" i="7"/>
  <c r="AP167" i="7"/>
  <c r="AQ167" i="7"/>
  <c r="AR167" i="7"/>
  <c r="AS167" i="7"/>
  <c r="AT167" i="7"/>
  <c r="AU167" i="7"/>
  <c r="AV167" i="7"/>
  <c r="AW167" i="7"/>
  <c r="AX167" i="7"/>
  <c r="AY167" i="7"/>
  <c r="AZ167" i="7"/>
  <c r="BA167" i="7"/>
  <c r="BB167" i="7"/>
  <c r="A168" i="7"/>
  <c r="B168" i="7"/>
  <c r="C168" i="7"/>
  <c r="D168" i="7"/>
  <c r="E168" i="7"/>
  <c r="F168" i="7"/>
  <c r="G168" i="7"/>
  <c r="H168" i="7"/>
  <c r="I168" i="7"/>
  <c r="J168" i="7"/>
  <c r="K168" i="7"/>
  <c r="L168" i="7"/>
  <c r="M168" i="7"/>
  <c r="N168" i="7"/>
  <c r="O168" i="7"/>
  <c r="P168" i="7"/>
  <c r="Q168" i="7"/>
  <c r="R168" i="7"/>
  <c r="S168" i="7"/>
  <c r="T168" i="7"/>
  <c r="U168" i="7"/>
  <c r="V168" i="7"/>
  <c r="W168" i="7"/>
  <c r="X168" i="7"/>
  <c r="Y168" i="7"/>
  <c r="Z168" i="7"/>
  <c r="AA168" i="7"/>
  <c r="AB168" i="7"/>
  <c r="AC168" i="7"/>
  <c r="AD168" i="7"/>
  <c r="AE168" i="7"/>
  <c r="AF168" i="7"/>
  <c r="AG168" i="7"/>
  <c r="AH168" i="7"/>
  <c r="AI168" i="7"/>
  <c r="AJ168" i="7"/>
  <c r="AK168" i="7"/>
  <c r="AL168" i="7"/>
  <c r="AM168" i="7"/>
  <c r="AN168" i="7"/>
  <c r="AO168" i="7"/>
  <c r="AP168" i="7"/>
  <c r="AQ168" i="7"/>
  <c r="AR168" i="7"/>
  <c r="AS168" i="7"/>
  <c r="AT168" i="7"/>
  <c r="AU168" i="7"/>
  <c r="AV168" i="7"/>
  <c r="AW168" i="7"/>
  <c r="AX168" i="7"/>
  <c r="AY168" i="7"/>
  <c r="AZ168" i="7"/>
  <c r="BA168" i="7"/>
  <c r="BB168" i="7"/>
  <c r="A169" i="7"/>
  <c r="B169" i="7"/>
  <c r="C169" i="7"/>
  <c r="D169" i="7"/>
  <c r="E169" i="7"/>
  <c r="F169" i="7"/>
  <c r="G169" i="7"/>
  <c r="H169" i="7"/>
  <c r="I169" i="7"/>
  <c r="J169" i="7"/>
  <c r="K169" i="7"/>
  <c r="L169" i="7"/>
  <c r="M169" i="7"/>
  <c r="N169" i="7"/>
  <c r="O169" i="7"/>
  <c r="P169" i="7"/>
  <c r="Q169" i="7"/>
  <c r="R169" i="7"/>
  <c r="S169" i="7"/>
  <c r="T169" i="7"/>
  <c r="U169" i="7"/>
  <c r="V169" i="7"/>
  <c r="W169" i="7"/>
  <c r="X169" i="7"/>
  <c r="Y169" i="7"/>
  <c r="Z169" i="7"/>
  <c r="AA169" i="7"/>
  <c r="AB169" i="7"/>
  <c r="AC169" i="7"/>
  <c r="AD169" i="7"/>
  <c r="AE169" i="7"/>
  <c r="AF169" i="7"/>
  <c r="AG169" i="7"/>
  <c r="AH169" i="7"/>
  <c r="AI169" i="7"/>
  <c r="AJ169" i="7"/>
  <c r="AK169" i="7"/>
  <c r="AL169" i="7"/>
  <c r="AM169" i="7"/>
  <c r="AN169" i="7"/>
  <c r="AO169" i="7"/>
  <c r="AP169" i="7"/>
  <c r="AQ169" i="7"/>
  <c r="AR169" i="7"/>
  <c r="AS169" i="7"/>
  <c r="AT169" i="7"/>
  <c r="AU169" i="7"/>
  <c r="AV169" i="7"/>
  <c r="AW169" i="7"/>
  <c r="AX169" i="7"/>
  <c r="AY169" i="7"/>
  <c r="AZ169" i="7"/>
  <c r="BA169" i="7"/>
  <c r="BB169" i="7"/>
  <c r="A170" i="7"/>
  <c r="B170" i="7"/>
  <c r="C170" i="7"/>
  <c r="D170" i="7"/>
  <c r="E170" i="7"/>
  <c r="F170" i="7"/>
  <c r="G170" i="7"/>
  <c r="H170" i="7"/>
  <c r="I170" i="7"/>
  <c r="J170" i="7"/>
  <c r="K170" i="7"/>
  <c r="L170" i="7"/>
  <c r="M170" i="7"/>
  <c r="N170" i="7"/>
  <c r="O170" i="7"/>
  <c r="P170" i="7"/>
  <c r="Q170" i="7"/>
  <c r="R170" i="7"/>
  <c r="S170" i="7"/>
  <c r="T170" i="7"/>
  <c r="U170" i="7"/>
  <c r="V170" i="7"/>
  <c r="W170" i="7"/>
  <c r="X170" i="7"/>
  <c r="Y170" i="7"/>
  <c r="Z170" i="7"/>
  <c r="AA170" i="7"/>
  <c r="AB170" i="7"/>
  <c r="AC170" i="7"/>
  <c r="AD170" i="7"/>
  <c r="AE170" i="7"/>
  <c r="AF170" i="7"/>
  <c r="AG170" i="7"/>
  <c r="AH170" i="7"/>
  <c r="AI170" i="7"/>
  <c r="AJ170" i="7"/>
  <c r="AK170" i="7"/>
  <c r="AL170" i="7"/>
  <c r="AM170" i="7"/>
  <c r="AN170" i="7"/>
  <c r="AO170" i="7"/>
  <c r="AP170" i="7"/>
  <c r="AQ170" i="7"/>
  <c r="AR170" i="7"/>
  <c r="AS170" i="7"/>
  <c r="AT170" i="7"/>
  <c r="AU170" i="7"/>
  <c r="AV170" i="7"/>
  <c r="AW170" i="7"/>
  <c r="AX170" i="7"/>
  <c r="AY170" i="7"/>
  <c r="AZ170" i="7"/>
  <c r="BA170" i="7"/>
  <c r="BB170" i="7"/>
  <c r="A171" i="7"/>
  <c r="B171" i="7"/>
  <c r="C171" i="7"/>
  <c r="D171" i="7"/>
  <c r="E171" i="7"/>
  <c r="F171" i="7"/>
  <c r="G171" i="7"/>
  <c r="H171" i="7"/>
  <c r="I171" i="7"/>
  <c r="J171" i="7"/>
  <c r="K171" i="7"/>
  <c r="L171" i="7"/>
  <c r="M171" i="7"/>
  <c r="N171" i="7"/>
  <c r="O171" i="7"/>
  <c r="P171" i="7"/>
  <c r="Q171" i="7"/>
  <c r="R171" i="7"/>
  <c r="S171" i="7"/>
  <c r="T171" i="7"/>
  <c r="U171" i="7"/>
  <c r="V171" i="7"/>
  <c r="W171" i="7"/>
  <c r="X171" i="7"/>
  <c r="Y171" i="7"/>
  <c r="Z171" i="7"/>
  <c r="AA171" i="7"/>
  <c r="AB171" i="7"/>
  <c r="AC171" i="7"/>
  <c r="AD171" i="7"/>
  <c r="AE171" i="7"/>
  <c r="AF171" i="7"/>
  <c r="AG171" i="7"/>
  <c r="AH171" i="7"/>
  <c r="AI171" i="7"/>
  <c r="AJ171" i="7"/>
  <c r="AK171" i="7"/>
  <c r="AL171" i="7"/>
  <c r="AM171" i="7"/>
  <c r="AN171" i="7"/>
  <c r="AO171" i="7"/>
  <c r="AP171" i="7"/>
  <c r="AQ171" i="7"/>
  <c r="AR171" i="7"/>
  <c r="AS171" i="7"/>
  <c r="AT171" i="7"/>
  <c r="AU171" i="7"/>
  <c r="AV171" i="7"/>
  <c r="AW171" i="7"/>
  <c r="AX171" i="7"/>
  <c r="AY171" i="7"/>
  <c r="AZ171" i="7"/>
  <c r="BA171" i="7"/>
  <c r="BB171" i="7"/>
  <c r="A172" i="7"/>
  <c r="B172" i="7"/>
  <c r="C172" i="7"/>
  <c r="D172" i="7"/>
  <c r="E172" i="7"/>
  <c r="F172" i="7"/>
  <c r="G172" i="7"/>
  <c r="H172" i="7"/>
  <c r="I172" i="7"/>
  <c r="J172" i="7"/>
  <c r="K172" i="7"/>
  <c r="L172" i="7"/>
  <c r="M172" i="7"/>
  <c r="N172" i="7"/>
  <c r="O172" i="7"/>
  <c r="P172" i="7"/>
  <c r="Q172" i="7"/>
  <c r="R172" i="7"/>
  <c r="S172" i="7"/>
  <c r="T172" i="7"/>
  <c r="U172" i="7"/>
  <c r="V172" i="7"/>
  <c r="W172" i="7"/>
  <c r="X172" i="7"/>
  <c r="Y172" i="7"/>
  <c r="Z172" i="7"/>
  <c r="AA172" i="7"/>
  <c r="AB172" i="7"/>
  <c r="AC172" i="7"/>
  <c r="AD172" i="7"/>
  <c r="AE172" i="7"/>
  <c r="AF172" i="7"/>
  <c r="AG172" i="7"/>
  <c r="AH172" i="7"/>
  <c r="AI172" i="7"/>
  <c r="AJ172" i="7"/>
  <c r="AK172" i="7"/>
  <c r="AL172" i="7"/>
  <c r="AM172" i="7"/>
  <c r="AN172" i="7"/>
  <c r="AO172" i="7"/>
  <c r="AP172" i="7"/>
  <c r="AQ172" i="7"/>
  <c r="AR172" i="7"/>
  <c r="AS172" i="7"/>
  <c r="AT172" i="7"/>
  <c r="AU172" i="7"/>
  <c r="AV172" i="7"/>
  <c r="AW172" i="7"/>
  <c r="AX172" i="7"/>
  <c r="AY172" i="7"/>
  <c r="AZ172" i="7"/>
  <c r="BA172" i="7"/>
  <c r="BB172" i="7"/>
  <c r="A173" i="7"/>
  <c r="B173" i="7"/>
  <c r="C173" i="7"/>
  <c r="D173" i="7"/>
  <c r="E173" i="7"/>
  <c r="F173" i="7"/>
  <c r="G173" i="7"/>
  <c r="H173" i="7"/>
  <c r="I173" i="7"/>
  <c r="J173" i="7"/>
  <c r="K173" i="7"/>
  <c r="L173" i="7"/>
  <c r="M173" i="7"/>
  <c r="N173" i="7"/>
  <c r="O173" i="7"/>
  <c r="P173" i="7"/>
  <c r="Q173" i="7"/>
  <c r="R173" i="7"/>
  <c r="S173" i="7"/>
  <c r="T173" i="7"/>
  <c r="U173" i="7"/>
  <c r="V173" i="7"/>
  <c r="W173" i="7"/>
  <c r="X173" i="7"/>
  <c r="Y173" i="7"/>
  <c r="Z173" i="7"/>
  <c r="AA173" i="7"/>
  <c r="AB173" i="7"/>
  <c r="AC173" i="7"/>
  <c r="AD173" i="7"/>
  <c r="AE173" i="7"/>
  <c r="AF173" i="7"/>
  <c r="AG173" i="7"/>
  <c r="AH173" i="7"/>
  <c r="AI173" i="7"/>
  <c r="AJ173" i="7"/>
  <c r="AK173" i="7"/>
  <c r="AL173" i="7"/>
  <c r="AM173" i="7"/>
  <c r="AN173" i="7"/>
  <c r="AO173" i="7"/>
  <c r="AP173" i="7"/>
  <c r="AQ173" i="7"/>
  <c r="AR173" i="7"/>
  <c r="AS173" i="7"/>
  <c r="AT173" i="7"/>
  <c r="AU173" i="7"/>
  <c r="AV173" i="7"/>
  <c r="AW173" i="7"/>
  <c r="AX173" i="7"/>
  <c r="AY173" i="7"/>
  <c r="AZ173" i="7"/>
  <c r="BA173" i="7"/>
  <c r="BB173" i="7"/>
  <c r="A174" i="7"/>
  <c r="B174" i="7"/>
  <c r="C174" i="7"/>
  <c r="D174" i="7"/>
  <c r="E174" i="7"/>
  <c r="F174" i="7"/>
  <c r="G174" i="7"/>
  <c r="H174" i="7"/>
  <c r="I174" i="7"/>
  <c r="J174" i="7"/>
  <c r="K174" i="7"/>
  <c r="L174" i="7"/>
  <c r="M174" i="7"/>
  <c r="N174" i="7"/>
  <c r="O174" i="7"/>
  <c r="P174" i="7"/>
  <c r="Q174" i="7"/>
  <c r="R174" i="7"/>
  <c r="S174" i="7"/>
  <c r="T174" i="7"/>
  <c r="U174" i="7"/>
  <c r="V174" i="7"/>
  <c r="W174" i="7"/>
  <c r="X174" i="7"/>
  <c r="Y174" i="7"/>
  <c r="Z174" i="7"/>
  <c r="AA174" i="7"/>
  <c r="AB174" i="7"/>
  <c r="AC174" i="7"/>
  <c r="AD174" i="7"/>
  <c r="AE174" i="7"/>
  <c r="AF174" i="7"/>
  <c r="AG174" i="7"/>
  <c r="AH174" i="7"/>
  <c r="AI174" i="7"/>
  <c r="AJ174" i="7"/>
  <c r="AK174" i="7"/>
  <c r="AL174" i="7"/>
  <c r="AM174" i="7"/>
  <c r="AN174" i="7"/>
  <c r="AO174" i="7"/>
  <c r="AP174" i="7"/>
  <c r="AQ174" i="7"/>
  <c r="AR174" i="7"/>
  <c r="AS174" i="7"/>
  <c r="AT174" i="7"/>
  <c r="AU174" i="7"/>
  <c r="AV174" i="7"/>
  <c r="AW174" i="7"/>
  <c r="AX174" i="7"/>
  <c r="AY174" i="7"/>
  <c r="AZ174" i="7"/>
  <c r="BA174" i="7"/>
  <c r="BB174" i="7"/>
  <c r="A175" i="7"/>
  <c r="B175" i="7"/>
  <c r="C175" i="7"/>
  <c r="D175" i="7"/>
  <c r="E175" i="7"/>
  <c r="F175" i="7"/>
  <c r="G175" i="7"/>
  <c r="H175" i="7"/>
  <c r="I175" i="7"/>
  <c r="J175" i="7"/>
  <c r="K175" i="7"/>
  <c r="L175" i="7"/>
  <c r="M175" i="7"/>
  <c r="N175" i="7"/>
  <c r="O175" i="7"/>
  <c r="P175" i="7"/>
  <c r="Q175" i="7"/>
  <c r="R175" i="7"/>
  <c r="S175" i="7"/>
  <c r="T175" i="7"/>
  <c r="U175" i="7"/>
  <c r="V175" i="7"/>
  <c r="W175" i="7"/>
  <c r="X175" i="7"/>
  <c r="Y175" i="7"/>
  <c r="Z175" i="7"/>
  <c r="AA175" i="7"/>
  <c r="AB175" i="7"/>
  <c r="AC175" i="7"/>
  <c r="AD175" i="7"/>
  <c r="AE175" i="7"/>
  <c r="AF175" i="7"/>
  <c r="AG175" i="7"/>
  <c r="AH175" i="7"/>
  <c r="AI175" i="7"/>
  <c r="AJ175" i="7"/>
  <c r="AK175" i="7"/>
  <c r="AL175" i="7"/>
  <c r="AM175" i="7"/>
  <c r="AN175" i="7"/>
  <c r="AO175" i="7"/>
  <c r="AP175" i="7"/>
  <c r="AQ175" i="7"/>
  <c r="AR175" i="7"/>
  <c r="AS175" i="7"/>
  <c r="AT175" i="7"/>
  <c r="AU175" i="7"/>
  <c r="AV175" i="7"/>
  <c r="AW175" i="7"/>
  <c r="AX175" i="7"/>
  <c r="AY175" i="7"/>
  <c r="AZ175" i="7"/>
  <c r="BA175" i="7"/>
  <c r="BB175" i="7"/>
  <c r="A176" i="7"/>
  <c r="B176" i="7"/>
  <c r="C176" i="7"/>
  <c r="D176" i="7"/>
  <c r="E176" i="7"/>
  <c r="F176" i="7"/>
  <c r="G176" i="7"/>
  <c r="H176" i="7"/>
  <c r="I176" i="7"/>
  <c r="J176" i="7"/>
  <c r="K176" i="7"/>
  <c r="L176" i="7"/>
  <c r="M176" i="7"/>
  <c r="N176" i="7"/>
  <c r="O176" i="7"/>
  <c r="P176" i="7"/>
  <c r="Q176" i="7"/>
  <c r="R176" i="7"/>
  <c r="S176" i="7"/>
  <c r="T176" i="7"/>
  <c r="U176" i="7"/>
  <c r="V176" i="7"/>
  <c r="W176" i="7"/>
  <c r="X176" i="7"/>
  <c r="Y176" i="7"/>
  <c r="Z176" i="7"/>
  <c r="AA176" i="7"/>
  <c r="AB176" i="7"/>
  <c r="AC176" i="7"/>
  <c r="AD176" i="7"/>
  <c r="AE176" i="7"/>
  <c r="AF176" i="7"/>
  <c r="AG176" i="7"/>
  <c r="AH176" i="7"/>
  <c r="AI176" i="7"/>
  <c r="AJ176" i="7"/>
  <c r="AK176" i="7"/>
  <c r="AL176" i="7"/>
  <c r="AM176" i="7"/>
  <c r="AN176" i="7"/>
  <c r="AO176" i="7"/>
  <c r="AP176" i="7"/>
  <c r="AQ176" i="7"/>
  <c r="AR176" i="7"/>
  <c r="AS176" i="7"/>
  <c r="AT176" i="7"/>
  <c r="AU176" i="7"/>
  <c r="AV176" i="7"/>
  <c r="AW176" i="7"/>
  <c r="AX176" i="7"/>
  <c r="AY176" i="7"/>
  <c r="AZ176" i="7"/>
  <c r="BA176" i="7"/>
  <c r="BB176" i="7"/>
  <c r="A177" i="7"/>
  <c r="B177" i="7"/>
  <c r="C177" i="7"/>
  <c r="D177" i="7"/>
  <c r="E177" i="7"/>
  <c r="F177" i="7"/>
  <c r="G177" i="7"/>
  <c r="H177" i="7"/>
  <c r="I177" i="7"/>
  <c r="J177" i="7"/>
  <c r="K177" i="7"/>
  <c r="L177" i="7"/>
  <c r="M177" i="7"/>
  <c r="N177" i="7"/>
  <c r="O177" i="7"/>
  <c r="P177" i="7"/>
  <c r="Q177" i="7"/>
  <c r="R177" i="7"/>
  <c r="S177" i="7"/>
  <c r="T177" i="7"/>
  <c r="U177" i="7"/>
  <c r="V177" i="7"/>
  <c r="W177" i="7"/>
  <c r="X177" i="7"/>
  <c r="Y177" i="7"/>
  <c r="Z177" i="7"/>
  <c r="AA177" i="7"/>
  <c r="AB177" i="7"/>
  <c r="AC177" i="7"/>
  <c r="AD177" i="7"/>
  <c r="AE177" i="7"/>
  <c r="AF177" i="7"/>
  <c r="AG177" i="7"/>
  <c r="AH177" i="7"/>
  <c r="AI177" i="7"/>
  <c r="AJ177" i="7"/>
  <c r="AK177" i="7"/>
  <c r="AL177" i="7"/>
  <c r="AM177" i="7"/>
  <c r="AN177" i="7"/>
  <c r="AO177" i="7"/>
  <c r="AP177" i="7"/>
  <c r="AQ177" i="7"/>
  <c r="AR177" i="7"/>
  <c r="AS177" i="7"/>
  <c r="AT177" i="7"/>
  <c r="AU177" i="7"/>
  <c r="AV177" i="7"/>
  <c r="AW177" i="7"/>
  <c r="AX177" i="7"/>
  <c r="AY177" i="7"/>
  <c r="AZ177" i="7"/>
  <c r="BA177" i="7"/>
  <c r="BB177" i="7"/>
  <c r="A178" i="7"/>
  <c r="B178" i="7"/>
  <c r="C178" i="7"/>
  <c r="D178" i="7"/>
  <c r="E178" i="7"/>
  <c r="F178" i="7"/>
  <c r="G178" i="7"/>
  <c r="H178" i="7"/>
  <c r="I178" i="7"/>
  <c r="J178" i="7"/>
  <c r="K178" i="7"/>
  <c r="L178" i="7"/>
  <c r="M178" i="7"/>
  <c r="N178" i="7"/>
  <c r="O178" i="7"/>
  <c r="P178" i="7"/>
  <c r="Q178" i="7"/>
  <c r="R178" i="7"/>
  <c r="S178" i="7"/>
  <c r="T178" i="7"/>
  <c r="U178" i="7"/>
  <c r="V178" i="7"/>
  <c r="W178" i="7"/>
  <c r="X178" i="7"/>
  <c r="Y178" i="7"/>
  <c r="Z178" i="7"/>
  <c r="AA178" i="7"/>
  <c r="AB178" i="7"/>
  <c r="AC178" i="7"/>
  <c r="AD178" i="7"/>
  <c r="AE178" i="7"/>
  <c r="AF178" i="7"/>
  <c r="AG178" i="7"/>
  <c r="AH178" i="7"/>
  <c r="AI178" i="7"/>
  <c r="AJ178" i="7"/>
  <c r="AK178" i="7"/>
  <c r="AL178" i="7"/>
  <c r="AM178" i="7"/>
  <c r="AN178" i="7"/>
  <c r="AO178" i="7"/>
  <c r="AP178" i="7"/>
  <c r="AQ178" i="7"/>
  <c r="AR178" i="7"/>
  <c r="AS178" i="7"/>
  <c r="AT178" i="7"/>
  <c r="AU178" i="7"/>
  <c r="AV178" i="7"/>
  <c r="AW178" i="7"/>
  <c r="AX178" i="7"/>
  <c r="AY178" i="7"/>
  <c r="AZ178" i="7"/>
  <c r="BA178" i="7"/>
  <c r="BB178" i="7"/>
  <c r="A179" i="7"/>
  <c r="B179" i="7"/>
  <c r="C179" i="7"/>
  <c r="D179" i="7"/>
  <c r="E179" i="7"/>
  <c r="F179" i="7"/>
  <c r="G179" i="7"/>
  <c r="H179" i="7"/>
  <c r="I179" i="7"/>
  <c r="J179" i="7"/>
  <c r="K179" i="7"/>
  <c r="L179" i="7"/>
  <c r="M179" i="7"/>
  <c r="N179" i="7"/>
  <c r="O179" i="7"/>
  <c r="P179" i="7"/>
  <c r="Q179" i="7"/>
  <c r="R179" i="7"/>
  <c r="S179" i="7"/>
  <c r="T179" i="7"/>
  <c r="U179" i="7"/>
  <c r="V179" i="7"/>
  <c r="W179" i="7"/>
  <c r="X179" i="7"/>
  <c r="Y179" i="7"/>
  <c r="Z179" i="7"/>
  <c r="AA179" i="7"/>
  <c r="AB179" i="7"/>
  <c r="AC179" i="7"/>
  <c r="AD179" i="7"/>
  <c r="AE179" i="7"/>
  <c r="AF179" i="7"/>
  <c r="AG179" i="7"/>
  <c r="AH179" i="7"/>
  <c r="AI179" i="7"/>
  <c r="AJ179" i="7"/>
  <c r="AK179" i="7"/>
  <c r="AL179" i="7"/>
  <c r="AM179" i="7"/>
  <c r="AN179" i="7"/>
  <c r="AO179" i="7"/>
  <c r="AP179" i="7"/>
  <c r="AQ179" i="7"/>
  <c r="AR179" i="7"/>
  <c r="AS179" i="7"/>
  <c r="AT179" i="7"/>
  <c r="AU179" i="7"/>
  <c r="AV179" i="7"/>
  <c r="AW179" i="7"/>
  <c r="AX179" i="7"/>
  <c r="AY179" i="7"/>
  <c r="AZ179" i="7"/>
  <c r="BA179" i="7"/>
  <c r="BB179" i="7"/>
  <c r="A180" i="7"/>
  <c r="B180" i="7"/>
  <c r="C180" i="7"/>
  <c r="D180" i="7"/>
  <c r="E180" i="7"/>
  <c r="F180" i="7"/>
  <c r="G180" i="7"/>
  <c r="H180" i="7"/>
  <c r="I180" i="7"/>
  <c r="J180" i="7"/>
  <c r="K180" i="7"/>
  <c r="L180" i="7"/>
  <c r="M180" i="7"/>
  <c r="N180" i="7"/>
  <c r="O180" i="7"/>
  <c r="P180" i="7"/>
  <c r="Q180" i="7"/>
  <c r="R180" i="7"/>
  <c r="S180" i="7"/>
  <c r="T180" i="7"/>
  <c r="U180" i="7"/>
  <c r="V180" i="7"/>
  <c r="W180" i="7"/>
  <c r="X180" i="7"/>
  <c r="Y180" i="7"/>
  <c r="Z180" i="7"/>
  <c r="AA180" i="7"/>
  <c r="AB180" i="7"/>
  <c r="AC180" i="7"/>
  <c r="AD180" i="7"/>
  <c r="AE180" i="7"/>
  <c r="AF180" i="7"/>
  <c r="AG180" i="7"/>
  <c r="AH180" i="7"/>
  <c r="AI180" i="7"/>
  <c r="AJ180" i="7"/>
  <c r="AK180" i="7"/>
  <c r="AL180" i="7"/>
  <c r="AM180" i="7"/>
  <c r="AN180" i="7"/>
  <c r="AO180" i="7"/>
  <c r="AP180" i="7"/>
  <c r="AQ180" i="7"/>
  <c r="AR180" i="7"/>
  <c r="AS180" i="7"/>
  <c r="AT180" i="7"/>
  <c r="AU180" i="7"/>
  <c r="AV180" i="7"/>
  <c r="AW180" i="7"/>
  <c r="AX180" i="7"/>
  <c r="AY180" i="7"/>
  <c r="AZ180" i="7"/>
  <c r="BA180" i="7"/>
  <c r="BB180" i="7"/>
  <c r="A181" i="7"/>
  <c r="B181" i="7"/>
  <c r="C181" i="7"/>
  <c r="D181" i="7"/>
  <c r="E181" i="7"/>
  <c r="F181" i="7"/>
  <c r="G181" i="7"/>
  <c r="H181" i="7"/>
  <c r="I181" i="7"/>
  <c r="J181" i="7"/>
  <c r="K181" i="7"/>
  <c r="L181" i="7"/>
  <c r="M181" i="7"/>
  <c r="N181" i="7"/>
  <c r="O181" i="7"/>
  <c r="P181" i="7"/>
  <c r="Q181" i="7"/>
  <c r="R181" i="7"/>
  <c r="S181" i="7"/>
  <c r="T181" i="7"/>
  <c r="U181" i="7"/>
  <c r="V181" i="7"/>
  <c r="W181" i="7"/>
  <c r="X181" i="7"/>
  <c r="Y181" i="7"/>
  <c r="Z181" i="7"/>
  <c r="AA181" i="7"/>
  <c r="AB181" i="7"/>
  <c r="AC181" i="7"/>
  <c r="AD181" i="7"/>
  <c r="AE181" i="7"/>
  <c r="AF181" i="7"/>
  <c r="AG181" i="7"/>
  <c r="AH181" i="7"/>
  <c r="AI181" i="7"/>
  <c r="AJ181" i="7"/>
  <c r="AK181" i="7"/>
  <c r="AL181" i="7"/>
  <c r="AM181" i="7"/>
  <c r="AN181" i="7"/>
  <c r="AO181" i="7"/>
  <c r="AP181" i="7"/>
  <c r="AQ181" i="7"/>
  <c r="AR181" i="7"/>
  <c r="AS181" i="7"/>
  <c r="AT181" i="7"/>
  <c r="AU181" i="7"/>
  <c r="AV181" i="7"/>
  <c r="AW181" i="7"/>
  <c r="AX181" i="7"/>
  <c r="AY181" i="7"/>
  <c r="AZ181" i="7"/>
  <c r="BA181" i="7"/>
  <c r="BB181" i="7"/>
  <c r="A182" i="7"/>
  <c r="B182" i="7"/>
  <c r="C182" i="7"/>
  <c r="D182" i="7"/>
  <c r="E182" i="7"/>
  <c r="F182" i="7"/>
  <c r="G182" i="7"/>
  <c r="H182" i="7"/>
  <c r="I182" i="7"/>
  <c r="J182" i="7"/>
  <c r="K182" i="7"/>
  <c r="L182" i="7"/>
  <c r="M182" i="7"/>
  <c r="N182" i="7"/>
  <c r="O182" i="7"/>
  <c r="P182" i="7"/>
  <c r="Q182" i="7"/>
  <c r="R182" i="7"/>
  <c r="S182" i="7"/>
  <c r="T182" i="7"/>
  <c r="U182" i="7"/>
  <c r="V182" i="7"/>
  <c r="W182" i="7"/>
  <c r="X182" i="7"/>
  <c r="Y182" i="7"/>
  <c r="Z182" i="7"/>
  <c r="AA182" i="7"/>
  <c r="AB182" i="7"/>
  <c r="AC182" i="7"/>
  <c r="AD182" i="7"/>
  <c r="AE182" i="7"/>
  <c r="AF182" i="7"/>
  <c r="AG182" i="7"/>
  <c r="AH182" i="7"/>
  <c r="AI182" i="7"/>
  <c r="AJ182" i="7"/>
  <c r="AK182" i="7"/>
  <c r="AL182" i="7"/>
  <c r="AM182" i="7"/>
  <c r="AN182" i="7"/>
  <c r="AO182" i="7"/>
  <c r="AP182" i="7"/>
  <c r="AQ182" i="7"/>
  <c r="AR182" i="7"/>
  <c r="AS182" i="7"/>
  <c r="AT182" i="7"/>
  <c r="AU182" i="7"/>
  <c r="AV182" i="7"/>
  <c r="AW182" i="7"/>
  <c r="AX182" i="7"/>
  <c r="AY182" i="7"/>
  <c r="AZ182" i="7"/>
  <c r="BA182" i="7"/>
  <c r="BB182" i="7"/>
  <c r="A183" i="7"/>
  <c r="B183" i="7"/>
  <c r="C183" i="7"/>
  <c r="D183" i="7"/>
  <c r="E183" i="7"/>
  <c r="F183" i="7"/>
  <c r="G183" i="7"/>
  <c r="H183" i="7"/>
  <c r="I183" i="7"/>
  <c r="J183" i="7"/>
  <c r="K183" i="7"/>
  <c r="L183" i="7"/>
  <c r="M183" i="7"/>
  <c r="N183" i="7"/>
  <c r="O183" i="7"/>
  <c r="P183" i="7"/>
  <c r="Q183" i="7"/>
  <c r="R183" i="7"/>
  <c r="S183" i="7"/>
  <c r="T183" i="7"/>
  <c r="U183" i="7"/>
  <c r="V183" i="7"/>
  <c r="W183" i="7"/>
  <c r="X183" i="7"/>
  <c r="Y183" i="7"/>
  <c r="Z183" i="7"/>
  <c r="AA183" i="7"/>
  <c r="AB183" i="7"/>
  <c r="AC183" i="7"/>
  <c r="AD183" i="7"/>
  <c r="AE183" i="7"/>
  <c r="AF183" i="7"/>
  <c r="AG183" i="7"/>
  <c r="AH183" i="7"/>
  <c r="AI183" i="7"/>
  <c r="AJ183" i="7"/>
  <c r="AK183" i="7"/>
  <c r="AL183" i="7"/>
  <c r="AM183" i="7"/>
  <c r="AN183" i="7"/>
  <c r="AO183" i="7"/>
  <c r="AP183" i="7"/>
  <c r="AQ183" i="7"/>
  <c r="AR183" i="7"/>
  <c r="AS183" i="7"/>
  <c r="AT183" i="7"/>
  <c r="AU183" i="7"/>
  <c r="AV183" i="7"/>
  <c r="AW183" i="7"/>
  <c r="AX183" i="7"/>
  <c r="AY183" i="7"/>
  <c r="AZ183" i="7"/>
  <c r="BA183" i="7"/>
  <c r="BB183" i="7"/>
  <c r="A184" i="7"/>
  <c r="B184" i="7"/>
  <c r="C184" i="7"/>
  <c r="D184" i="7"/>
  <c r="E184" i="7"/>
  <c r="F184" i="7"/>
  <c r="G184" i="7"/>
  <c r="H184" i="7"/>
  <c r="I184" i="7"/>
  <c r="J184" i="7"/>
  <c r="K184" i="7"/>
  <c r="L184" i="7"/>
  <c r="M184" i="7"/>
  <c r="N184" i="7"/>
  <c r="O184" i="7"/>
  <c r="P184" i="7"/>
  <c r="Q184" i="7"/>
  <c r="R184" i="7"/>
  <c r="S184" i="7"/>
  <c r="T184" i="7"/>
  <c r="U184" i="7"/>
  <c r="V184" i="7"/>
  <c r="W184" i="7"/>
  <c r="X184" i="7"/>
  <c r="Y184" i="7"/>
  <c r="Z184" i="7"/>
  <c r="AA184" i="7"/>
  <c r="AB184" i="7"/>
  <c r="AC184" i="7"/>
  <c r="AD184" i="7"/>
  <c r="AE184" i="7"/>
  <c r="AF184" i="7"/>
  <c r="AG184" i="7"/>
  <c r="AH184" i="7"/>
  <c r="AI184" i="7"/>
  <c r="AJ184" i="7"/>
  <c r="AK184" i="7"/>
  <c r="AL184" i="7"/>
  <c r="AM184" i="7"/>
  <c r="AN184" i="7"/>
  <c r="AO184" i="7"/>
  <c r="AP184" i="7"/>
  <c r="AQ184" i="7"/>
  <c r="AR184" i="7"/>
  <c r="AS184" i="7"/>
  <c r="AT184" i="7"/>
  <c r="AU184" i="7"/>
  <c r="AV184" i="7"/>
  <c r="AW184" i="7"/>
  <c r="AX184" i="7"/>
  <c r="AY184" i="7"/>
  <c r="AZ184" i="7"/>
  <c r="BA184" i="7"/>
  <c r="BB184" i="7"/>
  <c r="A185" i="7"/>
  <c r="B185" i="7"/>
  <c r="C185" i="7"/>
  <c r="D185" i="7"/>
  <c r="E185" i="7"/>
  <c r="F185" i="7"/>
  <c r="G185" i="7"/>
  <c r="H185" i="7"/>
  <c r="I185" i="7"/>
  <c r="J185" i="7"/>
  <c r="K185" i="7"/>
  <c r="L185" i="7"/>
  <c r="M185" i="7"/>
  <c r="N185" i="7"/>
  <c r="O185" i="7"/>
  <c r="P185" i="7"/>
  <c r="Q185" i="7"/>
  <c r="R185" i="7"/>
  <c r="S185" i="7"/>
  <c r="T185" i="7"/>
  <c r="U185" i="7"/>
  <c r="V185" i="7"/>
  <c r="W185" i="7"/>
  <c r="X185" i="7"/>
  <c r="Y185" i="7"/>
  <c r="Z185" i="7"/>
  <c r="AA185" i="7"/>
  <c r="AB185" i="7"/>
  <c r="AC185" i="7"/>
  <c r="AD185" i="7"/>
  <c r="AE185" i="7"/>
  <c r="AF185" i="7"/>
  <c r="AG185" i="7"/>
  <c r="AH185" i="7"/>
  <c r="AI185" i="7"/>
  <c r="AJ185" i="7"/>
  <c r="AK185" i="7"/>
  <c r="AL185" i="7"/>
  <c r="AM185" i="7"/>
  <c r="AN185" i="7"/>
  <c r="AO185" i="7"/>
  <c r="AP185" i="7"/>
  <c r="AQ185" i="7"/>
  <c r="AR185" i="7"/>
  <c r="AS185" i="7"/>
  <c r="AT185" i="7"/>
  <c r="AU185" i="7"/>
  <c r="AV185" i="7"/>
  <c r="AW185" i="7"/>
  <c r="AX185" i="7"/>
  <c r="AY185" i="7"/>
  <c r="AZ185" i="7"/>
  <c r="BA185" i="7"/>
  <c r="BB185" i="7"/>
  <c r="A186" i="7"/>
  <c r="B186" i="7"/>
  <c r="C186" i="7"/>
  <c r="D186" i="7"/>
  <c r="E186" i="7"/>
  <c r="F186" i="7"/>
  <c r="G186" i="7"/>
  <c r="H186" i="7"/>
  <c r="I186" i="7"/>
  <c r="J186" i="7"/>
  <c r="K186" i="7"/>
  <c r="L186" i="7"/>
  <c r="M186" i="7"/>
  <c r="N186" i="7"/>
  <c r="O186" i="7"/>
  <c r="P186" i="7"/>
  <c r="Q186" i="7"/>
  <c r="R186" i="7"/>
  <c r="S186" i="7"/>
  <c r="T186" i="7"/>
  <c r="U186" i="7"/>
  <c r="V186" i="7"/>
  <c r="W186" i="7"/>
  <c r="X186" i="7"/>
  <c r="Y186" i="7"/>
  <c r="Z186" i="7"/>
  <c r="AA186" i="7"/>
  <c r="AB186" i="7"/>
  <c r="AC186" i="7"/>
  <c r="AD186" i="7"/>
  <c r="AE186" i="7"/>
  <c r="AF186" i="7"/>
  <c r="AG186" i="7"/>
  <c r="AH186" i="7"/>
  <c r="AI186" i="7"/>
  <c r="AJ186" i="7"/>
  <c r="AK186" i="7"/>
  <c r="AL186" i="7"/>
  <c r="AM186" i="7"/>
  <c r="AN186" i="7"/>
  <c r="AO186" i="7"/>
  <c r="AP186" i="7"/>
  <c r="AQ186" i="7"/>
  <c r="AR186" i="7"/>
  <c r="AS186" i="7"/>
  <c r="AT186" i="7"/>
  <c r="AU186" i="7"/>
  <c r="AV186" i="7"/>
  <c r="AW186" i="7"/>
  <c r="AX186" i="7"/>
  <c r="AY186" i="7"/>
  <c r="AZ186" i="7"/>
  <c r="BA186" i="7"/>
  <c r="BB186" i="7"/>
  <c r="A187" i="7"/>
  <c r="B187" i="7"/>
  <c r="C187" i="7"/>
  <c r="D187" i="7"/>
  <c r="E187" i="7"/>
  <c r="F187" i="7"/>
  <c r="G187" i="7"/>
  <c r="H187" i="7"/>
  <c r="I187" i="7"/>
  <c r="J187" i="7"/>
  <c r="K187" i="7"/>
  <c r="L187" i="7"/>
  <c r="M187" i="7"/>
  <c r="N187" i="7"/>
  <c r="O187" i="7"/>
  <c r="P187" i="7"/>
  <c r="Q187" i="7"/>
  <c r="R187" i="7"/>
  <c r="S187" i="7"/>
  <c r="T187" i="7"/>
  <c r="U187" i="7"/>
  <c r="V187" i="7"/>
  <c r="W187" i="7"/>
  <c r="X187" i="7"/>
  <c r="Y187" i="7"/>
  <c r="Z187" i="7"/>
  <c r="AA187" i="7"/>
  <c r="AB187" i="7"/>
  <c r="AC187" i="7"/>
  <c r="AD187" i="7"/>
  <c r="AE187" i="7"/>
  <c r="AF187" i="7"/>
  <c r="AG187" i="7"/>
  <c r="AH187" i="7"/>
  <c r="AI187" i="7"/>
  <c r="AJ187" i="7"/>
  <c r="AK187" i="7"/>
  <c r="AL187" i="7"/>
  <c r="AM187" i="7"/>
  <c r="AN187" i="7"/>
  <c r="AO187" i="7"/>
  <c r="AP187" i="7"/>
  <c r="AQ187" i="7"/>
  <c r="AR187" i="7"/>
  <c r="AS187" i="7"/>
  <c r="AT187" i="7"/>
  <c r="AU187" i="7"/>
  <c r="AV187" i="7"/>
  <c r="AW187" i="7"/>
  <c r="AX187" i="7"/>
  <c r="AY187" i="7"/>
  <c r="AZ187" i="7"/>
  <c r="BA187" i="7"/>
  <c r="BB187" i="7"/>
  <c r="A188" i="7"/>
  <c r="B188" i="7"/>
  <c r="C188" i="7"/>
  <c r="D188" i="7"/>
  <c r="E188" i="7"/>
  <c r="F188" i="7"/>
  <c r="G188" i="7"/>
  <c r="H188" i="7"/>
  <c r="I188" i="7"/>
  <c r="J188" i="7"/>
  <c r="K188" i="7"/>
  <c r="L188" i="7"/>
  <c r="M188" i="7"/>
  <c r="N188" i="7"/>
  <c r="O188" i="7"/>
  <c r="P188" i="7"/>
  <c r="Q188" i="7"/>
  <c r="R188" i="7"/>
  <c r="S188" i="7"/>
  <c r="T188" i="7"/>
  <c r="U188" i="7"/>
  <c r="V188" i="7"/>
  <c r="W188" i="7"/>
  <c r="X188" i="7"/>
  <c r="Y188" i="7"/>
  <c r="Z188" i="7"/>
  <c r="AA188" i="7"/>
  <c r="AB188" i="7"/>
  <c r="AC188" i="7"/>
  <c r="AD188" i="7"/>
  <c r="AE188" i="7"/>
  <c r="AF188" i="7"/>
  <c r="AG188" i="7"/>
  <c r="AH188" i="7"/>
  <c r="AI188" i="7"/>
  <c r="AJ188" i="7"/>
  <c r="AK188" i="7"/>
  <c r="AL188" i="7"/>
  <c r="AM188" i="7"/>
  <c r="AN188" i="7"/>
  <c r="AO188" i="7"/>
  <c r="AP188" i="7"/>
  <c r="AQ188" i="7"/>
  <c r="AR188" i="7"/>
  <c r="AS188" i="7"/>
  <c r="AT188" i="7"/>
  <c r="AU188" i="7"/>
  <c r="AV188" i="7"/>
  <c r="AW188" i="7"/>
  <c r="AX188" i="7"/>
  <c r="AY188" i="7"/>
  <c r="AZ188" i="7"/>
  <c r="BA188" i="7"/>
  <c r="BB188" i="7"/>
  <c r="A189" i="7"/>
  <c r="B189" i="7"/>
  <c r="C189" i="7"/>
  <c r="D189" i="7"/>
  <c r="E189" i="7"/>
  <c r="F189" i="7"/>
  <c r="G189" i="7"/>
  <c r="H189" i="7"/>
  <c r="I189" i="7"/>
  <c r="J189" i="7"/>
  <c r="K189" i="7"/>
  <c r="L189" i="7"/>
  <c r="M189" i="7"/>
  <c r="N189" i="7"/>
  <c r="O189" i="7"/>
  <c r="P189" i="7"/>
  <c r="Q189" i="7"/>
  <c r="R189" i="7"/>
  <c r="S189" i="7"/>
  <c r="T189" i="7"/>
  <c r="U189" i="7"/>
  <c r="V189" i="7"/>
  <c r="W189" i="7"/>
  <c r="X189" i="7"/>
  <c r="Y189" i="7"/>
  <c r="Z189" i="7"/>
  <c r="AA189" i="7"/>
  <c r="AB189" i="7"/>
  <c r="AC189" i="7"/>
  <c r="AD189" i="7"/>
  <c r="AE189" i="7"/>
  <c r="AF189" i="7"/>
  <c r="AG189" i="7"/>
  <c r="AH189" i="7"/>
  <c r="AI189" i="7"/>
  <c r="AJ189" i="7"/>
  <c r="AK189" i="7"/>
  <c r="AL189" i="7"/>
  <c r="AM189" i="7"/>
  <c r="AN189" i="7"/>
  <c r="AO189" i="7"/>
  <c r="AP189" i="7"/>
  <c r="AQ189" i="7"/>
  <c r="AR189" i="7"/>
  <c r="AS189" i="7"/>
  <c r="AT189" i="7"/>
  <c r="AU189" i="7"/>
  <c r="AV189" i="7"/>
  <c r="AW189" i="7"/>
  <c r="AX189" i="7"/>
  <c r="AY189" i="7"/>
  <c r="AZ189" i="7"/>
  <c r="BA189" i="7"/>
  <c r="BB189" i="7"/>
  <c r="A190" i="7"/>
  <c r="B190" i="7"/>
  <c r="C190" i="7"/>
  <c r="D190" i="7"/>
  <c r="E190" i="7"/>
  <c r="F190" i="7"/>
  <c r="G190" i="7"/>
  <c r="H190" i="7"/>
  <c r="I190" i="7"/>
  <c r="J190" i="7"/>
  <c r="K190" i="7"/>
  <c r="L190" i="7"/>
  <c r="M190" i="7"/>
  <c r="N190" i="7"/>
  <c r="O190" i="7"/>
  <c r="P190" i="7"/>
  <c r="Q190" i="7"/>
  <c r="R190" i="7"/>
  <c r="S190" i="7"/>
  <c r="T190" i="7"/>
  <c r="U190" i="7"/>
  <c r="V190" i="7"/>
  <c r="W190" i="7"/>
  <c r="X190" i="7"/>
  <c r="Y190" i="7"/>
  <c r="Z190" i="7"/>
  <c r="AA190" i="7"/>
  <c r="AB190" i="7"/>
  <c r="AC190" i="7"/>
  <c r="AD190" i="7"/>
  <c r="AE190" i="7"/>
  <c r="AF190" i="7"/>
  <c r="AG190" i="7"/>
  <c r="AH190" i="7"/>
  <c r="AI190" i="7"/>
  <c r="AJ190" i="7"/>
  <c r="AK190" i="7"/>
  <c r="AL190" i="7"/>
  <c r="AM190" i="7"/>
  <c r="AN190" i="7"/>
  <c r="AO190" i="7"/>
  <c r="AP190" i="7"/>
  <c r="AQ190" i="7"/>
  <c r="AR190" i="7"/>
  <c r="AS190" i="7"/>
  <c r="AT190" i="7"/>
  <c r="AU190" i="7"/>
  <c r="AV190" i="7"/>
  <c r="AW190" i="7"/>
  <c r="AX190" i="7"/>
  <c r="AY190" i="7"/>
  <c r="AZ190" i="7"/>
  <c r="BA190" i="7"/>
  <c r="BB190" i="7"/>
  <c r="A191" i="7"/>
  <c r="B191" i="7"/>
  <c r="C191" i="7"/>
  <c r="D191" i="7"/>
  <c r="E191" i="7"/>
  <c r="F191" i="7"/>
  <c r="G191" i="7"/>
  <c r="H191" i="7"/>
  <c r="I191" i="7"/>
  <c r="J191" i="7"/>
  <c r="K191" i="7"/>
  <c r="L191" i="7"/>
  <c r="M191" i="7"/>
  <c r="N191" i="7"/>
  <c r="O191" i="7"/>
  <c r="P191" i="7"/>
  <c r="Q191" i="7"/>
  <c r="R191" i="7"/>
  <c r="S191" i="7"/>
  <c r="T191" i="7"/>
  <c r="U191" i="7"/>
  <c r="V191" i="7"/>
  <c r="W191" i="7"/>
  <c r="X191" i="7"/>
  <c r="Y191" i="7"/>
  <c r="Z191" i="7"/>
  <c r="AA191" i="7"/>
  <c r="AB191" i="7"/>
  <c r="AC191" i="7"/>
  <c r="AD191" i="7"/>
  <c r="AE191" i="7"/>
  <c r="AF191" i="7"/>
  <c r="AG191" i="7"/>
  <c r="AH191" i="7"/>
  <c r="AI191" i="7"/>
  <c r="AJ191" i="7"/>
  <c r="AK191" i="7"/>
  <c r="AL191" i="7"/>
  <c r="AM191" i="7"/>
  <c r="AN191" i="7"/>
  <c r="AO191" i="7"/>
  <c r="AP191" i="7"/>
  <c r="AQ191" i="7"/>
  <c r="AR191" i="7"/>
  <c r="AS191" i="7"/>
  <c r="AT191" i="7"/>
  <c r="AU191" i="7"/>
  <c r="AV191" i="7"/>
  <c r="AW191" i="7"/>
  <c r="AX191" i="7"/>
  <c r="AY191" i="7"/>
  <c r="AZ191" i="7"/>
  <c r="BA191" i="7"/>
  <c r="BB191" i="7"/>
  <c r="A192" i="7"/>
  <c r="B192" i="7"/>
  <c r="C192" i="7"/>
  <c r="D192" i="7"/>
  <c r="E192" i="7"/>
  <c r="F192" i="7"/>
  <c r="G192" i="7"/>
  <c r="H192" i="7"/>
  <c r="I192" i="7"/>
  <c r="J192" i="7"/>
  <c r="K192" i="7"/>
  <c r="L192" i="7"/>
  <c r="M192" i="7"/>
  <c r="N192" i="7"/>
  <c r="O192" i="7"/>
  <c r="P192" i="7"/>
  <c r="Q192" i="7"/>
  <c r="R192" i="7"/>
  <c r="S192" i="7"/>
  <c r="T192" i="7"/>
  <c r="U192" i="7"/>
  <c r="V192" i="7"/>
  <c r="W192" i="7"/>
  <c r="X192" i="7"/>
  <c r="Y192" i="7"/>
  <c r="Z192" i="7"/>
  <c r="AA192" i="7"/>
  <c r="AB192" i="7"/>
  <c r="AC192" i="7"/>
  <c r="AD192" i="7"/>
  <c r="AE192" i="7"/>
  <c r="AF192" i="7"/>
  <c r="AG192" i="7"/>
  <c r="AH192" i="7"/>
  <c r="AI192" i="7"/>
  <c r="AJ192" i="7"/>
  <c r="AK192" i="7"/>
  <c r="AL192" i="7"/>
  <c r="AM192" i="7"/>
  <c r="AN192" i="7"/>
  <c r="AO192" i="7"/>
  <c r="AP192" i="7"/>
  <c r="AQ192" i="7"/>
  <c r="AR192" i="7"/>
  <c r="AS192" i="7"/>
  <c r="AT192" i="7"/>
  <c r="AU192" i="7"/>
  <c r="AV192" i="7"/>
  <c r="AW192" i="7"/>
  <c r="AX192" i="7"/>
  <c r="AY192" i="7"/>
  <c r="AZ192" i="7"/>
  <c r="BA192" i="7"/>
  <c r="BB192" i="7"/>
  <c r="A193" i="7"/>
  <c r="B193" i="7"/>
  <c r="C193" i="7"/>
  <c r="D193" i="7"/>
  <c r="E193" i="7"/>
  <c r="F193" i="7"/>
  <c r="G193" i="7"/>
  <c r="H193" i="7"/>
  <c r="I193" i="7"/>
  <c r="J193" i="7"/>
  <c r="K193" i="7"/>
  <c r="L193" i="7"/>
  <c r="M193" i="7"/>
  <c r="N193" i="7"/>
  <c r="O193" i="7"/>
  <c r="P193" i="7"/>
  <c r="Q193" i="7"/>
  <c r="R193" i="7"/>
  <c r="S193" i="7"/>
  <c r="T193" i="7"/>
  <c r="U193" i="7"/>
  <c r="V193" i="7"/>
  <c r="W193" i="7"/>
  <c r="X193" i="7"/>
  <c r="Y193" i="7"/>
  <c r="Z193" i="7"/>
  <c r="AA193" i="7"/>
  <c r="AB193" i="7"/>
  <c r="AC193" i="7"/>
  <c r="AD193" i="7"/>
  <c r="AE193" i="7"/>
  <c r="AF193" i="7"/>
  <c r="AG193" i="7"/>
  <c r="AH193" i="7"/>
  <c r="AI193" i="7"/>
  <c r="AJ193" i="7"/>
  <c r="AK193" i="7"/>
  <c r="AL193" i="7"/>
  <c r="AM193" i="7"/>
  <c r="AN193" i="7"/>
  <c r="AO193" i="7"/>
  <c r="AP193" i="7"/>
  <c r="AQ193" i="7"/>
  <c r="AR193" i="7"/>
  <c r="AS193" i="7"/>
  <c r="AT193" i="7"/>
  <c r="AU193" i="7"/>
  <c r="AV193" i="7"/>
  <c r="AW193" i="7"/>
  <c r="AX193" i="7"/>
  <c r="AY193" i="7"/>
  <c r="AZ193" i="7"/>
  <c r="BA193" i="7"/>
  <c r="BB193" i="7"/>
  <c r="A194" i="7"/>
  <c r="B194" i="7"/>
  <c r="C194" i="7"/>
  <c r="D194" i="7"/>
  <c r="E194" i="7"/>
  <c r="F194" i="7"/>
  <c r="G194" i="7"/>
  <c r="H194" i="7"/>
  <c r="I194" i="7"/>
  <c r="J194" i="7"/>
  <c r="K194" i="7"/>
  <c r="L194" i="7"/>
  <c r="M194" i="7"/>
  <c r="N194" i="7"/>
  <c r="O194" i="7"/>
  <c r="P194" i="7"/>
  <c r="Q194" i="7"/>
  <c r="R194" i="7"/>
  <c r="S194" i="7"/>
  <c r="T194" i="7"/>
  <c r="U194" i="7"/>
  <c r="V194" i="7"/>
  <c r="W194" i="7"/>
  <c r="X194" i="7"/>
  <c r="Y194" i="7"/>
  <c r="Z194" i="7"/>
  <c r="AA194" i="7"/>
  <c r="AB194" i="7"/>
  <c r="AC194" i="7"/>
  <c r="AD194" i="7"/>
  <c r="AE194" i="7"/>
  <c r="AF194" i="7"/>
  <c r="AG194" i="7"/>
  <c r="AH194" i="7"/>
  <c r="AI194" i="7"/>
  <c r="AJ194" i="7"/>
  <c r="AK194" i="7"/>
  <c r="AL194" i="7"/>
  <c r="AM194" i="7"/>
  <c r="AN194" i="7"/>
  <c r="AO194" i="7"/>
  <c r="AP194" i="7"/>
  <c r="AQ194" i="7"/>
  <c r="AR194" i="7"/>
  <c r="AS194" i="7"/>
  <c r="AT194" i="7"/>
  <c r="AU194" i="7"/>
  <c r="AV194" i="7"/>
  <c r="AW194" i="7"/>
  <c r="AX194" i="7"/>
  <c r="AY194" i="7"/>
  <c r="AZ194" i="7"/>
  <c r="BA194" i="7"/>
  <c r="BB194" i="7"/>
  <c r="A195" i="7"/>
  <c r="B195" i="7"/>
  <c r="C195" i="7"/>
  <c r="D195" i="7"/>
  <c r="E195" i="7"/>
  <c r="F195" i="7"/>
  <c r="G195" i="7"/>
  <c r="H195" i="7"/>
  <c r="I195" i="7"/>
  <c r="J195" i="7"/>
  <c r="K195" i="7"/>
  <c r="L195" i="7"/>
  <c r="M195" i="7"/>
  <c r="N195" i="7"/>
  <c r="O195" i="7"/>
  <c r="P195" i="7"/>
  <c r="Q195" i="7"/>
  <c r="R195" i="7"/>
  <c r="S195" i="7"/>
  <c r="T195" i="7"/>
  <c r="U195" i="7"/>
  <c r="V195" i="7"/>
  <c r="W195" i="7"/>
  <c r="X195" i="7"/>
  <c r="Y195" i="7"/>
  <c r="Z195" i="7"/>
  <c r="AA195" i="7"/>
  <c r="AB195" i="7"/>
  <c r="AC195" i="7"/>
  <c r="AD195" i="7"/>
  <c r="AE195" i="7"/>
  <c r="AF195" i="7"/>
  <c r="AG195" i="7"/>
  <c r="AH195" i="7"/>
  <c r="AI195" i="7"/>
  <c r="AJ195" i="7"/>
  <c r="AK195" i="7"/>
  <c r="AL195" i="7"/>
  <c r="AM195" i="7"/>
  <c r="AN195" i="7"/>
  <c r="AO195" i="7"/>
  <c r="AP195" i="7"/>
  <c r="AQ195" i="7"/>
  <c r="AR195" i="7"/>
  <c r="AS195" i="7"/>
  <c r="AT195" i="7"/>
  <c r="AU195" i="7"/>
  <c r="AV195" i="7"/>
  <c r="AW195" i="7"/>
  <c r="AX195" i="7"/>
  <c r="AY195" i="7"/>
  <c r="AZ195" i="7"/>
  <c r="BA195" i="7"/>
  <c r="BB195" i="7"/>
  <c r="A196" i="7"/>
  <c r="B196" i="7"/>
  <c r="C196" i="7"/>
  <c r="D196" i="7"/>
  <c r="E196" i="7"/>
  <c r="F196" i="7"/>
  <c r="G196" i="7"/>
  <c r="H196" i="7"/>
  <c r="I196" i="7"/>
  <c r="J196" i="7"/>
  <c r="K196" i="7"/>
  <c r="L196" i="7"/>
  <c r="M196" i="7"/>
  <c r="N196" i="7"/>
  <c r="O196" i="7"/>
  <c r="P196" i="7"/>
  <c r="Q196" i="7"/>
  <c r="R196" i="7"/>
  <c r="S196" i="7"/>
  <c r="T196" i="7"/>
  <c r="U196" i="7"/>
  <c r="V196" i="7"/>
  <c r="W196" i="7"/>
  <c r="X196" i="7"/>
  <c r="Y196" i="7"/>
  <c r="Z196" i="7"/>
  <c r="AA196" i="7"/>
  <c r="AB196" i="7"/>
  <c r="AC196" i="7"/>
  <c r="AD196" i="7"/>
  <c r="AE196" i="7"/>
  <c r="AF196" i="7"/>
  <c r="AG196" i="7"/>
  <c r="AH196" i="7"/>
  <c r="AI196" i="7"/>
  <c r="AJ196" i="7"/>
  <c r="AK196" i="7"/>
  <c r="AL196" i="7"/>
  <c r="AM196" i="7"/>
  <c r="AN196" i="7"/>
  <c r="AO196" i="7"/>
  <c r="AP196" i="7"/>
  <c r="AQ196" i="7"/>
  <c r="AR196" i="7"/>
  <c r="AS196" i="7"/>
  <c r="AT196" i="7"/>
  <c r="AU196" i="7"/>
  <c r="AV196" i="7"/>
  <c r="AW196" i="7"/>
  <c r="AX196" i="7"/>
  <c r="AY196" i="7"/>
  <c r="AZ196" i="7"/>
  <c r="BA196" i="7"/>
  <c r="BB196" i="7"/>
  <c r="A197" i="7"/>
  <c r="B197" i="7"/>
  <c r="C197" i="7"/>
  <c r="D197" i="7"/>
  <c r="E197" i="7"/>
  <c r="F197" i="7"/>
  <c r="G197" i="7"/>
  <c r="H197" i="7"/>
  <c r="I197" i="7"/>
  <c r="J197" i="7"/>
  <c r="K197" i="7"/>
  <c r="L197" i="7"/>
  <c r="M197" i="7"/>
  <c r="N197" i="7"/>
  <c r="O197" i="7"/>
  <c r="P197" i="7"/>
  <c r="Q197" i="7"/>
  <c r="R197" i="7"/>
  <c r="S197" i="7"/>
  <c r="T197" i="7"/>
  <c r="U197" i="7"/>
  <c r="V197" i="7"/>
  <c r="W197" i="7"/>
  <c r="X197" i="7"/>
  <c r="Y197" i="7"/>
  <c r="Z197" i="7"/>
  <c r="AA197" i="7"/>
  <c r="AB197" i="7"/>
  <c r="AC197" i="7"/>
  <c r="AD197" i="7"/>
  <c r="AE197" i="7"/>
  <c r="AF197" i="7"/>
  <c r="AG197" i="7"/>
  <c r="AH197" i="7"/>
  <c r="AI197" i="7"/>
  <c r="AJ197" i="7"/>
  <c r="AK197" i="7"/>
  <c r="AL197" i="7"/>
  <c r="AM197" i="7"/>
  <c r="AN197" i="7"/>
  <c r="AO197" i="7"/>
  <c r="AP197" i="7"/>
  <c r="AQ197" i="7"/>
  <c r="AR197" i="7"/>
  <c r="AS197" i="7"/>
  <c r="AT197" i="7"/>
  <c r="AU197" i="7"/>
  <c r="AV197" i="7"/>
  <c r="AW197" i="7"/>
  <c r="AX197" i="7"/>
  <c r="AY197" i="7"/>
  <c r="AZ197" i="7"/>
  <c r="BA197" i="7"/>
  <c r="BB197" i="7"/>
  <c r="A198" i="7"/>
  <c r="B198" i="7"/>
  <c r="C198" i="7"/>
  <c r="D198" i="7"/>
  <c r="E198" i="7"/>
  <c r="F198" i="7"/>
  <c r="G198" i="7"/>
  <c r="H198" i="7"/>
  <c r="I198" i="7"/>
  <c r="J198" i="7"/>
  <c r="K198" i="7"/>
  <c r="L198" i="7"/>
  <c r="M198" i="7"/>
  <c r="N198" i="7"/>
  <c r="O198" i="7"/>
  <c r="P198" i="7"/>
  <c r="Q198" i="7"/>
  <c r="R198" i="7"/>
  <c r="S198" i="7"/>
  <c r="T198" i="7"/>
  <c r="U198" i="7"/>
  <c r="V198" i="7"/>
  <c r="W198" i="7"/>
  <c r="X198" i="7"/>
  <c r="Y198" i="7"/>
  <c r="Z198" i="7"/>
  <c r="AA198" i="7"/>
  <c r="AB198" i="7"/>
  <c r="AC198" i="7"/>
  <c r="AD198" i="7"/>
  <c r="AE198" i="7"/>
  <c r="AF198" i="7"/>
  <c r="AG198" i="7"/>
  <c r="AH198" i="7"/>
  <c r="AI198" i="7"/>
  <c r="AJ198" i="7"/>
  <c r="AK198" i="7"/>
  <c r="AL198" i="7"/>
  <c r="AM198" i="7"/>
  <c r="AN198" i="7"/>
  <c r="AO198" i="7"/>
  <c r="AP198" i="7"/>
  <c r="AQ198" i="7"/>
  <c r="AR198" i="7"/>
  <c r="AS198" i="7"/>
  <c r="AT198" i="7"/>
  <c r="AU198" i="7"/>
  <c r="AV198" i="7"/>
  <c r="AW198" i="7"/>
  <c r="AX198" i="7"/>
  <c r="AY198" i="7"/>
  <c r="AZ198" i="7"/>
  <c r="BA198" i="7"/>
  <c r="BB198" i="7"/>
  <c r="A199" i="7"/>
  <c r="B199" i="7"/>
  <c r="C199" i="7"/>
  <c r="D199" i="7"/>
  <c r="E199" i="7"/>
  <c r="F199" i="7"/>
  <c r="G199" i="7"/>
  <c r="H199" i="7"/>
  <c r="I199" i="7"/>
  <c r="J199" i="7"/>
  <c r="K199" i="7"/>
  <c r="L199" i="7"/>
  <c r="M199" i="7"/>
  <c r="N199" i="7"/>
  <c r="O199" i="7"/>
  <c r="P199" i="7"/>
  <c r="Q199" i="7"/>
  <c r="R199" i="7"/>
  <c r="S199" i="7"/>
  <c r="T199" i="7"/>
  <c r="U199" i="7"/>
  <c r="V199" i="7"/>
  <c r="W199" i="7"/>
  <c r="X199" i="7"/>
  <c r="Y199" i="7"/>
  <c r="Z199" i="7"/>
  <c r="AA199" i="7"/>
  <c r="AB199" i="7"/>
  <c r="AC199" i="7"/>
  <c r="AD199" i="7"/>
  <c r="AE199" i="7"/>
  <c r="AF199" i="7"/>
  <c r="AG199" i="7"/>
  <c r="AH199" i="7"/>
  <c r="AI199" i="7"/>
  <c r="AJ199" i="7"/>
  <c r="AK199" i="7"/>
  <c r="AL199" i="7"/>
  <c r="AM199" i="7"/>
  <c r="AN199" i="7"/>
  <c r="AO199" i="7"/>
  <c r="AP199" i="7"/>
  <c r="AQ199" i="7"/>
  <c r="AR199" i="7"/>
  <c r="AS199" i="7"/>
  <c r="AT199" i="7"/>
  <c r="AU199" i="7"/>
  <c r="AV199" i="7"/>
  <c r="AW199" i="7"/>
  <c r="AX199" i="7"/>
  <c r="AY199" i="7"/>
  <c r="AZ199" i="7"/>
  <c r="BA199" i="7"/>
  <c r="BB199" i="7"/>
  <c r="A200" i="7"/>
  <c r="B200" i="7"/>
  <c r="C200" i="7"/>
  <c r="D200" i="7"/>
  <c r="E200" i="7"/>
  <c r="F200" i="7"/>
  <c r="G200" i="7"/>
  <c r="H200" i="7"/>
  <c r="I200" i="7"/>
  <c r="J200" i="7"/>
  <c r="K200" i="7"/>
  <c r="L200" i="7"/>
  <c r="M200" i="7"/>
  <c r="N200" i="7"/>
  <c r="O200" i="7"/>
  <c r="P200" i="7"/>
  <c r="Q200" i="7"/>
  <c r="R200" i="7"/>
  <c r="S200" i="7"/>
  <c r="T200" i="7"/>
  <c r="U200" i="7"/>
  <c r="V200" i="7"/>
  <c r="W200" i="7"/>
  <c r="X200" i="7"/>
  <c r="Y200" i="7"/>
  <c r="Z200" i="7"/>
  <c r="AA200" i="7"/>
  <c r="AB200" i="7"/>
  <c r="AC200" i="7"/>
  <c r="AD200" i="7"/>
  <c r="AE200" i="7"/>
  <c r="AF200" i="7"/>
  <c r="AG200" i="7"/>
  <c r="AH200" i="7"/>
  <c r="AI200" i="7"/>
  <c r="AJ200" i="7"/>
  <c r="AK200" i="7"/>
  <c r="AL200" i="7"/>
  <c r="AM200" i="7"/>
  <c r="AN200" i="7"/>
  <c r="AO200" i="7"/>
  <c r="AP200" i="7"/>
  <c r="AQ200" i="7"/>
  <c r="AR200" i="7"/>
  <c r="AS200" i="7"/>
  <c r="AT200" i="7"/>
  <c r="AU200" i="7"/>
  <c r="AV200" i="7"/>
  <c r="AW200" i="7"/>
  <c r="AX200" i="7"/>
  <c r="AY200" i="7"/>
  <c r="AZ200" i="7"/>
  <c r="BA200" i="7"/>
  <c r="BB200" i="7"/>
  <c r="A201" i="7"/>
  <c r="B201" i="7"/>
  <c r="C201" i="7"/>
  <c r="D201" i="7"/>
  <c r="E201" i="7"/>
  <c r="F201" i="7"/>
  <c r="G201" i="7"/>
  <c r="H201" i="7"/>
  <c r="I201" i="7"/>
  <c r="J201" i="7"/>
  <c r="K201" i="7"/>
  <c r="L201" i="7"/>
  <c r="M201" i="7"/>
  <c r="N201" i="7"/>
  <c r="O201" i="7"/>
  <c r="P201" i="7"/>
  <c r="Q201" i="7"/>
  <c r="R201" i="7"/>
  <c r="S201" i="7"/>
  <c r="T201" i="7"/>
  <c r="U201" i="7"/>
  <c r="V201" i="7"/>
  <c r="W201" i="7"/>
  <c r="X201" i="7"/>
  <c r="Y201" i="7"/>
  <c r="Z201" i="7"/>
  <c r="AA201" i="7"/>
  <c r="AB201" i="7"/>
  <c r="AC201" i="7"/>
  <c r="AD201" i="7"/>
  <c r="AE201" i="7"/>
  <c r="AF201" i="7"/>
  <c r="AG201" i="7"/>
  <c r="AH201" i="7"/>
  <c r="AI201" i="7"/>
  <c r="AJ201" i="7"/>
  <c r="AK201" i="7"/>
  <c r="AL201" i="7"/>
  <c r="AM201" i="7"/>
  <c r="AN201" i="7"/>
  <c r="AO201" i="7"/>
  <c r="AP201" i="7"/>
  <c r="AQ201" i="7"/>
  <c r="AR201" i="7"/>
  <c r="AS201" i="7"/>
  <c r="AT201" i="7"/>
  <c r="AU201" i="7"/>
  <c r="AV201" i="7"/>
  <c r="AW201" i="7"/>
  <c r="AX201" i="7"/>
  <c r="AY201" i="7"/>
  <c r="AZ201" i="7"/>
  <c r="BA201" i="7"/>
  <c r="BB201" i="7"/>
  <c r="A202" i="7"/>
  <c r="B202" i="7"/>
  <c r="C202" i="7"/>
  <c r="D202" i="7"/>
  <c r="E202" i="7"/>
  <c r="F202" i="7"/>
  <c r="G202" i="7"/>
  <c r="H202" i="7"/>
  <c r="I202" i="7"/>
  <c r="J202" i="7"/>
  <c r="K202" i="7"/>
  <c r="L202" i="7"/>
  <c r="M202" i="7"/>
  <c r="N202" i="7"/>
  <c r="O202" i="7"/>
  <c r="P202" i="7"/>
  <c r="Q202" i="7"/>
  <c r="R202" i="7"/>
  <c r="S202" i="7"/>
  <c r="T202" i="7"/>
  <c r="U202" i="7"/>
  <c r="V202" i="7"/>
  <c r="W202" i="7"/>
  <c r="X202" i="7"/>
  <c r="Y202" i="7"/>
  <c r="Z202" i="7"/>
  <c r="AA202" i="7"/>
  <c r="AB202" i="7"/>
  <c r="AC202" i="7"/>
  <c r="AD202" i="7"/>
  <c r="AE202" i="7"/>
  <c r="AF202" i="7"/>
  <c r="AG202" i="7"/>
  <c r="AH202" i="7"/>
  <c r="AI202" i="7"/>
  <c r="AJ202" i="7"/>
  <c r="AK202" i="7"/>
  <c r="AL202" i="7"/>
  <c r="AM202" i="7"/>
  <c r="AN202" i="7"/>
  <c r="AO202" i="7"/>
  <c r="AP202" i="7"/>
  <c r="AQ202" i="7"/>
  <c r="AR202" i="7"/>
  <c r="AS202" i="7"/>
  <c r="AT202" i="7"/>
  <c r="AU202" i="7"/>
  <c r="AV202" i="7"/>
  <c r="AW202" i="7"/>
  <c r="AX202" i="7"/>
  <c r="AY202" i="7"/>
  <c r="AZ202" i="7"/>
  <c r="BA202" i="7"/>
  <c r="BB202" i="7"/>
  <c r="A203" i="7"/>
  <c r="B203" i="7"/>
  <c r="C203" i="7"/>
  <c r="D203" i="7"/>
  <c r="E203" i="7"/>
  <c r="F203" i="7"/>
  <c r="G203" i="7"/>
  <c r="H203" i="7"/>
  <c r="I203" i="7"/>
  <c r="J203" i="7"/>
  <c r="K203" i="7"/>
  <c r="L203" i="7"/>
  <c r="M203" i="7"/>
  <c r="N203" i="7"/>
  <c r="O203" i="7"/>
  <c r="P203" i="7"/>
  <c r="Q203" i="7"/>
  <c r="R203" i="7"/>
  <c r="S203" i="7"/>
  <c r="T203" i="7"/>
  <c r="U203" i="7"/>
  <c r="V203" i="7"/>
  <c r="W203" i="7"/>
  <c r="X203" i="7"/>
  <c r="Y203" i="7"/>
  <c r="Z203" i="7"/>
  <c r="AA203" i="7"/>
  <c r="AB203" i="7"/>
  <c r="AC203" i="7"/>
  <c r="AD203" i="7"/>
  <c r="AE203" i="7"/>
  <c r="AF203" i="7"/>
  <c r="AG203" i="7"/>
  <c r="AH203" i="7"/>
  <c r="AI203" i="7"/>
  <c r="AJ203" i="7"/>
  <c r="AK203" i="7"/>
  <c r="AL203" i="7"/>
  <c r="AM203" i="7"/>
  <c r="AN203" i="7"/>
  <c r="AO203" i="7"/>
  <c r="AP203" i="7"/>
  <c r="AQ203" i="7"/>
  <c r="AR203" i="7"/>
  <c r="AS203" i="7"/>
  <c r="AT203" i="7"/>
  <c r="AU203" i="7"/>
  <c r="AV203" i="7"/>
  <c r="AW203" i="7"/>
  <c r="AX203" i="7"/>
  <c r="AY203" i="7"/>
  <c r="AZ203" i="7"/>
  <c r="BA203" i="7"/>
  <c r="BB203" i="7"/>
  <c r="A204" i="7"/>
  <c r="B204" i="7"/>
  <c r="C204" i="7"/>
  <c r="D204" i="7"/>
  <c r="E204" i="7"/>
  <c r="F204" i="7"/>
  <c r="G204" i="7"/>
  <c r="H204" i="7"/>
  <c r="I204" i="7"/>
  <c r="J204" i="7"/>
  <c r="K204" i="7"/>
  <c r="L204" i="7"/>
  <c r="M204" i="7"/>
  <c r="N204" i="7"/>
  <c r="O204" i="7"/>
  <c r="P204" i="7"/>
  <c r="Q204" i="7"/>
  <c r="R204" i="7"/>
  <c r="S204" i="7"/>
  <c r="T204" i="7"/>
  <c r="U204" i="7"/>
  <c r="V204" i="7"/>
  <c r="W204" i="7"/>
  <c r="X204" i="7"/>
  <c r="Y204" i="7"/>
  <c r="Z204" i="7"/>
  <c r="AA204" i="7"/>
  <c r="AB204" i="7"/>
  <c r="AC204" i="7"/>
  <c r="AD204" i="7"/>
  <c r="AE204" i="7"/>
  <c r="AF204" i="7"/>
  <c r="AG204" i="7"/>
  <c r="AH204" i="7"/>
  <c r="AI204" i="7"/>
  <c r="AJ204" i="7"/>
  <c r="AK204" i="7"/>
  <c r="AL204" i="7"/>
  <c r="AM204" i="7"/>
  <c r="AN204" i="7"/>
  <c r="AO204" i="7"/>
  <c r="AP204" i="7"/>
  <c r="AQ204" i="7"/>
  <c r="AR204" i="7"/>
  <c r="AS204" i="7"/>
  <c r="AT204" i="7"/>
  <c r="AU204" i="7"/>
  <c r="AV204" i="7"/>
  <c r="AW204" i="7"/>
  <c r="AX204" i="7"/>
  <c r="AY204" i="7"/>
  <c r="AZ204" i="7"/>
  <c r="BA204" i="7"/>
  <c r="BB204" i="7"/>
  <c r="A205" i="7"/>
  <c r="B205" i="7"/>
  <c r="C205" i="7"/>
  <c r="D205" i="7"/>
  <c r="E205" i="7"/>
  <c r="F205" i="7"/>
  <c r="G205" i="7"/>
  <c r="H205" i="7"/>
  <c r="I205" i="7"/>
  <c r="J205" i="7"/>
  <c r="K205" i="7"/>
  <c r="L205" i="7"/>
  <c r="M205" i="7"/>
  <c r="N205" i="7"/>
  <c r="O205" i="7"/>
  <c r="P205" i="7"/>
  <c r="Q205" i="7"/>
  <c r="R205" i="7"/>
  <c r="S205" i="7"/>
  <c r="T205" i="7"/>
  <c r="U205" i="7"/>
  <c r="V205" i="7"/>
  <c r="W205" i="7"/>
  <c r="X205" i="7"/>
  <c r="Y205" i="7"/>
  <c r="Z205" i="7"/>
  <c r="AA205" i="7"/>
  <c r="AB205" i="7"/>
  <c r="AC205" i="7"/>
  <c r="AD205" i="7"/>
  <c r="AE205" i="7"/>
  <c r="AF205" i="7"/>
  <c r="AG205" i="7"/>
  <c r="AH205" i="7"/>
  <c r="AI205" i="7"/>
  <c r="AJ205" i="7"/>
  <c r="AK205" i="7"/>
  <c r="AL205" i="7"/>
  <c r="AM205" i="7"/>
  <c r="AN205" i="7"/>
  <c r="AO205" i="7"/>
  <c r="AP205" i="7"/>
  <c r="AQ205" i="7"/>
  <c r="AR205" i="7"/>
  <c r="AS205" i="7"/>
  <c r="AT205" i="7"/>
  <c r="AU205" i="7"/>
  <c r="AV205" i="7"/>
  <c r="AW205" i="7"/>
  <c r="AX205" i="7"/>
  <c r="AY205" i="7"/>
  <c r="AZ205" i="7"/>
  <c r="BA205" i="7"/>
  <c r="BB205" i="7"/>
  <c r="A206" i="7"/>
  <c r="B206" i="7"/>
  <c r="C206" i="7"/>
  <c r="D206" i="7"/>
  <c r="E206" i="7"/>
  <c r="F206" i="7"/>
  <c r="G206" i="7"/>
  <c r="H206" i="7"/>
  <c r="I206" i="7"/>
  <c r="J206" i="7"/>
  <c r="K206" i="7"/>
  <c r="L206" i="7"/>
  <c r="M206" i="7"/>
  <c r="N206" i="7"/>
  <c r="O206" i="7"/>
  <c r="P206" i="7"/>
  <c r="Q206" i="7"/>
  <c r="R206" i="7"/>
  <c r="S206" i="7"/>
  <c r="T206" i="7"/>
  <c r="U206" i="7"/>
  <c r="V206" i="7"/>
  <c r="W206" i="7"/>
  <c r="X206" i="7"/>
  <c r="Y206" i="7"/>
  <c r="Z206" i="7"/>
  <c r="AA206" i="7"/>
  <c r="AB206" i="7"/>
  <c r="AC206" i="7"/>
  <c r="AD206" i="7"/>
  <c r="AE206" i="7"/>
  <c r="AF206" i="7"/>
  <c r="AG206" i="7"/>
  <c r="AH206" i="7"/>
  <c r="AI206" i="7"/>
  <c r="AJ206" i="7"/>
  <c r="AK206" i="7"/>
  <c r="AL206" i="7"/>
  <c r="AM206" i="7"/>
  <c r="AN206" i="7"/>
  <c r="AO206" i="7"/>
  <c r="AP206" i="7"/>
  <c r="AQ206" i="7"/>
  <c r="AR206" i="7"/>
  <c r="AS206" i="7"/>
  <c r="AT206" i="7"/>
  <c r="AU206" i="7"/>
  <c r="AV206" i="7"/>
  <c r="AW206" i="7"/>
  <c r="AX206" i="7"/>
  <c r="AY206" i="7"/>
  <c r="AZ206" i="7"/>
  <c r="BA206" i="7"/>
  <c r="BB206" i="7"/>
  <c r="A207" i="7"/>
  <c r="B207" i="7"/>
  <c r="C207" i="7"/>
  <c r="D207" i="7"/>
  <c r="E207" i="7"/>
  <c r="F207" i="7"/>
  <c r="G207" i="7"/>
  <c r="H207" i="7"/>
  <c r="I207" i="7"/>
  <c r="J207" i="7"/>
  <c r="K207" i="7"/>
  <c r="L207" i="7"/>
  <c r="M207" i="7"/>
  <c r="N207" i="7"/>
  <c r="O207" i="7"/>
  <c r="P207" i="7"/>
  <c r="Q207" i="7"/>
  <c r="R207" i="7"/>
  <c r="S207" i="7"/>
  <c r="T207" i="7"/>
  <c r="U207" i="7"/>
  <c r="V207" i="7"/>
  <c r="W207" i="7"/>
  <c r="X207" i="7"/>
  <c r="Y207" i="7"/>
  <c r="Z207" i="7"/>
  <c r="AA207" i="7"/>
  <c r="AB207" i="7"/>
  <c r="AC207" i="7"/>
  <c r="AD207" i="7"/>
  <c r="AE207" i="7"/>
  <c r="AF207" i="7"/>
  <c r="AG207" i="7"/>
  <c r="AH207" i="7"/>
  <c r="AI207" i="7"/>
  <c r="AJ207" i="7"/>
  <c r="AK207" i="7"/>
  <c r="AL207" i="7"/>
  <c r="AM207" i="7"/>
  <c r="AN207" i="7"/>
  <c r="AO207" i="7"/>
  <c r="AP207" i="7"/>
  <c r="AQ207" i="7"/>
  <c r="AR207" i="7"/>
  <c r="AS207" i="7"/>
  <c r="AT207" i="7"/>
  <c r="AU207" i="7"/>
  <c r="AV207" i="7"/>
  <c r="AW207" i="7"/>
  <c r="AX207" i="7"/>
  <c r="AY207" i="7"/>
  <c r="AZ207" i="7"/>
  <c r="BA207" i="7"/>
  <c r="BB207" i="7"/>
  <c r="A208" i="7"/>
  <c r="B208" i="7"/>
  <c r="C208" i="7"/>
  <c r="D208" i="7"/>
  <c r="E208" i="7"/>
  <c r="F208" i="7"/>
  <c r="G208" i="7"/>
  <c r="H208" i="7"/>
  <c r="I208" i="7"/>
  <c r="J208" i="7"/>
  <c r="K208" i="7"/>
  <c r="L208" i="7"/>
  <c r="M208" i="7"/>
  <c r="N208" i="7"/>
  <c r="O208" i="7"/>
  <c r="P208" i="7"/>
  <c r="Q208" i="7"/>
  <c r="R208" i="7"/>
  <c r="S208" i="7"/>
  <c r="T208" i="7"/>
  <c r="U208" i="7"/>
  <c r="V208" i="7"/>
  <c r="W208" i="7"/>
  <c r="X208" i="7"/>
  <c r="Y208" i="7"/>
  <c r="Z208" i="7"/>
  <c r="AA208" i="7"/>
  <c r="AB208" i="7"/>
  <c r="AC208" i="7"/>
  <c r="AD208" i="7"/>
  <c r="AE208" i="7"/>
  <c r="AF208" i="7"/>
  <c r="AG208" i="7"/>
  <c r="AH208" i="7"/>
  <c r="AI208" i="7"/>
  <c r="AJ208" i="7"/>
  <c r="AK208" i="7"/>
  <c r="AL208" i="7"/>
  <c r="AM208" i="7"/>
  <c r="AN208" i="7"/>
  <c r="AO208" i="7"/>
  <c r="AP208" i="7"/>
  <c r="AQ208" i="7"/>
  <c r="AR208" i="7"/>
  <c r="AS208" i="7"/>
  <c r="AT208" i="7"/>
  <c r="AU208" i="7"/>
  <c r="AV208" i="7"/>
  <c r="AW208" i="7"/>
  <c r="AX208" i="7"/>
  <c r="AY208" i="7"/>
  <c r="AZ208" i="7"/>
  <c r="BA208" i="7"/>
  <c r="BB208" i="7"/>
  <c r="A209" i="7"/>
  <c r="B209" i="7"/>
  <c r="C209" i="7"/>
  <c r="D209" i="7"/>
  <c r="E209" i="7"/>
  <c r="F209" i="7"/>
  <c r="G209" i="7"/>
  <c r="H209" i="7"/>
  <c r="I209" i="7"/>
  <c r="J209" i="7"/>
  <c r="K209" i="7"/>
  <c r="L209" i="7"/>
  <c r="M209" i="7"/>
  <c r="N209" i="7"/>
  <c r="O209" i="7"/>
  <c r="P209" i="7"/>
  <c r="Q209" i="7"/>
  <c r="R209" i="7"/>
  <c r="S209" i="7"/>
  <c r="T209" i="7"/>
  <c r="U209" i="7"/>
  <c r="V209" i="7"/>
  <c r="W209" i="7"/>
  <c r="X209" i="7"/>
  <c r="Y209" i="7"/>
  <c r="Z209" i="7"/>
  <c r="AA209" i="7"/>
  <c r="AB209" i="7"/>
  <c r="AC209" i="7"/>
  <c r="AD209" i="7"/>
  <c r="AE209" i="7"/>
  <c r="AF209" i="7"/>
  <c r="AG209" i="7"/>
  <c r="AH209" i="7"/>
  <c r="AI209" i="7"/>
  <c r="AJ209" i="7"/>
  <c r="AK209" i="7"/>
  <c r="AL209" i="7"/>
  <c r="AM209" i="7"/>
  <c r="AN209" i="7"/>
  <c r="AO209" i="7"/>
  <c r="AP209" i="7"/>
  <c r="AQ209" i="7"/>
  <c r="AR209" i="7"/>
  <c r="AS209" i="7"/>
  <c r="AT209" i="7"/>
  <c r="AU209" i="7"/>
  <c r="AV209" i="7"/>
  <c r="AW209" i="7"/>
  <c r="AX209" i="7"/>
  <c r="AY209" i="7"/>
  <c r="AZ209" i="7"/>
  <c r="BA209" i="7"/>
  <c r="BB209" i="7"/>
  <c r="A210" i="7"/>
  <c r="B210" i="7"/>
  <c r="C210" i="7"/>
  <c r="D210" i="7"/>
  <c r="E210" i="7"/>
  <c r="F210" i="7"/>
  <c r="G210" i="7"/>
  <c r="H210" i="7"/>
  <c r="I210" i="7"/>
  <c r="J210" i="7"/>
  <c r="K210" i="7"/>
  <c r="L210" i="7"/>
  <c r="M210" i="7"/>
  <c r="N210" i="7"/>
  <c r="O210" i="7"/>
  <c r="P210" i="7"/>
  <c r="Q210" i="7"/>
  <c r="R210" i="7"/>
  <c r="S210" i="7"/>
  <c r="T210" i="7"/>
  <c r="U210" i="7"/>
  <c r="V210" i="7"/>
  <c r="W210" i="7"/>
  <c r="X210" i="7"/>
  <c r="Y210" i="7"/>
  <c r="Z210" i="7"/>
  <c r="AA210" i="7"/>
  <c r="AB210" i="7"/>
  <c r="AC210" i="7"/>
  <c r="AD210" i="7"/>
  <c r="AE210" i="7"/>
  <c r="AF210" i="7"/>
  <c r="AG210" i="7"/>
  <c r="AH210" i="7"/>
  <c r="AI210" i="7"/>
  <c r="AJ210" i="7"/>
  <c r="AK210" i="7"/>
  <c r="AL210" i="7"/>
  <c r="AM210" i="7"/>
  <c r="AN210" i="7"/>
  <c r="AO210" i="7"/>
  <c r="AP210" i="7"/>
  <c r="AQ210" i="7"/>
  <c r="AR210" i="7"/>
  <c r="AS210" i="7"/>
  <c r="AT210" i="7"/>
  <c r="AU210" i="7"/>
  <c r="AV210" i="7"/>
  <c r="AW210" i="7"/>
  <c r="AX210" i="7"/>
  <c r="AY210" i="7"/>
  <c r="AZ210" i="7"/>
  <c r="BA210" i="7"/>
  <c r="BB210" i="7"/>
  <c r="A211" i="7"/>
  <c r="B211" i="7"/>
  <c r="C211" i="7"/>
  <c r="D211" i="7"/>
  <c r="E211" i="7"/>
  <c r="F211" i="7"/>
  <c r="G211" i="7"/>
  <c r="H211" i="7"/>
  <c r="I211" i="7"/>
  <c r="J211" i="7"/>
  <c r="K211" i="7"/>
  <c r="L211" i="7"/>
  <c r="M211" i="7"/>
  <c r="N211" i="7"/>
  <c r="O211" i="7"/>
  <c r="P211" i="7"/>
  <c r="Q211" i="7"/>
  <c r="R211" i="7"/>
  <c r="S211" i="7"/>
  <c r="T211" i="7"/>
  <c r="U211" i="7"/>
  <c r="V211" i="7"/>
  <c r="W211" i="7"/>
  <c r="X211" i="7"/>
  <c r="Y211" i="7"/>
  <c r="Z211" i="7"/>
  <c r="AA211" i="7"/>
  <c r="AB211" i="7"/>
  <c r="AC211" i="7"/>
  <c r="AD211" i="7"/>
  <c r="AE211" i="7"/>
  <c r="AF211" i="7"/>
  <c r="AG211" i="7"/>
  <c r="AH211" i="7"/>
  <c r="AI211" i="7"/>
  <c r="AJ211" i="7"/>
  <c r="AK211" i="7"/>
  <c r="AL211" i="7"/>
  <c r="AM211" i="7"/>
  <c r="AN211" i="7"/>
  <c r="AO211" i="7"/>
  <c r="AP211" i="7"/>
  <c r="AQ211" i="7"/>
  <c r="AR211" i="7"/>
  <c r="AS211" i="7"/>
  <c r="AT211" i="7"/>
  <c r="AU211" i="7"/>
  <c r="AV211" i="7"/>
  <c r="AW211" i="7"/>
  <c r="AX211" i="7"/>
  <c r="AY211" i="7"/>
  <c r="AZ211" i="7"/>
  <c r="BA211" i="7"/>
  <c r="BB211" i="7"/>
  <c r="A212" i="7"/>
  <c r="B212" i="7"/>
  <c r="C212" i="7"/>
  <c r="D212" i="7"/>
  <c r="E212" i="7"/>
  <c r="F212" i="7"/>
  <c r="G212" i="7"/>
  <c r="H212" i="7"/>
  <c r="I212" i="7"/>
  <c r="J212" i="7"/>
  <c r="K212" i="7"/>
  <c r="L212" i="7"/>
  <c r="M212" i="7"/>
  <c r="N212" i="7"/>
  <c r="O212" i="7"/>
  <c r="P212" i="7"/>
  <c r="Q212" i="7"/>
  <c r="R212" i="7"/>
  <c r="S212" i="7"/>
  <c r="T212" i="7"/>
  <c r="U212" i="7"/>
  <c r="V212" i="7"/>
  <c r="W212" i="7"/>
  <c r="X212" i="7"/>
  <c r="Y212" i="7"/>
  <c r="Z212" i="7"/>
  <c r="AA212" i="7"/>
  <c r="AB212" i="7"/>
  <c r="AC212" i="7"/>
  <c r="AD212" i="7"/>
  <c r="AE212" i="7"/>
  <c r="AF212" i="7"/>
  <c r="AG212" i="7"/>
  <c r="AH212" i="7"/>
  <c r="AI212" i="7"/>
  <c r="AJ212" i="7"/>
  <c r="AK212" i="7"/>
  <c r="AL212" i="7"/>
  <c r="AM212" i="7"/>
  <c r="AN212" i="7"/>
  <c r="AO212" i="7"/>
  <c r="AP212" i="7"/>
  <c r="AQ212" i="7"/>
  <c r="AR212" i="7"/>
  <c r="AS212" i="7"/>
  <c r="AT212" i="7"/>
  <c r="AU212" i="7"/>
  <c r="AV212" i="7"/>
  <c r="AW212" i="7"/>
  <c r="AX212" i="7"/>
  <c r="AY212" i="7"/>
  <c r="AZ212" i="7"/>
  <c r="BA212" i="7"/>
  <c r="BB212" i="7"/>
  <c r="A213" i="7"/>
  <c r="B213" i="7"/>
  <c r="C213" i="7"/>
  <c r="D213" i="7"/>
  <c r="E213" i="7"/>
  <c r="F213" i="7"/>
  <c r="G213" i="7"/>
  <c r="H213" i="7"/>
  <c r="I213" i="7"/>
  <c r="J213" i="7"/>
  <c r="K213" i="7"/>
  <c r="L213" i="7"/>
  <c r="M213" i="7"/>
  <c r="N213" i="7"/>
  <c r="O213" i="7"/>
  <c r="P213" i="7"/>
  <c r="Q213" i="7"/>
  <c r="R213" i="7"/>
  <c r="S213" i="7"/>
  <c r="T213" i="7"/>
  <c r="U213" i="7"/>
  <c r="V213" i="7"/>
  <c r="W213" i="7"/>
  <c r="X213" i="7"/>
  <c r="Y213" i="7"/>
  <c r="Z213" i="7"/>
  <c r="AA213" i="7"/>
  <c r="AB213" i="7"/>
  <c r="AC213" i="7"/>
  <c r="AD213" i="7"/>
  <c r="AE213" i="7"/>
  <c r="AF213" i="7"/>
  <c r="AG213" i="7"/>
  <c r="AH213" i="7"/>
  <c r="AI213" i="7"/>
  <c r="AJ213" i="7"/>
  <c r="AK213" i="7"/>
  <c r="AL213" i="7"/>
  <c r="AM213" i="7"/>
  <c r="AN213" i="7"/>
  <c r="AO213" i="7"/>
  <c r="AP213" i="7"/>
  <c r="AQ213" i="7"/>
  <c r="AR213" i="7"/>
  <c r="AS213" i="7"/>
  <c r="AT213" i="7"/>
  <c r="AU213" i="7"/>
  <c r="AV213" i="7"/>
  <c r="AW213" i="7"/>
  <c r="AX213" i="7"/>
  <c r="AY213" i="7"/>
  <c r="AZ213" i="7"/>
  <c r="BA213" i="7"/>
  <c r="BB213" i="7"/>
  <c r="A214" i="7"/>
  <c r="B214" i="7"/>
  <c r="C214" i="7"/>
  <c r="D214" i="7"/>
  <c r="E214" i="7"/>
  <c r="F214" i="7"/>
  <c r="G214" i="7"/>
  <c r="H214" i="7"/>
  <c r="I214" i="7"/>
  <c r="J214" i="7"/>
  <c r="K214" i="7"/>
  <c r="L214" i="7"/>
  <c r="M214" i="7"/>
  <c r="N214" i="7"/>
  <c r="O214" i="7"/>
  <c r="P214" i="7"/>
  <c r="Q214" i="7"/>
  <c r="R214" i="7"/>
  <c r="S214" i="7"/>
  <c r="T214" i="7"/>
  <c r="U214" i="7"/>
  <c r="V214" i="7"/>
  <c r="W214" i="7"/>
  <c r="X214" i="7"/>
  <c r="Y214" i="7"/>
  <c r="Z214" i="7"/>
  <c r="AA214" i="7"/>
  <c r="AB214" i="7"/>
  <c r="AC214" i="7"/>
  <c r="AD214" i="7"/>
  <c r="AE214" i="7"/>
  <c r="AF214" i="7"/>
  <c r="AG214" i="7"/>
  <c r="AH214" i="7"/>
  <c r="AI214" i="7"/>
  <c r="AJ214" i="7"/>
  <c r="AK214" i="7"/>
  <c r="AL214" i="7"/>
  <c r="AM214" i="7"/>
  <c r="AN214" i="7"/>
  <c r="AO214" i="7"/>
  <c r="AP214" i="7"/>
  <c r="AQ214" i="7"/>
  <c r="AR214" i="7"/>
  <c r="AS214" i="7"/>
  <c r="AT214" i="7"/>
  <c r="AU214" i="7"/>
  <c r="AV214" i="7"/>
  <c r="AW214" i="7"/>
  <c r="AX214" i="7"/>
  <c r="AY214" i="7"/>
  <c r="AZ214" i="7"/>
  <c r="BA214" i="7"/>
  <c r="BB214" i="7"/>
  <c r="A215" i="7"/>
  <c r="B215" i="7"/>
  <c r="C215" i="7"/>
  <c r="D215" i="7"/>
  <c r="E215" i="7"/>
  <c r="F215" i="7"/>
  <c r="G215" i="7"/>
  <c r="H215" i="7"/>
  <c r="I215" i="7"/>
  <c r="J215" i="7"/>
  <c r="K215" i="7"/>
  <c r="L215" i="7"/>
  <c r="M215" i="7"/>
  <c r="N215" i="7"/>
  <c r="O215" i="7"/>
  <c r="P215" i="7"/>
  <c r="Q215" i="7"/>
  <c r="R215" i="7"/>
  <c r="S215" i="7"/>
  <c r="T215" i="7"/>
  <c r="U215" i="7"/>
  <c r="V215" i="7"/>
  <c r="W215" i="7"/>
  <c r="X215" i="7"/>
  <c r="Y215" i="7"/>
  <c r="Z215" i="7"/>
  <c r="AA215" i="7"/>
  <c r="AB215" i="7"/>
  <c r="AC215" i="7"/>
  <c r="AD215" i="7"/>
  <c r="AE215" i="7"/>
  <c r="AF215" i="7"/>
  <c r="AG215" i="7"/>
  <c r="AH215" i="7"/>
  <c r="AI215" i="7"/>
  <c r="AJ215" i="7"/>
  <c r="AK215" i="7"/>
  <c r="AL215" i="7"/>
  <c r="AM215" i="7"/>
  <c r="AN215" i="7"/>
  <c r="AO215" i="7"/>
  <c r="AP215" i="7"/>
  <c r="AQ215" i="7"/>
  <c r="AR215" i="7"/>
  <c r="AS215" i="7"/>
  <c r="AT215" i="7"/>
  <c r="AU215" i="7"/>
  <c r="AV215" i="7"/>
  <c r="AW215" i="7"/>
  <c r="AX215" i="7"/>
  <c r="AY215" i="7"/>
  <c r="AZ215" i="7"/>
  <c r="BA215" i="7"/>
  <c r="BB215" i="7"/>
  <c r="A216" i="7"/>
  <c r="B216" i="7"/>
  <c r="C216" i="7"/>
  <c r="D216" i="7"/>
  <c r="E216" i="7"/>
  <c r="F216" i="7"/>
  <c r="G216" i="7"/>
  <c r="H216" i="7"/>
  <c r="I216" i="7"/>
  <c r="J216" i="7"/>
  <c r="K216" i="7"/>
  <c r="L216" i="7"/>
  <c r="M216" i="7"/>
  <c r="N216" i="7"/>
  <c r="O216" i="7"/>
  <c r="P216" i="7"/>
  <c r="Q216" i="7"/>
  <c r="R216" i="7"/>
  <c r="S216" i="7"/>
  <c r="T216" i="7"/>
  <c r="U216" i="7"/>
  <c r="V216" i="7"/>
  <c r="W216" i="7"/>
  <c r="X216" i="7"/>
  <c r="Y216" i="7"/>
  <c r="Z216" i="7"/>
  <c r="AA216" i="7"/>
  <c r="AB216" i="7"/>
  <c r="AC216" i="7"/>
  <c r="AD216" i="7"/>
  <c r="AE216" i="7"/>
  <c r="AF216" i="7"/>
  <c r="AG216" i="7"/>
  <c r="AH216" i="7"/>
  <c r="AI216" i="7"/>
  <c r="AJ216" i="7"/>
  <c r="AK216" i="7"/>
  <c r="AL216" i="7"/>
  <c r="AM216" i="7"/>
  <c r="AN216" i="7"/>
  <c r="AO216" i="7"/>
  <c r="AP216" i="7"/>
  <c r="AQ216" i="7"/>
  <c r="AR216" i="7"/>
  <c r="AS216" i="7"/>
  <c r="AT216" i="7"/>
  <c r="AU216" i="7"/>
  <c r="AV216" i="7"/>
  <c r="AW216" i="7"/>
  <c r="AX216" i="7"/>
  <c r="AY216" i="7"/>
  <c r="AZ216" i="7"/>
  <c r="BA216" i="7"/>
  <c r="BB216" i="7"/>
  <c r="A217" i="7"/>
  <c r="B217" i="7"/>
  <c r="C217" i="7"/>
  <c r="D217" i="7"/>
  <c r="E217" i="7"/>
  <c r="F217" i="7"/>
  <c r="G217" i="7"/>
  <c r="H217" i="7"/>
  <c r="I217" i="7"/>
  <c r="J217" i="7"/>
  <c r="K217" i="7"/>
  <c r="L217" i="7"/>
  <c r="M217" i="7"/>
  <c r="N217" i="7"/>
  <c r="O217" i="7"/>
  <c r="P217" i="7"/>
  <c r="Q217" i="7"/>
  <c r="R217" i="7"/>
  <c r="S217" i="7"/>
  <c r="T217" i="7"/>
  <c r="U217" i="7"/>
  <c r="V217" i="7"/>
  <c r="W217" i="7"/>
  <c r="X217" i="7"/>
  <c r="Y217" i="7"/>
  <c r="Z217" i="7"/>
  <c r="AA217" i="7"/>
  <c r="AB217" i="7"/>
  <c r="AC217" i="7"/>
  <c r="AD217" i="7"/>
  <c r="AE217" i="7"/>
  <c r="AF217" i="7"/>
  <c r="AG217" i="7"/>
  <c r="AH217" i="7"/>
  <c r="AI217" i="7"/>
  <c r="AJ217" i="7"/>
  <c r="AK217" i="7"/>
  <c r="AL217" i="7"/>
  <c r="AM217" i="7"/>
  <c r="AN217" i="7"/>
  <c r="AO217" i="7"/>
  <c r="AP217" i="7"/>
  <c r="AQ217" i="7"/>
  <c r="AR217" i="7"/>
  <c r="AS217" i="7"/>
  <c r="AT217" i="7"/>
  <c r="AU217" i="7"/>
  <c r="AV217" i="7"/>
  <c r="AW217" i="7"/>
  <c r="AX217" i="7"/>
  <c r="AY217" i="7"/>
  <c r="AZ217" i="7"/>
  <c r="BA217" i="7"/>
  <c r="BB217" i="7"/>
  <c r="A218" i="7"/>
  <c r="B218" i="7"/>
  <c r="C218" i="7"/>
  <c r="D218" i="7"/>
  <c r="E218" i="7"/>
  <c r="F218" i="7"/>
  <c r="G218" i="7"/>
  <c r="H218" i="7"/>
  <c r="I218" i="7"/>
  <c r="J218" i="7"/>
  <c r="K218" i="7"/>
  <c r="L218" i="7"/>
  <c r="M218" i="7"/>
  <c r="N218" i="7"/>
  <c r="O218" i="7"/>
  <c r="P218" i="7"/>
  <c r="Q218" i="7"/>
  <c r="R218" i="7"/>
  <c r="S218" i="7"/>
  <c r="T218" i="7"/>
  <c r="U218" i="7"/>
  <c r="V218" i="7"/>
  <c r="W218" i="7"/>
  <c r="X218" i="7"/>
  <c r="Y218" i="7"/>
  <c r="Z218" i="7"/>
  <c r="AA218" i="7"/>
  <c r="AB218" i="7"/>
  <c r="AC218" i="7"/>
  <c r="AD218" i="7"/>
  <c r="AE218" i="7"/>
  <c r="AF218" i="7"/>
  <c r="AG218" i="7"/>
  <c r="AH218" i="7"/>
  <c r="AI218" i="7"/>
  <c r="AJ218" i="7"/>
  <c r="AK218" i="7"/>
  <c r="AL218" i="7"/>
  <c r="AM218" i="7"/>
  <c r="AN218" i="7"/>
  <c r="AO218" i="7"/>
  <c r="AP218" i="7"/>
  <c r="AQ218" i="7"/>
  <c r="AR218" i="7"/>
  <c r="AS218" i="7"/>
  <c r="AT218" i="7"/>
  <c r="AU218" i="7"/>
  <c r="AV218" i="7"/>
  <c r="AW218" i="7"/>
  <c r="AX218" i="7"/>
  <c r="AY218" i="7"/>
  <c r="AZ218" i="7"/>
  <c r="BA218" i="7"/>
  <c r="BB218" i="7"/>
  <c r="A219" i="7"/>
  <c r="B219" i="7"/>
  <c r="C219" i="7"/>
  <c r="D219" i="7"/>
  <c r="E219" i="7"/>
  <c r="F219" i="7"/>
  <c r="G219" i="7"/>
  <c r="H219" i="7"/>
  <c r="I219" i="7"/>
  <c r="J219" i="7"/>
  <c r="K219" i="7"/>
  <c r="L219" i="7"/>
  <c r="M219" i="7"/>
  <c r="N219" i="7"/>
  <c r="O219" i="7"/>
  <c r="P219" i="7"/>
  <c r="Q219" i="7"/>
  <c r="R219" i="7"/>
  <c r="S219" i="7"/>
  <c r="T219" i="7"/>
  <c r="U219" i="7"/>
  <c r="V219" i="7"/>
  <c r="W219" i="7"/>
  <c r="X219" i="7"/>
  <c r="Y219" i="7"/>
  <c r="Z219" i="7"/>
  <c r="AA219" i="7"/>
  <c r="AB219" i="7"/>
  <c r="AC219" i="7"/>
  <c r="AD219" i="7"/>
  <c r="AE219" i="7"/>
  <c r="AF219" i="7"/>
  <c r="AG219" i="7"/>
  <c r="AH219" i="7"/>
  <c r="AI219" i="7"/>
  <c r="AJ219" i="7"/>
  <c r="AK219" i="7"/>
  <c r="AL219" i="7"/>
  <c r="AM219" i="7"/>
  <c r="AN219" i="7"/>
  <c r="AO219" i="7"/>
  <c r="AP219" i="7"/>
  <c r="AQ219" i="7"/>
  <c r="AR219" i="7"/>
  <c r="AS219" i="7"/>
  <c r="AT219" i="7"/>
  <c r="AU219" i="7"/>
  <c r="AV219" i="7"/>
  <c r="AW219" i="7"/>
  <c r="AX219" i="7"/>
  <c r="AY219" i="7"/>
  <c r="AZ219" i="7"/>
  <c r="BA219" i="7"/>
  <c r="BB219" i="7"/>
  <c r="A220" i="7"/>
  <c r="B220" i="7"/>
  <c r="C220" i="7"/>
  <c r="D220" i="7"/>
  <c r="E220" i="7"/>
  <c r="F220" i="7"/>
  <c r="G220" i="7"/>
  <c r="H220" i="7"/>
  <c r="I220" i="7"/>
  <c r="J220" i="7"/>
  <c r="K220" i="7"/>
  <c r="L220" i="7"/>
  <c r="M220" i="7"/>
  <c r="N220" i="7"/>
  <c r="O220" i="7"/>
  <c r="P220" i="7"/>
  <c r="Q220" i="7"/>
  <c r="R220" i="7"/>
  <c r="S220" i="7"/>
  <c r="T220" i="7"/>
  <c r="U220" i="7"/>
  <c r="V220" i="7"/>
  <c r="W220" i="7"/>
  <c r="X220" i="7"/>
  <c r="Y220" i="7"/>
  <c r="Z220" i="7"/>
  <c r="AA220" i="7"/>
  <c r="AB220" i="7"/>
  <c r="AC220" i="7"/>
  <c r="AD220" i="7"/>
  <c r="AE220" i="7"/>
  <c r="AF220" i="7"/>
  <c r="AG220" i="7"/>
  <c r="AH220" i="7"/>
  <c r="AI220" i="7"/>
  <c r="AJ220" i="7"/>
  <c r="AK220" i="7"/>
  <c r="AL220" i="7"/>
  <c r="AM220" i="7"/>
  <c r="AN220" i="7"/>
  <c r="AO220" i="7"/>
  <c r="AP220" i="7"/>
  <c r="AQ220" i="7"/>
  <c r="AR220" i="7"/>
  <c r="AS220" i="7"/>
  <c r="AT220" i="7"/>
  <c r="AU220" i="7"/>
  <c r="AV220" i="7"/>
  <c r="AW220" i="7"/>
  <c r="AX220" i="7"/>
  <c r="AY220" i="7"/>
  <c r="AZ220" i="7"/>
  <c r="BA220" i="7"/>
  <c r="BB220" i="7"/>
  <c r="A221" i="7"/>
  <c r="B221" i="7"/>
  <c r="C221" i="7"/>
  <c r="D221" i="7"/>
  <c r="E221" i="7"/>
  <c r="F221" i="7"/>
  <c r="G221" i="7"/>
  <c r="H221" i="7"/>
  <c r="I221" i="7"/>
  <c r="J221" i="7"/>
  <c r="K221" i="7"/>
  <c r="L221" i="7"/>
  <c r="M221" i="7"/>
  <c r="N221" i="7"/>
  <c r="O221" i="7"/>
  <c r="P221" i="7"/>
  <c r="Q221" i="7"/>
  <c r="R221" i="7"/>
  <c r="S221" i="7"/>
  <c r="T221" i="7"/>
  <c r="U221" i="7"/>
  <c r="V221" i="7"/>
  <c r="W221" i="7"/>
  <c r="X221" i="7"/>
  <c r="Y221" i="7"/>
  <c r="Z221" i="7"/>
  <c r="AA221" i="7"/>
  <c r="AB221" i="7"/>
  <c r="AC221" i="7"/>
  <c r="AD221" i="7"/>
  <c r="AE221" i="7"/>
  <c r="AF221" i="7"/>
  <c r="AG221" i="7"/>
  <c r="AH221" i="7"/>
  <c r="AI221" i="7"/>
  <c r="AJ221" i="7"/>
  <c r="AK221" i="7"/>
  <c r="AL221" i="7"/>
  <c r="AM221" i="7"/>
  <c r="AN221" i="7"/>
  <c r="AO221" i="7"/>
  <c r="AP221" i="7"/>
  <c r="AQ221" i="7"/>
  <c r="AR221" i="7"/>
  <c r="AS221" i="7"/>
  <c r="AT221" i="7"/>
  <c r="AU221" i="7"/>
  <c r="AV221" i="7"/>
  <c r="AW221" i="7"/>
  <c r="AX221" i="7"/>
  <c r="AY221" i="7"/>
  <c r="AZ221" i="7"/>
  <c r="BA221" i="7"/>
  <c r="BB221" i="7"/>
  <c r="A222" i="7"/>
  <c r="B222" i="7"/>
  <c r="C222" i="7"/>
  <c r="D222" i="7"/>
  <c r="E222" i="7"/>
  <c r="F222" i="7"/>
  <c r="G222" i="7"/>
  <c r="H222" i="7"/>
  <c r="I222" i="7"/>
  <c r="J222" i="7"/>
  <c r="K222" i="7"/>
  <c r="L222" i="7"/>
  <c r="M222" i="7"/>
  <c r="N222" i="7"/>
  <c r="O222" i="7"/>
  <c r="P222" i="7"/>
  <c r="Q222" i="7"/>
  <c r="R222" i="7"/>
  <c r="S222" i="7"/>
  <c r="T222" i="7"/>
  <c r="U222" i="7"/>
  <c r="V222" i="7"/>
  <c r="W222" i="7"/>
  <c r="X222" i="7"/>
  <c r="Y222" i="7"/>
  <c r="Z222" i="7"/>
  <c r="AA222" i="7"/>
  <c r="AB222" i="7"/>
  <c r="AC222" i="7"/>
  <c r="AD222" i="7"/>
  <c r="AE222" i="7"/>
  <c r="AF222" i="7"/>
  <c r="AG222" i="7"/>
  <c r="AH222" i="7"/>
  <c r="AI222" i="7"/>
  <c r="AJ222" i="7"/>
  <c r="AK222" i="7"/>
  <c r="AL222" i="7"/>
  <c r="AM222" i="7"/>
  <c r="AN222" i="7"/>
  <c r="AO222" i="7"/>
  <c r="AP222" i="7"/>
  <c r="AQ222" i="7"/>
  <c r="AR222" i="7"/>
  <c r="AS222" i="7"/>
  <c r="AT222" i="7"/>
  <c r="AU222" i="7"/>
  <c r="AV222" i="7"/>
  <c r="AW222" i="7"/>
  <c r="AX222" i="7"/>
  <c r="AY222" i="7"/>
  <c r="AZ222" i="7"/>
  <c r="BA222" i="7"/>
  <c r="BB222" i="7"/>
  <c r="A223" i="7"/>
  <c r="B223" i="7"/>
  <c r="C223" i="7"/>
  <c r="D223" i="7"/>
  <c r="E223" i="7"/>
  <c r="F223" i="7"/>
  <c r="G223" i="7"/>
  <c r="H223" i="7"/>
  <c r="I223" i="7"/>
  <c r="J223" i="7"/>
  <c r="K223" i="7"/>
  <c r="L223" i="7"/>
  <c r="M223" i="7"/>
  <c r="N223" i="7"/>
  <c r="O223" i="7"/>
  <c r="P223" i="7"/>
  <c r="Q223" i="7"/>
  <c r="R223" i="7"/>
  <c r="S223" i="7"/>
  <c r="T223" i="7"/>
  <c r="U223" i="7"/>
  <c r="V223" i="7"/>
  <c r="W223" i="7"/>
  <c r="X223" i="7"/>
  <c r="Y223" i="7"/>
  <c r="Z223" i="7"/>
  <c r="AA223" i="7"/>
  <c r="AB223" i="7"/>
  <c r="AC223" i="7"/>
  <c r="AD223" i="7"/>
  <c r="AE223" i="7"/>
  <c r="AF223" i="7"/>
  <c r="AG223" i="7"/>
  <c r="AH223" i="7"/>
  <c r="AI223" i="7"/>
  <c r="AJ223" i="7"/>
  <c r="AK223" i="7"/>
  <c r="AL223" i="7"/>
  <c r="AM223" i="7"/>
  <c r="AN223" i="7"/>
  <c r="AO223" i="7"/>
  <c r="AP223" i="7"/>
  <c r="AQ223" i="7"/>
  <c r="AR223" i="7"/>
  <c r="AS223" i="7"/>
  <c r="AT223" i="7"/>
  <c r="AU223" i="7"/>
  <c r="AV223" i="7"/>
  <c r="AW223" i="7"/>
  <c r="AX223" i="7"/>
  <c r="AY223" i="7"/>
  <c r="AZ223" i="7"/>
  <c r="BA223" i="7"/>
  <c r="BB223" i="7"/>
  <c r="A224" i="7"/>
  <c r="B224" i="7"/>
  <c r="C224" i="7"/>
  <c r="D224" i="7"/>
  <c r="E224" i="7"/>
  <c r="F224" i="7"/>
  <c r="G224" i="7"/>
  <c r="H224" i="7"/>
  <c r="I224" i="7"/>
  <c r="J224" i="7"/>
  <c r="K224" i="7"/>
  <c r="L224" i="7"/>
  <c r="M224" i="7"/>
  <c r="N224" i="7"/>
  <c r="O224" i="7"/>
  <c r="P224" i="7"/>
  <c r="Q224" i="7"/>
  <c r="R224" i="7"/>
  <c r="S224" i="7"/>
  <c r="T224" i="7"/>
  <c r="U224" i="7"/>
  <c r="V224" i="7"/>
  <c r="W224" i="7"/>
  <c r="X224" i="7"/>
  <c r="Y224" i="7"/>
  <c r="Z224" i="7"/>
  <c r="AA224" i="7"/>
  <c r="AB224" i="7"/>
  <c r="AC224" i="7"/>
  <c r="AD224" i="7"/>
  <c r="AE224" i="7"/>
  <c r="AF224" i="7"/>
  <c r="AG224" i="7"/>
  <c r="AH224" i="7"/>
  <c r="AI224" i="7"/>
  <c r="AJ224" i="7"/>
  <c r="AK224" i="7"/>
  <c r="AL224" i="7"/>
  <c r="AM224" i="7"/>
  <c r="AN224" i="7"/>
  <c r="AO224" i="7"/>
  <c r="AP224" i="7"/>
  <c r="AQ224" i="7"/>
  <c r="AR224" i="7"/>
  <c r="AS224" i="7"/>
  <c r="AT224" i="7"/>
  <c r="AU224" i="7"/>
  <c r="AV224" i="7"/>
  <c r="AW224" i="7"/>
  <c r="AX224" i="7"/>
  <c r="AY224" i="7"/>
  <c r="AZ224" i="7"/>
  <c r="BA224" i="7"/>
  <c r="BB224" i="7"/>
  <c r="A225" i="7"/>
  <c r="B225" i="7"/>
  <c r="C225" i="7"/>
  <c r="D225" i="7"/>
  <c r="E225" i="7"/>
  <c r="F225" i="7"/>
  <c r="G225" i="7"/>
  <c r="H225" i="7"/>
  <c r="I225" i="7"/>
  <c r="J225" i="7"/>
  <c r="K225" i="7"/>
  <c r="L225" i="7"/>
  <c r="M225" i="7"/>
  <c r="N225" i="7"/>
  <c r="O225" i="7"/>
  <c r="P225" i="7"/>
  <c r="Q225" i="7"/>
  <c r="R225" i="7"/>
  <c r="S225" i="7"/>
  <c r="T225" i="7"/>
  <c r="U225" i="7"/>
  <c r="V225" i="7"/>
  <c r="W225" i="7"/>
  <c r="X225" i="7"/>
  <c r="Y225" i="7"/>
  <c r="Z225" i="7"/>
  <c r="AA225" i="7"/>
  <c r="AB225" i="7"/>
  <c r="AC225" i="7"/>
  <c r="AD225" i="7"/>
  <c r="AE225" i="7"/>
  <c r="AF225" i="7"/>
  <c r="AG225" i="7"/>
  <c r="AH225" i="7"/>
  <c r="AI225" i="7"/>
  <c r="AJ225" i="7"/>
  <c r="AK225" i="7"/>
  <c r="AL225" i="7"/>
  <c r="AM225" i="7"/>
  <c r="AN225" i="7"/>
  <c r="AO225" i="7"/>
  <c r="AP225" i="7"/>
  <c r="AQ225" i="7"/>
  <c r="AR225" i="7"/>
  <c r="AS225" i="7"/>
  <c r="AT225" i="7"/>
  <c r="AU225" i="7"/>
  <c r="AV225" i="7"/>
  <c r="AW225" i="7"/>
  <c r="AX225" i="7"/>
  <c r="AY225" i="7"/>
  <c r="AZ225" i="7"/>
  <c r="BA225" i="7"/>
  <c r="BB225" i="7"/>
  <c r="A226" i="7"/>
  <c r="B226" i="7"/>
  <c r="C226" i="7"/>
  <c r="D226" i="7"/>
  <c r="E226" i="7"/>
  <c r="F226" i="7"/>
  <c r="G226" i="7"/>
  <c r="H226" i="7"/>
  <c r="I226" i="7"/>
  <c r="J226" i="7"/>
  <c r="K226" i="7"/>
  <c r="L226" i="7"/>
  <c r="M226" i="7"/>
  <c r="N226" i="7"/>
  <c r="O226" i="7"/>
  <c r="P226" i="7"/>
  <c r="Q226" i="7"/>
  <c r="R226" i="7"/>
  <c r="S226" i="7"/>
  <c r="T226" i="7"/>
  <c r="U226" i="7"/>
  <c r="V226" i="7"/>
  <c r="W226" i="7"/>
  <c r="X226" i="7"/>
  <c r="Y226" i="7"/>
  <c r="Z226" i="7"/>
  <c r="AA226" i="7"/>
  <c r="AB226" i="7"/>
  <c r="AC226" i="7"/>
  <c r="AD226" i="7"/>
  <c r="AE226" i="7"/>
  <c r="AF226" i="7"/>
  <c r="AG226" i="7"/>
  <c r="AH226" i="7"/>
  <c r="AI226" i="7"/>
  <c r="AJ226" i="7"/>
  <c r="AK226" i="7"/>
  <c r="AL226" i="7"/>
  <c r="AM226" i="7"/>
  <c r="AN226" i="7"/>
  <c r="AO226" i="7"/>
  <c r="AP226" i="7"/>
  <c r="AQ226" i="7"/>
  <c r="AR226" i="7"/>
  <c r="AS226" i="7"/>
  <c r="AT226" i="7"/>
  <c r="AU226" i="7"/>
  <c r="AV226" i="7"/>
  <c r="AW226" i="7"/>
  <c r="AX226" i="7"/>
  <c r="AY226" i="7"/>
  <c r="AZ226" i="7"/>
  <c r="BA226" i="7"/>
  <c r="BB226" i="7"/>
  <c r="A227" i="7"/>
  <c r="B227" i="7"/>
  <c r="C227" i="7"/>
  <c r="D227" i="7"/>
  <c r="E227" i="7"/>
  <c r="F227" i="7"/>
  <c r="G227" i="7"/>
  <c r="H227" i="7"/>
  <c r="I227" i="7"/>
  <c r="J227" i="7"/>
  <c r="K227" i="7"/>
  <c r="L227" i="7"/>
  <c r="M227" i="7"/>
  <c r="N227" i="7"/>
  <c r="O227" i="7"/>
  <c r="P227" i="7"/>
  <c r="Q227" i="7"/>
  <c r="R227" i="7"/>
  <c r="S227" i="7"/>
  <c r="T227" i="7"/>
  <c r="U227" i="7"/>
  <c r="V227" i="7"/>
  <c r="W227" i="7"/>
  <c r="X227" i="7"/>
  <c r="Y227" i="7"/>
  <c r="Z227" i="7"/>
  <c r="AA227" i="7"/>
  <c r="AB227" i="7"/>
  <c r="AC227" i="7"/>
  <c r="AD227" i="7"/>
  <c r="AE227" i="7"/>
  <c r="AF227" i="7"/>
  <c r="AG227" i="7"/>
  <c r="AH227" i="7"/>
  <c r="AI227" i="7"/>
  <c r="AJ227" i="7"/>
  <c r="AK227" i="7"/>
  <c r="AL227" i="7"/>
  <c r="AM227" i="7"/>
  <c r="AN227" i="7"/>
  <c r="AO227" i="7"/>
  <c r="AP227" i="7"/>
  <c r="AQ227" i="7"/>
  <c r="AR227" i="7"/>
  <c r="AS227" i="7"/>
  <c r="AT227" i="7"/>
  <c r="AU227" i="7"/>
  <c r="AV227" i="7"/>
  <c r="AW227" i="7"/>
  <c r="AX227" i="7"/>
  <c r="AY227" i="7"/>
  <c r="AZ227" i="7"/>
  <c r="BA227" i="7"/>
  <c r="BB227" i="7"/>
  <c r="A228" i="7"/>
  <c r="B228" i="7"/>
  <c r="C228" i="7"/>
  <c r="D228" i="7"/>
  <c r="E228" i="7"/>
  <c r="F228" i="7"/>
  <c r="G228" i="7"/>
  <c r="H228" i="7"/>
  <c r="I228" i="7"/>
  <c r="J228" i="7"/>
  <c r="K228" i="7"/>
  <c r="L228" i="7"/>
  <c r="M228" i="7"/>
  <c r="N228" i="7"/>
  <c r="O228" i="7"/>
  <c r="P228" i="7"/>
  <c r="Q228" i="7"/>
  <c r="R228" i="7"/>
  <c r="S228" i="7"/>
  <c r="T228" i="7"/>
  <c r="U228" i="7"/>
  <c r="V228" i="7"/>
  <c r="W228" i="7"/>
  <c r="X228" i="7"/>
  <c r="Y228" i="7"/>
  <c r="Z228" i="7"/>
  <c r="AA228" i="7"/>
  <c r="AB228" i="7"/>
  <c r="AC228" i="7"/>
  <c r="AD228" i="7"/>
  <c r="AE228" i="7"/>
  <c r="AF228" i="7"/>
  <c r="AG228" i="7"/>
  <c r="AH228" i="7"/>
  <c r="AI228" i="7"/>
  <c r="AJ228" i="7"/>
  <c r="AK228" i="7"/>
  <c r="AL228" i="7"/>
  <c r="AM228" i="7"/>
  <c r="AN228" i="7"/>
  <c r="AO228" i="7"/>
  <c r="AP228" i="7"/>
  <c r="AQ228" i="7"/>
  <c r="AR228" i="7"/>
  <c r="AS228" i="7"/>
  <c r="AT228" i="7"/>
  <c r="AU228" i="7"/>
  <c r="AV228" i="7"/>
  <c r="AW228" i="7"/>
  <c r="AX228" i="7"/>
  <c r="AY228" i="7"/>
  <c r="AZ228" i="7"/>
  <c r="BA228" i="7"/>
  <c r="BB228" i="7"/>
  <c r="A229" i="7"/>
  <c r="B229" i="7"/>
  <c r="C229" i="7"/>
  <c r="D229" i="7"/>
  <c r="E229" i="7"/>
  <c r="F229" i="7"/>
  <c r="G229" i="7"/>
  <c r="H229" i="7"/>
  <c r="I229" i="7"/>
  <c r="J229" i="7"/>
  <c r="K229" i="7"/>
  <c r="L229" i="7"/>
  <c r="M229" i="7"/>
  <c r="N229" i="7"/>
  <c r="O229" i="7"/>
  <c r="P229" i="7"/>
  <c r="Q229" i="7"/>
  <c r="R229" i="7"/>
  <c r="S229" i="7"/>
  <c r="T229" i="7"/>
  <c r="U229" i="7"/>
  <c r="V229" i="7"/>
  <c r="W229" i="7"/>
  <c r="X229" i="7"/>
  <c r="Y229" i="7"/>
  <c r="Z229" i="7"/>
  <c r="AA229" i="7"/>
  <c r="AB229" i="7"/>
  <c r="AC229" i="7"/>
  <c r="AD229" i="7"/>
  <c r="AE229" i="7"/>
  <c r="AF229" i="7"/>
  <c r="AG229" i="7"/>
  <c r="AH229" i="7"/>
  <c r="AI229" i="7"/>
  <c r="AJ229" i="7"/>
  <c r="AK229" i="7"/>
  <c r="AL229" i="7"/>
  <c r="AM229" i="7"/>
  <c r="AN229" i="7"/>
  <c r="AO229" i="7"/>
  <c r="AP229" i="7"/>
  <c r="AQ229" i="7"/>
  <c r="AR229" i="7"/>
  <c r="AS229" i="7"/>
  <c r="AT229" i="7"/>
  <c r="AU229" i="7"/>
  <c r="AV229" i="7"/>
  <c r="AW229" i="7"/>
  <c r="AX229" i="7"/>
  <c r="AY229" i="7"/>
  <c r="AZ229" i="7"/>
  <c r="BA229" i="7"/>
  <c r="BB229" i="7"/>
  <c r="A230" i="7"/>
  <c r="B230" i="7"/>
  <c r="C230" i="7"/>
  <c r="D230" i="7"/>
  <c r="E230" i="7"/>
  <c r="F230" i="7"/>
  <c r="G230" i="7"/>
  <c r="H230" i="7"/>
  <c r="I230" i="7"/>
  <c r="J230" i="7"/>
  <c r="K230" i="7"/>
  <c r="L230" i="7"/>
  <c r="M230" i="7"/>
  <c r="N230" i="7"/>
  <c r="O230" i="7"/>
  <c r="P230" i="7"/>
  <c r="Q230" i="7"/>
  <c r="R230" i="7"/>
  <c r="S230" i="7"/>
  <c r="T230" i="7"/>
  <c r="U230" i="7"/>
  <c r="V230" i="7"/>
  <c r="W230" i="7"/>
  <c r="X230" i="7"/>
  <c r="Y230" i="7"/>
  <c r="Z230" i="7"/>
  <c r="AA230" i="7"/>
  <c r="AB230" i="7"/>
  <c r="AC230" i="7"/>
  <c r="AD230" i="7"/>
  <c r="AE230" i="7"/>
  <c r="AF230" i="7"/>
  <c r="AG230" i="7"/>
  <c r="AH230" i="7"/>
  <c r="AI230" i="7"/>
  <c r="AJ230" i="7"/>
  <c r="AK230" i="7"/>
  <c r="AL230" i="7"/>
  <c r="AM230" i="7"/>
  <c r="AN230" i="7"/>
  <c r="AO230" i="7"/>
  <c r="AP230" i="7"/>
  <c r="AQ230" i="7"/>
  <c r="AR230" i="7"/>
  <c r="AS230" i="7"/>
  <c r="AT230" i="7"/>
  <c r="AU230" i="7"/>
  <c r="AV230" i="7"/>
  <c r="AW230" i="7"/>
  <c r="AX230" i="7"/>
  <c r="AY230" i="7"/>
  <c r="AZ230" i="7"/>
  <c r="BA230" i="7"/>
  <c r="BB230" i="7"/>
  <c r="A231" i="7"/>
  <c r="B231" i="7"/>
  <c r="C231" i="7"/>
  <c r="D231" i="7"/>
  <c r="E231" i="7"/>
  <c r="F231" i="7"/>
  <c r="G231" i="7"/>
  <c r="H231" i="7"/>
  <c r="I231" i="7"/>
  <c r="J231" i="7"/>
  <c r="K231" i="7"/>
  <c r="L231" i="7"/>
  <c r="M231" i="7"/>
  <c r="N231" i="7"/>
  <c r="O231" i="7"/>
  <c r="P231" i="7"/>
  <c r="Q231" i="7"/>
  <c r="R231" i="7"/>
  <c r="S231" i="7"/>
  <c r="T231" i="7"/>
  <c r="U231" i="7"/>
  <c r="V231" i="7"/>
  <c r="W231" i="7"/>
  <c r="X231" i="7"/>
  <c r="Y231" i="7"/>
  <c r="Z231" i="7"/>
  <c r="AA231" i="7"/>
  <c r="AB231" i="7"/>
  <c r="AC231" i="7"/>
  <c r="AD231" i="7"/>
  <c r="AE231" i="7"/>
  <c r="AF231" i="7"/>
  <c r="AG231" i="7"/>
  <c r="AH231" i="7"/>
  <c r="AI231" i="7"/>
  <c r="AJ231" i="7"/>
  <c r="AK231" i="7"/>
  <c r="AL231" i="7"/>
  <c r="AM231" i="7"/>
  <c r="AN231" i="7"/>
  <c r="AO231" i="7"/>
  <c r="AP231" i="7"/>
  <c r="AQ231" i="7"/>
  <c r="AR231" i="7"/>
  <c r="AS231" i="7"/>
  <c r="AT231" i="7"/>
  <c r="AU231" i="7"/>
  <c r="AV231" i="7"/>
  <c r="AW231" i="7"/>
  <c r="AX231" i="7"/>
  <c r="AY231" i="7"/>
  <c r="AZ231" i="7"/>
  <c r="BA231" i="7"/>
  <c r="BB231" i="7"/>
  <c r="A232" i="7"/>
  <c r="B232" i="7"/>
  <c r="C232" i="7"/>
  <c r="D232" i="7"/>
  <c r="E232" i="7"/>
  <c r="F232" i="7"/>
  <c r="G232" i="7"/>
  <c r="H232" i="7"/>
  <c r="I232" i="7"/>
  <c r="J232" i="7"/>
  <c r="K232" i="7"/>
  <c r="L232" i="7"/>
  <c r="M232" i="7"/>
  <c r="N232" i="7"/>
  <c r="O232" i="7"/>
  <c r="P232" i="7"/>
  <c r="Q232" i="7"/>
  <c r="R232" i="7"/>
  <c r="S232" i="7"/>
  <c r="T232" i="7"/>
  <c r="U232" i="7"/>
  <c r="V232" i="7"/>
  <c r="W232" i="7"/>
  <c r="X232" i="7"/>
  <c r="Y232" i="7"/>
  <c r="Z232" i="7"/>
  <c r="AA232" i="7"/>
  <c r="AB232" i="7"/>
  <c r="AC232" i="7"/>
  <c r="AD232" i="7"/>
  <c r="AE232" i="7"/>
  <c r="AF232" i="7"/>
  <c r="AG232" i="7"/>
  <c r="AH232" i="7"/>
  <c r="AI232" i="7"/>
  <c r="AJ232" i="7"/>
  <c r="AK232" i="7"/>
  <c r="AL232" i="7"/>
  <c r="AM232" i="7"/>
  <c r="AN232" i="7"/>
  <c r="AO232" i="7"/>
  <c r="AP232" i="7"/>
  <c r="AQ232" i="7"/>
  <c r="AR232" i="7"/>
  <c r="AS232" i="7"/>
  <c r="AT232" i="7"/>
  <c r="AU232" i="7"/>
  <c r="AV232" i="7"/>
  <c r="AW232" i="7"/>
  <c r="AX232" i="7"/>
  <c r="AY232" i="7"/>
  <c r="AZ232" i="7"/>
  <c r="BA232" i="7"/>
  <c r="BB232" i="7"/>
  <c r="A233" i="7"/>
  <c r="B233" i="7"/>
  <c r="C233" i="7"/>
  <c r="D233" i="7"/>
  <c r="E233" i="7"/>
  <c r="F233" i="7"/>
  <c r="G233" i="7"/>
  <c r="H233" i="7"/>
  <c r="I233" i="7"/>
  <c r="J233" i="7"/>
  <c r="K233" i="7"/>
  <c r="L233" i="7"/>
  <c r="M233" i="7"/>
  <c r="N233" i="7"/>
  <c r="O233" i="7"/>
  <c r="P233" i="7"/>
  <c r="Q233" i="7"/>
  <c r="R233" i="7"/>
  <c r="S233" i="7"/>
  <c r="T233" i="7"/>
  <c r="U233" i="7"/>
  <c r="V233" i="7"/>
  <c r="W233" i="7"/>
  <c r="X233" i="7"/>
  <c r="Y233" i="7"/>
  <c r="Z233" i="7"/>
  <c r="AA233" i="7"/>
  <c r="AB233" i="7"/>
  <c r="AC233" i="7"/>
  <c r="AD233" i="7"/>
  <c r="AE233" i="7"/>
  <c r="AF233" i="7"/>
  <c r="AG233" i="7"/>
  <c r="AH233" i="7"/>
  <c r="AI233" i="7"/>
  <c r="AJ233" i="7"/>
  <c r="AK233" i="7"/>
  <c r="AL233" i="7"/>
  <c r="AM233" i="7"/>
  <c r="AN233" i="7"/>
  <c r="AO233" i="7"/>
  <c r="AP233" i="7"/>
  <c r="AQ233" i="7"/>
  <c r="AR233" i="7"/>
  <c r="AS233" i="7"/>
  <c r="AT233" i="7"/>
  <c r="AU233" i="7"/>
  <c r="AV233" i="7"/>
  <c r="AW233" i="7"/>
  <c r="AX233" i="7"/>
  <c r="AY233" i="7"/>
  <c r="AZ233" i="7"/>
  <c r="BA233" i="7"/>
  <c r="BB233" i="7"/>
  <c r="A234" i="7"/>
  <c r="B234" i="7"/>
  <c r="C234" i="7"/>
  <c r="D234" i="7"/>
  <c r="E234" i="7"/>
  <c r="F234" i="7"/>
  <c r="G234" i="7"/>
  <c r="H234" i="7"/>
  <c r="I234" i="7"/>
  <c r="J234" i="7"/>
  <c r="K234" i="7"/>
  <c r="L234" i="7"/>
  <c r="M234" i="7"/>
  <c r="N234" i="7"/>
  <c r="O234" i="7"/>
  <c r="P234" i="7"/>
  <c r="Q234" i="7"/>
  <c r="R234" i="7"/>
  <c r="S234" i="7"/>
  <c r="T234" i="7"/>
  <c r="U234" i="7"/>
  <c r="V234" i="7"/>
  <c r="W234" i="7"/>
  <c r="X234" i="7"/>
  <c r="Y234" i="7"/>
  <c r="Z234" i="7"/>
  <c r="AA234" i="7"/>
  <c r="AB234" i="7"/>
  <c r="AC234" i="7"/>
  <c r="AD234" i="7"/>
  <c r="AE234" i="7"/>
  <c r="AF234" i="7"/>
  <c r="AG234" i="7"/>
  <c r="AH234" i="7"/>
  <c r="AI234" i="7"/>
  <c r="AJ234" i="7"/>
  <c r="AK234" i="7"/>
  <c r="AL234" i="7"/>
  <c r="AM234" i="7"/>
  <c r="AN234" i="7"/>
  <c r="AO234" i="7"/>
  <c r="AP234" i="7"/>
  <c r="AQ234" i="7"/>
  <c r="AR234" i="7"/>
  <c r="AS234" i="7"/>
  <c r="AT234" i="7"/>
  <c r="AU234" i="7"/>
  <c r="AV234" i="7"/>
  <c r="AW234" i="7"/>
  <c r="AX234" i="7"/>
  <c r="AY234" i="7"/>
  <c r="AZ234" i="7"/>
  <c r="BA234" i="7"/>
  <c r="BB234" i="7"/>
  <c r="A235" i="7"/>
  <c r="B235" i="7"/>
  <c r="C235" i="7"/>
  <c r="D235" i="7"/>
  <c r="E235" i="7"/>
  <c r="F235" i="7"/>
  <c r="G235" i="7"/>
  <c r="H235" i="7"/>
  <c r="I235" i="7"/>
  <c r="J235" i="7"/>
  <c r="K235" i="7"/>
  <c r="L235" i="7"/>
  <c r="M235" i="7"/>
  <c r="N235" i="7"/>
  <c r="O235" i="7"/>
  <c r="P235" i="7"/>
  <c r="Q235" i="7"/>
  <c r="R235" i="7"/>
  <c r="S235" i="7"/>
  <c r="T235" i="7"/>
  <c r="U235" i="7"/>
  <c r="V235" i="7"/>
  <c r="W235" i="7"/>
  <c r="X235" i="7"/>
  <c r="Y235" i="7"/>
  <c r="Z235" i="7"/>
  <c r="AA235" i="7"/>
  <c r="AB235" i="7"/>
  <c r="AC235" i="7"/>
  <c r="AD235" i="7"/>
  <c r="AE235" i="7"/>
  <c r="AF235" i="7"/>
  <c r="AG235" i="7"/>
  <c r="AH235" i="7"/>
  <c r="AI235" i="7"/>
  <c r="AJ235" i="7"/>
  <c r="AK235" i="7"/>
  <c r="AL235" i="7"/>
  <c r="AM235" i="7"/>
  <c r="AN235" i="7"/>
  <c r="AO235" i="7"/>
  <c r="AP235" i="7"/>
  <c r="AQ235" i="7"/>
  <c r="AR235" i="7"/>
  <c r="AS235" i="7"/>
  <c r="AT235" i="7"/>
  <c r="AU235" i="7"/>
  <c r="AV235" i="7"/>
  <c r="AW235" i="7"/>
  <c r="AX235" i="7"/>
  <c r="AY235" i="7"/>
  <c r="AZ235" i="7"/>
  <c r="BA235" i="7"/>
  <c r="BB235" i="7"/>
  <c r="A236" i="7"/>
  <c r="B236" i="7"/>
  <c r="C236" i="7"/>
  <c r="D236" i="7"/>
  <c r="E236" i="7"/>
  <c r="F236" i="7"/>
  <c r="G236" i="7"/>
  <c r="H236" i="7"/>
  <c r="I236" i="7"/>
  <c r="J236" i="7"/>
  <c r="K236" i="7"/>
  <c r="L236" i="7"/>
  <c r="M236" i="7"/>
  <c r="N236" i="7"/>
  <c r="O236" i="7"/>
  <c r="P236" i="7"/>
  <c r="Q236" i="7"/>
  <c r="R236" i="7"/>
  <c r="S236" i="7"/>
  <c r="T236" i="7"/>
  <c r="U236" i="7"/>
  <c r="V236" i="7"/>
  <c r="W236" i="7"/>
  <c r="X236" i="7"/>
  <c r="Y236" i="7"/>
  <c r="Z236" i="7"/>
  <c r="AA236" i="7"/>
  <c r="AB236" i="7"/>
  <c r="AC236" i="7"/>
  <c r="AD236" i="7"/>
  <c r="AE236" i="7"/>
  <c r="AF236" i="7"/>
  <c r="AG236" i="7"/>
  <c r="AH236" i="7"/>
  <c r="AI236" i="7"/>
  <c r="AJ236" i="7"/>
  <c r="AK236" i="7"/>
  <c r="AL236" i="7"/>
  <c r="AM236" i="7"/>
  <c r="AN236" i="7"/>
  <c r="AO236" i="7"/>
  <c r="AP236" i="7"/>
  <c r="AQ236" i="7"/>
  <c r="AR236" i="7"/>
  <c r="AS236" i="7"/>
  <c r="AT236" i="7"/>
  <c r="AU236" i="7"/>
  <c r="AV236" i="7"/>
  <c r="AW236" i="7"/>
  <c r="AX236" i="7"/>
  <c r="AY236" i="7"/>
  <c r="AZ236" i="7"/>
  <c r="BA236" i="7"/>
  <c r="BB236" i="7"/>
  <c r="A237" i="7"/>
  <c r="B237" i="7"/>
  <c r="C237" i="7"/>
  <c r="D237" i="7"/>
  <c r="E237" i="7"/>
  <c r="F237" i="7"/>
  <c r="G237" i="7"/>
  <c r="H237" i="7"/>
  <c r="I237" i="7"/>
  <c r="J237" i="7"/>
  <c r="K237" i="7"/>
  <c r="L237" i="7"/>
  <c r="M237" i="7"/>
  <c r="N237" i="7"/>
  <c r="O237" i="7"/>
  <c r="P237" i="7"/>
  <c r="Q237" i="7"/>
  <c r="R237" i="7"/>
  <c r="S237" i="7"/>
  <c r="T237" i="7"/>
  <c r="U237" i="7"/>
  <c r="V237" i="7"/>
  <c r="W237" i="7"/>
  <c r="X237" i="7"/>
  <c r="Y237" i="7"/>
  <c r="Z237" i="7"/>
  <c r="AA237" i="7"/>
  <c r="AB237" i="7"/>
  <c r="AC237" i="7"/>
  <c r="AD237" i="7"/>
  <c r="AE237" i="7"/>
  <c r="AF237" i="7"/>
  <c r="AG237" i="7"/>
  <c r="AH237" i="7"/>
  <c r="AI237" i="7"/>
  <c r="AJ237" i="7"/>
  <c r="AK237" i="7"/>
  <c r="AL237" i="7"/>
  <c r="AM237" i="7"/>
  <c r="AN237" i="7"/>
  <c r="AO237" i="7"/>
  <c r="AP237" i="7"/>
  <c r="AQ237" i="7"/>
  <c r="AR237" i="7"/>
  <c r="AS237" i="7"/>
  <c r="AT237" i="7"/>
  <c r="AU237" i="7"/>
  <c r="AV237" i="7"/>
  <c r="AW237" i="7"/>
  <c r="AX237" i="7"/>
  <c r="AY237" i="7"/>
  <c r="AZ237" i="7"/>
  <c r="BA237" i="7"/>
  <c r="BB237" i="7"/>
  <c r="A238" i="7"/>
  <c r="B238" i="7"/>
  <c r="C238" i="7"/>
  <c r="D238" i="7"/>
  <c r="E238" i="7"/>
  <c r="F238" i="7"/>
  <c r="G238" i="7"/>
  <c r="H238" i="7"/>
  <c r="I238" i="7"/>
  <c r="J238" i="7"/>
  <c r="K238" i="7"/>
  <c r="L238" i="7"/>
  <c r="M238" i="7"/>
  <c r="N238" i="7"/>
  <c r="O238" i="7"/>
  <c r="P238" i="7"/>
  <c r="Q238" i="7"/>
  <c r="R238" i="7"/>
  <c r="S238" i="7"/>
  <c r="T238" i="7"/>
  <c r="U238" i="7"/>
  <c r="V238" i="7"/>
  <c r="W238" i="7"/>
  <c r="X238" i="7"/>
  <c r="Y238" i="7"/>
  <c r="Z238" i="7"/>
  <c r="AA238" i="7"/>
  <c r="AB238" i="7"/>
  <c r="AC238" i="7"/>
  <c r="AD238" i="7"/>
  <c r="AE238" i="7"/>
  <c r="AF238" i="7"/>
  <c r="AG238" i="7"/>
  <c r="AH238" i="7"/>
  <c r="AI238" i="7"/>
  <c r="AJ238" i="7"/>
  <c r="AK238" i="7"/>
  <c r="AL238" i="7"/>
  <c r="AM238" i="7"/>
  <c r="AN238" i="7"/>
  <c r="AO238" i="7"/>
  <c r="AP238" i="7"/>
  <c r="AQ238" i="7"/>
  <c r="AR238" i="7"/>
  <c r="AS238" i="7"/>
  <c r="AT238" i="7"/>
  <c r="AU238" i="7"/>
  <c r="AV238" i="7"/>
  <c r="AW238" i="7"/>
  <c r="AX238" i="7"/>
  <c r="AY238" i="7"/>
  <c r="AZ238" i="7"/>
  <c r="BA238" i="7"/>
  <c r="BB238" i="7"/>
  <c r="A239" i="7"/>
  <c r="B239" i="7"/>
  <c r="C239" i="7"/>
  <c r="D239" i="7"/>
  <c r="E239" i="7"/>
  <c r="F239" i="7"/>
  <c r="G239" i="7"/>
  <c r="H239" i="7"/>
  <c r="I239" i="7"/>
  <c r="J239" i="7"/>
  <c r="K239" i="7"/>
  <c r="L239" i="7"/>
  <c r="M239" i="7"/>
  <c r="N239" i="7"/>
  <c r="O239" i="7"/>
  <c r="P239" i="7"/>
  <c r="Q239" i="7"/>
  <c r="R239" i="7"/>
  <c r="S239" i="7"/>
  <c r="T239" i="7"/>
  <c r="U239" i="7"/>
  <c r="V239" i="7"/>
  <c r="W239" i="7"/>
  <c r="X239" i="7"/>
  <c r="Y239" i="7"/>
  <c r="Z239" i="7"/>
  <c r="AA239" i="7"/>
  <c r="AB239" i="7"/>
  <c r="AC239" i="7"/>
  <c r="AD239" i="7"/>
  <c r="AE239" i="7"/>
  <c r="AF239" i="7"/>
  <c r="AG239" i="7"/>
  <c r="AH239" i="7"/>
  <c r="AI239" i="7"/>
  <c r="AJ239" i="7"/>
  <c r="AK239" i="7"/>
  <c r="AL239" i="7"/>
  <c r="AM239" i="7"/>
  <c r="AN239" i="7"/>
  <c r="AO239" i="7"/>
  <c r="AP239" i="7"/>
  <c r="AQ239" i="7"/>
  <c r="AR239" i="7"/>
  <c r="AS239" i="7"/>
  <c r="AT239" i="7"/>
  <c r="AU239" i="7"/>
  <c r="AV239" i="7"/>
  <c r="AW239" i="7"/>
  <c r="AX239" i="7"/>
  <c r="AY239" i="7"/>
  <c r="AZ239" i="7"/>
  <c r="BA239" i="7"/>
  <c r="BB239" i="7"/>
  <c r="A240" i="7"/>
  <c r="B240" i="7"/>
  <c r="C240" i="7"/>
  <c r="D240" i="7"/>
  <c r="E240" i="7"/>
  <c r="F240" i="7"/>
  <c r="G240" i="7"/>
  <c r="H240" i="7"/>
  <c r="I240" i="7"/>
  <c r="J240" i="7"/>
  <c r="K240" i="7"/>
  <c r="L240" i="7"/>
  <c r="M240" i="7"/>
  <c r="N240" i="7"/>
  <c r="O240" i="7"/>
  <c r="P240" i="7"/>
  <c r="Q240" i="7"/>
  <c r="R240" i="7"/>
  <c r="S240" i="7"/>
  <c r="T240" i="7"/>
  <c r="U240" i="7"/>
  <c r="V240" i="7"/>
  <c r="W240" i="7"/>
  <c r="X240" i="7"/>
  <c r="Y240" i="7"/>
  <c r="Z240" i="7"/>
  <c r="AA240" i="7"/>
  <c r="AB240" i="7"/>
  <c r="AC240" i="7"/>
  <c r="AD240" i="7"/>
  <c r="AE240" i="7"/>
  <c r="AF240" i="7"/>
  <c r="AG240" i="7"/>
  <c r="AH240" i="7"/>
  <c r="AI240" i="7"/>
  <c r="AJ240" i="7"/>
  <c r="AK240" i="7"/>
  <c r="AL240" i="7"/>
  <c r="AM240" i="7"/>
  <c r="AN240" i="7"/>
  <c r="AO240" i="7"/>
  <c r="AP240" i="7"/>
  <c r="AQ240" i="7"/>
  <c r="AR240" i="7"/>
  <c r="AS240" i="7"/>
  <c r="AT240" i="7"/>
  <c r="AU240" i="7"/>
  <c r="AV240" i="7"/>
  <c r="AW240" i="7"/>
  <c r="AX240" i="7"/>
  <c r="AY240" i="7"/>
  <c r="AZ240" i="7"/>
  <c r="BA240" i="7"/>
  <c r="BB240" i="7"/>
  <c r="A241" i="7"/>
  <c r="B241" i="7"/>
  <c r="C241" i="7"/>
  <c r="D241" i="7"/>
  <c r="E241" i="7"/>
  <c r="F241" i="7"/>
  <c r="G241" i="7"/>
  <c r="H241" i="7"/>
  <c r="I241" i="7"/>
  <c r="J241" i="7"/>
  <c r="K241" i="7"/>
  <c r="L241" i="7"/>
  <c r="M241" i="7"/>
  <c r="N241" i="7"/>
  <c r="O241" i="7"/>
  <c r="P241" i="7"/>
  <c r="Q241" i="7"/>
  <c r="R241" i="7"/>
  <c r="S241" i="7"/>
  <c r="T241" i="7"/>
  <c r="U241" i="7"/>
  <c r="V241" i="7"/>
  <c r="W241" i="7"/>
  <c r="X241" i="7"/>
  <c r="Y241" i="7"/>
  <c r="Z241" i="7"/>
  <c r="AA241" i="7"/>
  <c r="AB241" i="7"/>
  <c r="AC241" i="7"/>
  <c r="AD241" i="7"/>
  <c r="AE241" i="7"/>
  <c r="AF241" i="7"/>
  <c r="AG241" i="7"/>
  <c r="AH241" i="7"/>
  <c r="AI241" i="7"/>
  <c r="AJ241" i="7"/>
  <c r="AK241" i="7"/>
  <c r="AL241" i="7"/>
  <c r="AM241" i="7"/>
  <c r="AN241" i="7"/>
  <c r="AO241" i="7"/>
  <c r="AP241" i="7"/>
  <c r="AQ241" i="7"/>
  <c r="AR241" i="7"/>
  <c r="AS241" i="7"/>
  <c r="AT241" i="7"/>
  <c r="AU241" i="7"/>
  <c r="AV241" i="7"/>
  <c r="AW241" i="7"/>
  <c r="AX241" i="7"/>
  <c r="AY241" i="7"/>
  <c r="AZ241" i="7"/>
  <c r="BA241" i="7"/>
  <c r="BB241" i="7"/>
  <c r="A242" i="7"/>
  <c r="B242" i="7"/>
  <c r="C242" i="7"/>
  <c r="D242" i="7"/>
  <c r="E242" i="7"/>
  <c r="F242" i="7"/>
  <c r="G242" i="7"/>
  <c r="H242" i="7"/>
  <c r="I242" i="7"/>
  <c r="J242" i="7"/>
  <c r="K242" i="7"/>
  <c r="L242" i="7"/>
  <c r="M242" i="7"/>
  <c r="N242" i="7"/>
  <c r="O242" i="7"/>
  <c r="P242" i="7"/>
  <c r="Q242" i="7"/>
  <c r="R242" i="7"/>
  <c r="S242" i="7"/>
  <c r="T242" i="7"/>
  <c r="U242" i="7"/>
  <c r="V242" i="7"/>
  <c r="W242" i="7"/>
  <c r="X242" i="7"/>
  <c r="Y242" i="7"/>
  <c r="Z242" i="7"/>
  <c r="AA242" i="7"/>
  <c r="AB242" i="7"/>
  <c r="AC242" i="7"/>
  <c r="AD242" i="7"/>
  <c r="AE242" i="7"/>
  <c r="AF242" i="7"/>
  <c r="AG242" i="7"/>
  <c r="AH242" i="7"/>
  <c r="AI242" i="7"/>
  <c r="AJ242" i="7"/>
  <c r="AK242" i="7"/>
  <c r="AL242" i="7"/>
  <c r="AM242" i="7"/>
  <c r="AN242" i="7"/>
  <c r="AO242" i="7"/>
  <c r="AP242" i="7"/>
  <c r="AQ242" i="7"/>
  <c r="AR242" i="7"/>
  <c r="AS242" i="7"/>
  <c r="AT242" i="7"/>
  <c r="AU242" i="7"/>
  <c r="AV242" i="7"/>
  <c r="AW242" i="7"/>
  <c r="AX242" i="7"/>
  <c r="AY242" i="7"/>
  <c r="AZ242" i="7"/>
  <c r="BA242" i="7"/>
  <c r="BB242" i="7"/>
  <c r="A243" i="7"/>
  <c r="B243" i="7"/>
  <c r="C243" i="7"/>
  <c r="D243" i="7"/>
  <c r="E243" i="7"/>
  <c r="F243" i="7"/>
  <c r="G243" i="7"/>
  <c r="H243" i="7"/>
  <c r="I243" i="7"/>
  <c r="J243" i="7"/>
  <c r="K243" i="7"/>
  <c r="L243" i="7"/>
  <c r="M243" i="7"/>
  <c r="N243" i="7"/>
  <c r="O243" i="7"/>
  <c r="P243" i="7"/>
  <c r="Q243" i="7"/>
  <c r="R243" i="7"/>
  <c r="S243" i="7"/>
  <c r="T243" i="7"/>
  <c r="U243" i="7"/>
  <c r="V243" i="7"/>
  <c r="W243" i="7"/>
  <c r="X243" i="7"/>
  <c r="Y243" i="7"/>
  <c r="Z243" i="7"/>
  <c r="AA243" i="7"/>
  <c r="AB243" i="7"/>
  <c r="AC243" i="7"/>
  <c r="AD243" i="7"/>
  <c r="AE243" i="7"/>
  <c r="AF243" i="7"/>
  <c r="AG243" i="7"/>
  <c r="AH243" i="7"/>
  <c r="AI243" i="7"/>
  <c r="AJ243" i="7"/>
  <c r="AK243" i="7"/>
  <c r="AL243" i="7"/>
  <c r="AM243" i="7"/>
  <c r="AN243" i="7"/>
  <c r="AO243" i="7"/>
  <c r="AP243" i="7"/>
  <c r="AQ243" i="7"/>
  <c r="AR243" i="7"/>
  <c r="AS243" i="7"/>
  <c r="AT243" i="7"/>
  <c r="AU243" i="7"/>
  <c r="AV243" i="7"/>
  <c r="AW243" i="7"/>
  <c r="AX243" i="7"/>
  <c r="AY243" i="7"/>
  <c r="AZ243" i="7"/>
  <c r="BA243" i="7"/>
  <c r="BB243" i="7"/>
  <c r="A244" i="7"/>
  <c r="B244" i="7"/>
  <c r="C244" i="7"/>
  <c r="D244" i="7"/>
  <c r="E244" i="7"/>
  <c r="F244" i="7"/>
  <c r="G244" i="7"/>
  <c r="H244" i="7"/>
  <c r="I244" i="7"/>
  <c r="J244" i="7"/>
  <c r="K244" i="7"/>
  <c r="L244" i="7"/>
  <c r="M244" i="7"/>
  <c r="N244" i="7"/>
  <c r="O244" i="7"/>
  <c r="P244" i="7"/>
  <c r="Q244" i="7"/>
  <c r="R244" i="7"/>
  <c r="S244" i="7"/>
  <c r="T244" i="7"/>
  <c r="U244" i="7"/>
  <c r="V244" i="7"/>
  <c r="W244" i="7"/>
  <c r="X244" i="7"/>
  <c r="Y244" i="7"/>
  <c r="Z244" i="7"/>
  <c r="AA244" i="7"/>
  <c r="AB244" i="7"/>
  <c r="AC244" i="7"/>
  <c r="AD244" i="7"/>
  <c r="AE244" i="7"/>
  <c r="AF244" i="7"/>
  <c r="AG244" i="7"/>
  <c r="AH244" i="7"/>
  <c r="AI244" i="7"/>
  <c r="AJ244" i="7"/>
  <c r="AK244" i="7"/>
  <c r="AL244" i="7"/>
  <c r="AM244" i="7"/>
  <c r="AN244" i="7"/>
  <c r="AO244" i="7"/>
  <c r="AP244" i="7"/>
  <c r="AQ244" i="7"/>
  <c r="AR244" i="7"/>
  <c r="AS244" i="7"/>
  <c r="AT244" i="7"/>
  <c r="AU244" i="7"/>
  <c r="AV244" i="7"/>
  <c r="AW244" i="7"/>
  <c r="AX244" i="7"/>
  <c r="AY244" i="7"/>
  <c r="AZ244" i="7"/>
  <c r="BA244" i="7"/>
  <c r="BB244" i="7"/>
  <c r="A245" i="7"/>
  <c r="B245" i="7"/>
  <c r="C245" i="7"/>
  <c r="D245" i="7"/>
  <c r="E245" i="7"/>
  <c r="F245" i="7"/>
  <c r="G245" i="7"/>
  <c r="H245" i="7"/>
  <c r="I245" i="7"/>
  <c r="J245" i="7"/>
  <c r="K245" i="7"/>
  <c r="L245" i="7"/>
  <c r="M245" i="7"/>
  <c r="N245" i="7"/>
  <c r="O245" i="7"/>
  <c r="P245" i="7"/>
  <c r="Q245" i="7"/>
  <c r="R245" i="7"/>
  <c r="S245" i="7"/>
  <c r="T245" i="7"/>
  <c r="U245" i="7"/>
  <c r="V245" i="7"/>
  <c r="W245" i="7"/>
  <c r="X245" i="7"/>
  <c r="Y245" i="7"/>
  <c r="Z245" i="7"/>
  <c r="AA245" i="7"/>
  <c r="AB245" i="7"/>
  <c r="AC245" i="7"/>
  <c r="AD245" i="7"/>
  <c r="AE245" i="7"/>
  <c r="AF245" i="7"/>
  <c r="AG245" i="7"/>
  <c r="AH245" i="7"/>
  <c r="AI245" i="7"/>
  <c r="AJ245" i="7"/>
  <c r="AK245" i="7"/>
  <c r="AL245" i="7"/>
  <c r="AM245" i="7"/>
  <c r="AN245" i="7"/>
  <c r="AO245" i="7"/>
  <c r="AP245" i="7"/>
  <c r="AQ245" i="7"/>
  <c r="AR245" i="7"/>
  <c r="AS245" i="7"/>
  <c r="AT245" i="7"/>
  <c r="AU245" i="7"/>
  <c r="AV245" i="7"/>
  <c r="AW245" i="7"/>
  <c r="AX245" i="7"/>
  <c r="AY245" i="7"/>
  <c r="AZ245" i="7"/>
  <c r="BA245" i="7"/>
  <c r="BB245" i="7"/>
  <c r="A246" i="7"/>
  <c r="B246" i="7"/>
  <c r="C246" i="7"/>
  <c r="D246" i="7"/>
  <c r="E246" i="7"/>
  <c r="F246" i="7"/>
  <c r="G246" i="7"/>
  <c r="H246" i="7"/>
  <c r="I246" i="7"/>
  <c r="J246" i="7"/>
  <c r="K246" i="7"/>
  <c r="L246" i="7"/>
  <c r="M246" i="7"/>
  <c r="N246" i="7"/>
  <c r="O246" i="7"/>
  <c r="P246" i="7"/>
  <c r="Q246" i="7"/>
  <c r="R246" i="7"/>
  <c r="S246" i="7"/>
  <c r="T246" i="7"/>
  <c r="U246" i="7"/>
  <c r="V246" i="7"/>
  <c r="W246" i="7"/>
  <c r="X246" i="7"/>
  <c r="Y246" i="7"/>
  <c r="Z246" i="7"/>
  <c r="AA246" i="7"/>
  <c r="AB246" i="7"/>
  <c r="AC246" i="7"/>
  <c r="AD246" i="7"/>
  <c r="AE246" i="7"/>
  <c r="AF246" i="7"/>
  <c r="AG246" i="7"/>
  <c r="AH246" i="7"/>
  <c r="AI246" i="7"/>
  <c r="AJ246" i="7"/>
  <c r="AK246" i="7"/>
  <c r="AL246" i="7"/>
  <c r="AM246" i="7"/>
  <c r="AN246" i="7"/>
  <c r="AO246" i="7"/>
  <c r="AP246" i="7"/>
  <c r="AQ246" i="7"/>
  <c r="AR246" i="7"/>
  <c r="AS246" i="7"/>
  <c r="AT246" i="7"/>
  <c r="AU246" i="7"/>
  <c r="AV246" i="7"/>
  <c r="AW246" i="7"/>
  <c r="AX246" i="7"/>
  <c r="AY246" i="7"/>
  <c r="AZ246" i="7"/>
  <c r="BA246" i="7"/>
  <c r="BB246" i="7"/>
  <c r="A247" i="7"/>
  <c r="B247" i="7"/>
  <c r="C247" i="7"/>
  <c r="D247" i="7"/>
  <c r="E247" i="7"/>
  <c r="F247" i="7"/>
  <c r="G247" i="7"/>
  <c r="H247" i="7"/>
  <c r="I247" i="7"/>
  <c r="J247" i="7"/>
  <c r="K247" i="7"/>
  <c r="L247" i="7"/>
  <c r="M247" i="7"/>
  <c r="N247" i="7"/>
  <c r="O247" i="7"/>
  <c r="P247" i="7"/>
  <c r="Q247" i="7"/>
  <c r="R247" i="7"/>
  <c r="S247" i="7"/>
  <c r="T247" i="7"/>
  <c r="U247" i="7"/>
  <c r="V247" i="7"/>
  <c r="W247" i="7"/>
  <c r="X247" i="7"/>
  <c r="Y247" i="7"/>
  <c r="Z247" i="7"/>
  <c r="AA247" i="7"/>
  <c r="AB247" i="7"/>
  <c r="AC247" i="7"/>
  <c r="AD247" i="7"/>
  <c r="AE247" i="7"/>
  <c r="AF247" i="7"/>
  <c r="AG247" i="7"/>
  <c r="AH247" i="7"/>
  <c r="AI247" i="7"/>
  <c r="AJ247" i="7"/>
  <c r="AK247" i="7"/>
  <c r="AL247" i="7"/>
  <c r="AM247" i="7"/>
  <c r="AN247" i="7"/>
  <c r="AO247" i="7"/>
  <c r="AP247" i="7"/>
  <c r="AQ247" i="7"/>
  <c r="AR247" i="7"/>
  <c r="AS247" i="7"/>
  <c r="AT247" i="7"/>
  <c r="AU247" i="7"/>
  <c r="AV247" i="7"/>
  <c r="AW247" i="7"/>
  <c r="AX247" i="7"/>
  <c r="AY247" i="7"/>
  <c r="AZ247" i="7"/>
  <c r="BA247" i="7"/>
  <c r="BB247" i="7"/>
  <c r="A248" i="7"/>
  <c r="B248" i="7"/>
  <c r="C248" i="7"/>
  <c r="D248" i="7"/>
  <c r="E248" i="7"/>
  <c r="F248" i="7"/>
  <c r="G248" i="7"/>
  <c r="H248" i="7"/>
  <c r="I248" i="7"/>
  <c r="J248" i="7"/>
  <c r="K248" i="7"/>
  <c r="L248" i="7"/>
  <c r="M248" i="7"/>
  <c r="N248" i="7"/>
  <c r="O248" i="7"/>
  <c r="P248" i="7"/>
  <c r="Q248" i="7"/>
  <c r="R248" i="7"/>
  <c r="S248" i="7"/>
  <c r="T248" i="7"/>
  <c r="U248" i="7"/>
  <c r="V248" i="7"/>
  <c r="W248" i="7"/>
  <c r="X248" i="7"/>
  <c r="Y248" i="7"/>
  <c r="Z248" i="7"/>
  <c r="AA248" i="7"/>
  <c r="AB248" i="7"/>
  <c r="AC248" i="7"/>
  <c r="AD248" i="7"/>
  <c r="AE248" i="7"/>
  <c r="AF248" i="7"/>
  <c r="AG248" i="7"/>
  <c r="AH248" i="7"/>
  <c r="AI248" i="7"/>
  <c r="AJ248" i="7"/>
  <c r="AK248" i="7"/>
  <c r="AL248" i="7"/>
  <c r="AM248" i="7"/>
  <c r="AN248" i="7"/>
  <c r="AO248" i="7"/>
  <c r="AP248" i="7"/>
  <c r="AQ248" i="7"/>
  <c r="AR248" i="7"/>
  <c r="AS248" i="7"/>
  <c r="AT248" i="7"/>
  <c r="AU248" i="7"/>
  <c r="AV248" i="7"/>
  <c r="AW248" i="7"/>
  <c r="AX248" i="7"/>
  <c r="AY248" i="7"/>
  <c r="AZ248" i="7"/>
  <c r="BA248" i="7"/>
  <c r="BB248" i="7"/>
  <c r="A249" i="7"/>
  <c r="B249" i="7"/>
  <c r="C249" i="7"/>
  <c r="D249" i="7"/>
  <c r="E249" i="7"/>
  <c r="F249" i="7"/>
  <c r="G249" i="7"/>
  <c r="H249" i="7"/>
  <c r="I249" i="7"/>
  <c r="J249" i="7"/>
  <c r="K249" i="7"/>
  <c r="L249" i="7"/>
  <c r="M249" i="7"/>
  <c r="N249" i="7"/>
  <c r="O249" i="7"/>
  <c r="P249" i="7"/>
  <c r="Q249" i="7"/>
  <c r="R249" i="7"/>
  <c r="S249" i="7"/>
  <c r="T249" i="7"/>
  <c r="U249" i="7"/>
  <c r="V249" i="7"/>
  <c r="W249" i="7"/>
  <c r="X249" i="7"/>
  <c r="Y249" i="7"/>
  <c r="Z249" i="7"/>
  <c r="AA249" i="7"/>
  <c r="AB249" i="7"/>
  <c r="AC249" i="7"/>
  <c r="AD249" i="7"/>
  <c r="AE249" i="7"/>
  <c r="AF249" i="7"/>
  <c r="AG249" i="7"/>
  <c r="AH249" i="7"/>
  <c r="AI249" i="7"/>
  <c r="AJ249" i="7"/>
  <c r="AK249" i="7"/>
  <c r="AL249" i="7"/>
  <c r="AM249" i="7"/>
  <c r="AN249" i="7"/>
  <c r="AO249" i="7"/>
  <c r="AP249" i="7"/>
  <c r="AQ249" i="7"/>
  <c r="AR249" i="7"/>
  <c r="AS249" i="7"/>
  <c r="AT249" i="7"/>
  <c r="AU249" i="7"/>
  <c r="AV249" i="7"/>
  <c r="AW249" i="7"/>
  <c r="AX249" i="7"/>
  <c r="AY249" i="7"/>
  <c r="AZ249" i="7"/>
  <c r="BA249" i="7"/>
  <c r="BB249" i="7"/>
  <c r="A250" i="7"/>
  <c r="B250" i="7"/>
  <c r="C250" i="7"/>
  <c r="D250" i="7"/>
  <c r="E250" i="7"/>
  <c r="F250" i="7"/>
  <c r="G250" i="7"/>
  <c r="H250" i="7"/>
  <c r="I250" i="7"/>
  <c r="J250" i="7"/>
  <c r="K250" i="7"/>
  <c r="L250" i="7"/>
  <c r="M250" i="7"/>
  <c r="N250" i="7"/>
  <c r="O250" i="7"/>
  <c r="P250" i="7"/>
  <c r="Q250" i="7"/>
  <c r="R250" i="7"/>
  <c r="S250" i="7"/>
  <c r="T250" i="7"/>
  <c r="U250" i="7"/>
  <c r="V250" i="7"/>
  <c r="W250" i="7"/>
  <c r="X250" i="7"/>
  <c r="Y250" i="7"/>
  <c r="Z250" i="7"/>
  <c r="AA250" i="7"/>
  <c r="AB250" i="7"/>
  <c r="AC250" i="7"/>
  <c r="AD250" i="7"/>
  <c r="AE250" i="7"/>
  <c r="AF250" i="7"/>
  <c r="AG250" i="7"/>
  <c r="AH250" i="7"/>
  <c r="AI250" i="7"/>
  <c r="AJ250" i="7"/>
  <c r="AK250" i="7"/>
  <c r="AL250" i="7"/>
  <c r="AM250" i="7"/>
  <c r="AN250" i="7"/>
  <c r="AO250" i="7"/>
  <c r="AP250" i="7"/>
  <c r="AQ250" i="7"/>
  <c r="AR250" i="7"/>
  <c r="AS250" i="7"/>
  <c r="AT250" i="7"/>
  <c r="AU250" i="7"/>
  <c r="AV250" i="7"/>
  <c r="AW250" i="7"/>
  <c r="AX250" i="7"/>
  <c r="AY250" i="7"/>
  <c r="AZ250" i="7"/>
  <c r="BA250" i="7"/>
  <c r="BB250" i="7"/>
  <c r="A251" i="7"/>
  <c r="B251" i="7"/>
  <c r="C251" i="7"/>
  <c r="D251" i="7"/>
  <c r="E251" i="7"/>
  <c r="F251" i="7"/>
  <c r="G251" i="7"/>
  <c r="H251" i="7"/>
  <c r="I251" i="7"/>
  <c r="J251" i="7"/>
  <c r="K251" i="7"/>
  <c r="L251" i="7"/>
  <c r="M251" i="7"/>
  <c r="N251" i="7"/>
  <c r="O251" i="7"/>
  <c r="P251" i="7"/>
  <c r="Q251" i="7"/>
  <c r="R251" i="7"/>
  <c r="S251" i="7"/>
  <c r="T251" i="7"/>
  <c r="U251" i="7"/>
  <c r="V251" i="7"/>
  <c r="W251" i="7"/>
  <c r="X251" i="7"/>
  <c r="Y251" i="7"/>
  <c r="Z251" i="7"/>
  <c r="AA251" i="7"/>
  <c r="AB251" i="7"/>
  <c r="AC251" i="7"/>
  <c r="AD251" i="7"/>
  <c r="AE251" i="7"/>
  <c r="AF251" i="7"/>
  <c r="AG251" i="7"/>
  <c r="AH251" i="7"/>
  <c r="AI251" i="7"/>
  <c r="AJ251" i="7"/>
  <c r="AK251" i="7"/>
  <c r="AL251" i="7"/>
  <c r="AM251" i="7"/>
  <c r="AN251" i="7"/>
  <c r="AO251" i="7"/>
  <c r="AP251" i="7"/>
  <c r="AQ251" i="7"/>
  <c r="AR251" i="7"/>
  <c r="AS251" i="7"/>
  <c r="AT251" i="7"/>
  <c r="AU251" i="7"/>
  <c r="AV251" i="7"/>
  <c r="AW251" i="7"/>
  <c r="AX251" i="7"/>
  <c r="AY251" i="7"/>
  <c r="AZ251" i="7"/>
  <c r="BA251" i="7"/>
  <c r="BB251" i="7"/>
  <c r="A252" i="7"/>
  <c r="B252" i="7"/>
  <c r="C252" i="7"/>
  <c r="D252" i="7"/>
  <c r="E252" i="7"/>
  <c r="F252" i="7"/>
  <c r="G252" i="7"/>
  <c r="H252" i="7"/>
  <c r="I252" i="7"/>
  <c r="J252" i="7"/>
  <c r="K252" i="7"/>
  <c r="L252" i="7"/>
  <c r="M252" i="7"/>
  <c r="N252" i="7"/>
  <c r="O252" i="7"/>
  <c r="P252" i="7"/>
  <c r="Q252" i="7"/>
  <c r="R252" i="7"/>
  <c r="S252" i="7"/>
  <c r="T252" i="7"/>
  <c r="U252" i="7"/>
  <c r="V252" i="7"/>
  <c r="W252" i="7"/>
  <c r="X252" i="7"/>
  <c r="Y252" i="7"/>
  <c r="Z252" i="7"/>
  <c r="AA252" i="7"/>
  <c r="AB252" i="7"/>
  <c r="AC252" i="7"/>
  <c r="AD252" i="7"/>
  <c r="AE252" i="7"/>
  <c r="AF252" i="7"/>
  <c r="AG252" i="7"/>
  <c r="AH252" i="7"/>
  <c r="AI252" i="7"/>
  <c r="AJ252" i="7"/>
  <c r="AK252" i="7"/>
  <c r="AL252" i="7"/>
  <c r="AM252" i="7"/>
  <c r="AN252" i="7"/>
  <c r="AO252" i="7"/>
  <c r="AP252" i="7"/>
  <c r="AQ252" i="7"/>
  <c r="AR252" i="7"/>
  <c r="AS252" i="7"/>
  <c r="AT252" i="7"/>
  <c r="AU252" i="7"/>
  <c r="AV252" i="7"/>
  <c r="AW252" i="7"/>
  <c r="AX252" i="7"/>
  <c r="AY252" i="7"/>
  <c r="AZ252" i="7"/>
  <c r="BA252" i="7"/>
  <c r="BB252" i="7"/>
  <c r="A253" i="7"/>
  <c r="B253" i="7"/>
  <c r="C253" i="7"/>
  <c r="D253" i="7"/>
  <c r="E253" i="7"/>
  <c r="F253" i="7"/>
  <c r="G253" i="7"/>
  <c r="H253" i="7"/>
  <c r="I253" i="7"/>
  <c r="J253" i="7"/>
  <c r="K253" i="7"/>
  <c r="L253" i="7"/>
  <c r="M253" i="7"/>
  <c r="N253" i="7"/>
  <c r="O253" i="7"/>
  <c r="P253" i="7"/>
  <c r="Q253" i="7"/>
  <c r="R253" i="7"/>
  <c r="S253" i="7"/>
  <c r="T253" i="7"/>
  <c r="U253" i="7"/>
  <c r="V253" i="7"/>
  <c r="W253" i="7"/>
  <c r="X253" i="7"/>
  <c r="Y253" i="7"/>
  <c r="Z253" i="7"/>
  <c r="AA253" i="7"/>
  <c r="AB253" i="7"/>
  <c r="AC253" i="7"/>
  <c r="AD253" i="7"/>
  <c r="AE253" i="7"/>
  <c r="AF253" i="7"/>
  <c r="AG253" i="7"/>
  <c r="AH253" i="7"/>
  <c r="AI253" i="7"/>
  <c r="AJ253" i="7"/>
  <c r="AK253" i="7"/>
  <c r="AL253" i="7"/>
  <c r="AM253" i="7"/>
  <c r="AN253" i="7"/>
  <c r="AO253" i="7"/>
  <c r="AP253" i="7"/>
  <c r="AQ253" i="7"/>
  <c r="AR253" i="7"/>
  <c r="AS253" i="7"/>
  <c r="AT253" i="7"/>
  <c r="AU253" i="7"/>
  <c r="AV253" i="7"/>
  <c r="AW253" i="7"/>
  <c r="AX253" i="7"/>
  <c r="AY253" i="7"/>
  <c r="AZ253" i="7"/>
  <c r="BA253" i="7"/>
  <c r="BB253" i="7"/>
  <c r="A254" i="7"/>
  <c r="B254" i="7"/>
  <c r="C254" i="7"/>
  <c r="D254" i="7"/>
  <c r="E254" i="7"/>
  <c r="F254" i="7"/>
  <c r="G254" i="7"/>
  <c r="H254" i="7"/>
  <c r="I254" i="7"/>
  <c r="J254" i="7"/>
  <c r="K254" i="7"/>
  <c r="L254" i="7"/>
  <c r="M254" i="7"/>
  <c r="N254" i="7"/>
  <c r="O254" i="7"/>
  <c r="P254" i="7"/>
  <c r="Q254" i="7"/>
  <c r="R254" i="7"/>
  <c r="S254" i="7"/>
  <c r="T254" i="7"/>
  <c r="U254" i="7"/>
  <c r="V254" i="7"/>
  <c r="W254" i="7"/>
  <c r="X254" i="7"/>
  <c r="Y254" i="7"/>
  <c r="Z254" i="7"/>
  <c r="AA254" i="7"/>
  <c r="AB254" i="7"/>
  <c r="AC254" i="7"/>
  <c r="AD254" i="7"/>
  <c r="AE254" i="7"/>
  <c r="AF254" i="7"/>
  <c r="AG254" i="7"/>
  <c r="AH254" i="7"/>
  <c r="AI254" i="7"/>
  <c r="AJ254" i="7"/>
  <c r="AK254" i="7"/>
  <c r="AL254" i="7"/>
  <c r="AM254" i="7"/>
  <c r="AN254" i="7"/>
  <c r="AO254" i="7"/>
  <c r="AP254" i="7"/>
  <c r="AQ254" i="7"/>
  <c r="AR254" i="7"/>
  <c r="AS254" i="7"/>
  <c r="AT254" i="7"/>
  <c r="AU254" i="7"/>
  <c r="AV254" i="7"/>
  <c r="AW254" i="7"/>
  <c r="AX254" i="7"/>
  <c r="AY254" i="7"/>
  <c r="AZ254" i="7"/>
  <c r="BA254" i="7"/>
  <c r="BB254" i="7"/>
  <c r="A255" i="7"/>
  <c r="B255" i="7"/>
  <c r="C255" i="7"/>
  <c r="D255" i="7"/>
  <c r="E255" i="7"/>
  <c r="F255" i="7"/>
  <c r="G255" i="7"/>
  <c r="H255" i="7"/>
  <c r="I255" i="7"/>
  <c r="J255" i="7"/>
  <c r="K255" i="7"/>
  <c r="L255" i="7"/>
  <c r="M255" i="7"/>
  <c r="N255" i="7"/>
  <c r="O255" i="7"/>
  <c r="P255" i="7"/>
  <c r="Q255" i="7"/>
  <c r="R255" i="7"/>
  <c r="S255" i="7"/>
  <c r="T255" i="7"/>
  <c r="U255" i="7"/>
  <c r="V255" i="7"/>
  <c r="W255" i="7"/>
  <c r="X255" i="7"/>
  <c r="Y255" i="7"/>
  <c r="Z255" i="7"/>
  <c r="AA255" i="7"/>
  <c r="AB255" i="7"/>
  <c r="AC255" i="7"/>
  <c r="AD255" i="7"/>
  <c r="AE255" i="7"/>
  <c r="AF255" i="7"/>
  <c r="AG255" i="7"/>
  <c r="AH255" i="7"/>
  <c r="AI255" i="7"/>
  <c r="AJ255" i="7"/>
  <c r="AK255" i="7"/>
  <c r="AL255" i="7"/>
  <c r="AM255" i="7"/>
  <c r="AN255" i="7"/>
  <c r="AO255" i="7"/>
  <c r="AP255" i="7"/>
  <c r="AQ255" i="7"/>
  <c r="AR255" i="7"/>
  <c r="AS255" i="7"/>
  <c r="AT255" i="7"/>
  <c r="AU255" i="7"/>
  <c r="AV255" i="7"/>
  <c r="AW255" i="7"/>
  <c r="AX255" i="7"/>
  <c r="AY255" i="7"/>
  <c r="AZ255" i="7"/>
  <c r="BA255" i="7"/>
  <c r="BB255" i="7"/>
  <c r="A256" i="7"/>
  <c r="B256" i="7"/>
  <c r="C256" i="7"/>
  <c r="D256" i="7"/>
  <c r="E256" i="7"/>
  <c r="F256" i="7"/>
  <c r="G256" i="7"/>
  <c r="H256" i="7"/>
  <c r="I256" i="7"/>
  <c r="J256" i="7"/>
  <c r="K256" i="7"/>
  <c r="L256" i="7"/>
  <c r="M256" i="7"/>
  <c r="N256" i="7"/>
  <c r="O256" i="7"/>
  <c r="P256" i="7"/>
  <c r="Q256" i="7"/>
  <c r="R256" i="7"/>
  <c r="S256" i="7"/>
  <c r="T256" i="7"/>
  <c r="U256" i="7"/>
  <c r="V256" i="7"/>
  <c r="W256" i="7"/>
  <c r="X256" i="7"/>
  <c r="Y256" i="7"/>
  <c r="Z256" i="7"/>
  <c r="AA256" i="7"/>
  <c r="AB256" i="7"/>
  <c r="AC256" i="7"/>
  <c r="AD256" i="7"/>
  <c r="AE256" i="7"/>
  <c r="AF256" i="7"/>
  <c r="AG256" i="7"/>
  <c r="AH256" i="7"/>
  <c r="AI256" i="7"/>
  <c r="AJ256" i="7"/>
  <c r="AK256" i="7"/>
  <c r="AL256" i="7"/>
  <c r="AM256" i="7"/>
  <c r="AN256" i="7"/>
  <c r="AO256" i="7"/>
  <c r="AP256" i="7"/>
  <c r="AQ256" i="7"/>
  <c r="AR256" i="7"/>
  <c r="AS256" i="7"/>
  <c r="AT256" i="7"/>
  <c r="AU256" i="7"/>
  <c r="AV256" i="7"/>
  <c r="AW256" i="7"/>
  <c r="AX256" i="7"/>
  <c r="AY256" i="7"/>
  <c r="AZ256" i="7"/>
  <c r="BA256" i="7"/>
  <c r="BB256" i="7"/>
  <c r="A257" i="7"/>
  <c r="B257" i="7"/>
  <c r="C257" i="7"/>
  <c r="D257" i="7"/>
  <c r="E257" i="7"/>
  <c r="F257" i="7"/>
  <c r="G257" i="7"/>
  <c r="H257" i="7"/>
  <c r="I257" i="7"/>
  <c r="J257" i="7"/>
  <c r="K257" i="7"/>
  <c r="L257" i="7"/>
  <c r="M257" i="7"/>
  <c r="N257" i="7"/>
  <c r="O257" i="7"/>
  <c r="P257" i="7"/>
  <c r="Q257" i="7"/>
  <c r="R257" i="7"/>
  <c r="S257" i="7"/>
  <c r="T257" i="7"/>
  <c r="U257" i="7"/>
  <c r="V257" i="7"/>
  <c r="W257" i="7"/>
  <c r="X257" i="7"/>
  <c r="Y257" i="7"/>
  <c r="Z257" i="7"/>
  <c r="AA257" i="7"/>
  <c r="AB257" i="7"/>
  <c r="AC257" i="7"/>
  <c r="AD257" i="7"/>
  <c r="AE257" i="7"/>
  <c r="AF257" i="7"/>
  <c r="AG257" i="7"/>
  <c r="AH257" i="7"/>
  <c r="AI257" i="7"/>
  <c r="AJ257" i="7"/>
  <c r="AK257" i="7"/>
  <c r="AL257" i="7"/>
  <c r="AM257" i="7"/>
  <c r="AN257" i="7"/>
  <c r="AO257" i="7"/>
  <c r="AP257" i="7"/>
  <c r="AQ257" i="7"/>
  <c r="AR257" i="7"/>
  <c r="AS257" i="7"/>
  <c r="AT257" i="7"/>
  <c r="AU257" i="7"/>
  <c r="AV257" i="7"/>
  <c r="AW257" i="7"/>
  <c r="AX257" i="7"/>
  <c r="AY257" i="7"/>
  <c r="AZ257" i="7"/>
  <c r="BA257" i="7"/>
  <c r="BB257" i="7"/>
  <c r="A258" i="7"/>
  <c r="B258" i="7"/>
  <c r="C258" i="7"/>
  <c r="D258" i="7"/>
  <c r="E258" i="7"/>
  <c r="F258" i="7"/>
  <c r="G258" i="7"/>
  <c r="H258" i="7"/>
  <c r="I258" i="7"/>
  <c r="J258" i="7"/>
  <c r="K258" i="7"/>
  <c r="L258" i="7"/>
  <c r="M258" i="7"/>
  <c r="N258" i="7"/>
  <c r="O258" i="7"/>
  <c r="P258" i="7"/>
  <c r="Q258" i="7"/>
  <c r="R258" i="7"/>
  <c r="S258" i="7"/>
  <c r="T258" i="7"/>
  <c r="U258" i="7"/>
  <c r="V258" i="7"/>
  <c r="W258" i="7"/>
  <c r="X258" i="7"/>
  <c r="Y258" i="7"/>
  <c r="Z258" i="7"/>
  <c r="AA258" i="7"/>
  <c r="AB258" i="7"/>
  <c r="AC258" i="7"/>
  <c r="AD258" i="7"/>
  <c r="AE258" i="7"/>
  <c r="AF258" i="7"/>
  <c r="AG258" i="7"/>
  <c r="AH258" i="7"/>
  <c r="AI258" i="7"/>
  <c r="AJ258" i="7"/>
  <c r="AK258" i="7"/>
  <c r="AL258" i="7"/>
  <c r="AM258" i="7"/>
  <c r="AN258" i="7"/>
  <c r="AO258" i="7"/>
  <c r="AP258" i="7"/>
  <c r="AQ258" i="7"/>
  <c r="AR258" i="7"/>
  <c r="AS258" i="7"/>
  <c r="AT258" i="7"/>
  <c r="AU258" i="7"/>
  <c r="AV258" i="7"/>
  <c r="AW258" i="7"/>
  <c r="AX258" i="7"/>
  <c r="AY258" i="7"/>
  <c r="AZ258" i="7"/>
  <c r="BA258" i="7"/>
  <c r="BB258" i="7"/>
  <c r="A259" i="7"/>
  <c r="B259" i="7"/>
  <c r="C259" i="7"/>
  <c r="D259" i="7"/>
  <c r="E259" i="7"/>
  <c r="F259" i="7"/>
  <c r="G259" i="7"/>
  <c r="H259" i="7"/>
  <c r="I259" i="7"/>
  <c r="J259" i="7"/>
  <c r="K259" i="7"/>
  <c r="L259" i="7"/>
  <c r="M259" i="7"/>
  <c r="N259" i="7"/>
  <c r="O259" i="7"/>
  <c r="P259" i="7"/>
  <c r="Q259" i="7"/>
  <c r="R259" i="7"/>
  <c r="S259" i="7"/>
  <c r="T259" i="7"/>
  <c r="U259" i="7"/>
  <c r="V259" i="7"/>
  <c r="W259" i="7"/>
  <c r="X259" i="7"/>
  <c r="Y259" i="7"/>
  <c r="Z259" i="7"/>
  <c r="AA259" i="7"/>
  <c r="AB259" i="7"/>
  <c r="AC259" i="7"/>
  <c r="AD259" i="7"/>
  <c r="AE259" i="7"/>
  <c r="AF259" i="7"/>
  <c r="AG259" i="7"/>
  <c r="AH259" i="7"/>
  <c r="AI259" i="7"/>
  <c r="AJ259" i="7"/>
  <c r="AK259" i="7"/>
  <c r="AL259" i="7"/>
  <c r="AM259" i="7"/>
  <c r="AN259" i="7"/>
  <c r="AO259" i="7"/>
  <c r="AP259" i="7"/>
  <c r="AQ259" i="7"/>
  <c r="AR259" i="7"/>
  <c r="AS259" i="7"/>
  <c r="AT259" i="7"/>
  <c r="AU259" i="7"/>
  <c r="AV259" i="7"/>
  <c r="AW259" i="7"/>
  <c r="AX259" i="7"/>
  <c r="AY259" i="7"/>
  <c r="AZ259" i="7"/>
  <c r="BA259" i="7"/>
  <c r="BB259" i="7"/>
  <c r="A260" i="7"/>
  <c r="B260" i="7"/>
  <c r="C260" i="7"/>
  <c r="D260" i="7"/>
  <c r="E260" i="7"/>
  <c r="F260" i="7"/>
  <c r="G260" i="7"/>
  <c r="H260" i="7"/>
  <c r="I260" i="7"/>
  <c r="J260" i="7"/>
  <c r="K260" i="7"/>
  <c r="L260" i="7"/>
  <c r="M260" i="7"/>
  <c r="N260" i="7"/>
  <c r="O260" i="7"/>
  <c r="P260" i="7"/>
  <c r="Q260" i="7"/>
  <c r="R260" i="7"/>
  <c r="S260" i="7"/>
  <c r="T260" i="7"/>
  <c r="U260" i="7"/>
  <c r="V260" i="7"/>
  <c r="W260" i="7"/>
  <c r="X260" i="7"/>
  <c r="Y260" i="7"/>
  <c r="Z260" i="7"/>
  <c r="AA260" i="7"/>
  <c r="AB260" i="7"/>
  <c r="AC260" i="7"/>
  <c r="AD260" i="7"/>
  <c r="AE260" i="7"/>
  <c r="AF260" i="7"/>
  <c r="AG260" i="7"/>
  <c r="AH260" i="7"/>
  <c r="AI260" i="7"/>
  <c r="AJ260" i="7"/>
  <c r="AK260" i="7"/>
  <c r="AL260" i="7"/>
  <c r="AM260" i="7"/>
  <c r="AN260" i="7"/>
  <c r="AO260" i="7"/>
  <c r="AP260" i="7"/>
  <c r="AQ260" i="7"/>
  <c r="AR260" i="7"/>
  <c r="AS260" i="7"/>
  <c r="AT260" i="7"/>
  <c r="AU260" i="7"/>
  <c r="AV260" i="7"/>
  <c r="AW260" i="7"/>
  <c r="AX260" i="7"/>
  <c r="AY260" i="7"/>
  <c r="AZ260" i="7"/>
  <c r="BA260" i="7"/>
  <c r="BB260" i="7"/>
  <c r="A261" i="7"/>
  <c r="B261" i="7"/>
  <c r="C261" i="7"/>
  <c r="D261" i="7"/>
  <c r="E261" i="7"/>
  <c r="F261" i="7"/>
  <c r="G261" i="7"/>
  <c r="H261" i="7"/>
  <c r="I261" i="7"/>
  <c r="J261" i="7"/>
  <c r="K261" i="7"/>
  <c r="L261" i="7"/>
  <c r="M261" i="7"/>
  <c r="N261" i="7"/>
  <c r="O261" i="7"/>
  <c r="P261" i="7"/>
  <c r="Q261" i="7"/>
  <c r="R261" i="7"/>
  <c r="S261" i="7"/>
  <c r="T261" i="7"/>
  <c r="U261" i="7"/>
  <c r="V261" i="7"/>
  <c r="W261" i="7"/>
  <c r="X261" i="7"/>
  <c r="Y261" i="7"/>
  <c r="Z261" i="7"/>
  <c r="AA261" i="7"/>
  <c r="AB261" i="7"/>
  <c r="AC261" i="7"/>
  <c r="AD261" i="7"/>
  <c r="AE261" i="7"/>
  <c r="AF261" i="7"/>
  <c r="AG261" i="7"/>
  <c r="AH261" i="7"/>
  <c r="AI261" i="7"/>
  <c r="AJ261" i="7"/>
  <c r="AK261" i="7"/>
  <c r="AL261" i="7"/>
  <c r="AM261" i="7"/>
  <c r="AN261" i="7"/>
  <c r="AO261" i="7"/>
  <c r="AP261" i="7"/>
  <c r="AQ261" i="7"/>
  <c r="AR261" i="7"/>
  <c r="AS261" i="7"/>
  <c r="AT261" i="7"/>
  <c r="AU261" i="7"/>
  <c r="AV261" i="7"/>
  <c r="AW261" i="7"/>
  <c r="AX261" i="7"/>
  <c r="AY261" i="7"/>
  <c r="AZ261" i="7"/>
  <c r="BA261" i="7"/>
  <c r="BB261" i="7"/>
  <c r="A262" i="7"/>
  <c r="B262" i="7"/>
  <c r="C262" i="7"/>
  <c r="D262" i="7"/>
  <c r="E262" i="7"/>
  <c r="F262" i="7"/>
  <c r="G262" i="7"/>
  <c r="H262" i="7"/>
  <c r="I262" i="7"/>
  <c r="J262" i="7"/>
  <c r="K262" i="7"/>
  <c r="L262" i="7"/>
  <c r="M262" i="7"/>
  <c r="N262" i="7"/>
  <c r="O262" i="7"/>
  <c r="P262" i="7"/>
  <c r="Q262" i="7"/>
  <c r="R262" i="7"/>
  <c r="S262" i="7"/>
  <c r="T262" i="7"/>
  <c r="U262" i="7"/>
  <c r="V262" i="7"/>
  <c r="W262" i="7"/>
  <c r="X262" i="7"/>
  <c r="Y262" i="7"/>
  <c r="Z262" i="7"/>
  <c r="AA262" i="7"/>
  <c r="AB262" i="7"/>
  <c r="AC262" i="7"/>
  <c r="AD262" i="7"/>
  <c r="AE262" i="7"/>
  <c r="AF262" i="7"/>
  <c r="AG262" i="7"/>
  <c r="AH262" i="7"/>
  <c r="AI262" i="7"/>
  <c r="AJ262" i="7"/>
  <c r="AK262" i="7"/>
  <c r="AL262" i="7"/>
  <c r="AM262" i="7"/>
  <c r="AN262" i="7"/>
  <c r="AO262" i="7"/>
  <c r="AP262" i="7"/>
  <c r="AQ262" i="7"/>
  <c r="AR262" i="7"/>
  <c r="AS262" i="7"/>
  <c r="AT262" i="7"/>
  <c r="AU262" i="7"/>
  <c r="AV262" i="7"/>
  <c r="AW262" i="7"/>
  <c r="AX262" i="7"/>
  <c r="AY262" i="7"/>
  <c r="AZ262" i="7"/>
  <c r="BA262" i="7"/>
  <c r="BB262" i="7"/>
  <c r="A263" i="7"/>
  <c r="B263" i="7"/>
  <c r="C263" i="7"/>
  <c r="D263" i="7"/>
  <c r="E263" i="7"/>
  <c r="F263" i="7"/>
  <c r="G263" i="7"/>
  <c r="H263" i="7"/>
  <c r="I263" i="7"/>
  <c r="J263" i="7"/>
  <c r="K263" i="7"/>
  <c r="L263" i="7"/>
  <c r="M263" i="7"/>
  <c r="N263" i="7"/>
  <c r="O263" i="7"/>
  <c r="P263" i="7"/>
  <c r="Q263" i="7"/>
  <c r="R263" i="7"/>
  <c r="S263" i="7"/>
  <c r="T263" i="7"/>
  <c r="U263" i="7"/>
  <c r="V263" i="7"/>
  <c r="W263" i="7"/>
  <c r="X263" i="7"/>
  <c r="Y263" i="7"/>
  <c r="Z263" i="7"/>
  <c r="AA263" i="7"/>
  <c r="AB263" i="7"/>
  <c r="AC263" i="7"/>
  <c r="AD263" i="7"/>
  <c r="AE263" i="7"/>
  <c r="AF263" i="7"/>
  <c r="AG263" i="7"/>
  <c r="AH263" i="7"/>
  <c r="AI263" i="7"/>
  <c r="AJ263" i="7"/>
  <c r="AK263" i="7"/>
  <c r="AL263" i="7"/>
  <c r="AM263" i="7"/>
  <c r="AN263" i="7"/>
  <c r="AO263" i="7"/>
  <c r="AP263" i="7"/>
  <c r="AQ263" i="7"/>
  <c r="AR263" i="7"/>
  <c r="AS263" i="7"/>
  <c r="AT263" i="7"/>
  <c r="AU263" i="7"/>
  <c r="AV263" i="7"/>
  <c r="AW263" i="7"/>
  <c r="AX263" i="7"/>
  <c r="AY263" i="7"/>
  <c r="AZ263" i="7"/>
  <c r="BA263" i="7"/>
  <c r="BB263" i="7"/>
  <c r="A264" i="7"/>
  <c r="B264" i="7"/>
  <c r="C264" i="7"/>
  <c r="D264" i="7"/>
  <c r="E264" i="7"/>
  <c r="F264" i="7"/>
  <c r="G264" i="7"/>
  <c r="H264" i="7"/>
  <c r="I264" i="7"/>
  <c r="J264" i="7"/>
  <c r="K264" i="7"/>
  <c r="L264" i="7"/>
  <c r="M264" i="7"/>
  <c r="N264" i="7"/>
  <c r="O264" i="7"/>
  <c r="P264" i="7"/>
  <c r="Q264" i="7"/>
  <c r="R264" i="7"/>
  <c r="S264" i="7"/>
  <c r="T264" i="7"/>
  <c r="U264" i="7"/>
  <c r="V264" i="7"/>
  <c r="W264" i="7"/>
  <c r="X264" i="7"/>
  <c r="Y264" i="7"/>
  <c r="Z264" i="7"/>
  <c r="AA264" i="7"/>
  <c r="AB264" i="7"/>
  <c r="AC264" i="7"/>
  <c r="AD264" i="7"/>
  <c r="AE264" i="7"/>
  <c r="AF264" i="7"/>
  <c r="AG264" i="7"/>
  <c r="AH264" i="7"/>
  <c r="AI264" i="7"/>
  <c r="AJ264" i="7"/>
  <c r="AK264" i="7"/>
  <c r="AL264" i="7"/>
  <c r="AM264" i="7"/>
  <c r="AN264" i="7"/>
  <c r="AO264" i="7"/>
  <c r="AP264" i="7"/>
  <c r="AQ264" i="7"/>
  <c r="AR264" i="7"/>
  <c r="AS264" i="7"/>
  <c r="AT264" i="7"/>
  <c r="AU264" i="7"/>
  <c r="AV264" i="7"/>
  <c r="AW264" i="7"/>
  <c r="AX264" i="7"/>
  <c r="AY264" i="7"/>
  <c r="AZ264" i="7"/>
  <c r="BA264" i="7"/>
  <c r="BB264" i="7"/>
  <c r="A265" i="7"/>
  <c r="B265" i="7"/>
  <c r="C265" i="7"/>
  <c r="D265" i="7"/>
  <c r="E265" i="7"/>
  <c r="F265" i="7"/>
  <c r="G265" i="7"/>
  <c r="H265" i="7"/>
  <c r="I265" i="7"/>
  <c r="J265" i="7"/>
  <c r="K265" i="7"/>
  <c r="L265" i="7"/>
  <c r="M265" i="7"/>
  <c r="N265" i="7"/>
  <c r="O265" i="7"/>
  <c r="P265" i="7"/>
  <c r="Q265" i="7"/>
  <c r="R265" i="7"/>
  <c r="S265" i="7"/>
  <c r="T265" i="7"/>
  <c r="U265" i="7"/>
  <c r="V265" i="7"/>
  <c r="W265" i="7"/>
  <c r="X265" i="7"/>
  <c r="Y265" i="7"/>
  <c r="Z265" i="7"/>
  <c r="AA265" i="7"/>
  <c r="AB265" i="7"/>
  <c r="AC265" i="7"/>
  <c r="AD265" i="7"/>
  <c r="AE265" i="7"/>
  <c r="AF265" i="7"/>
  <c r="AG265" i="7"/>
  <c r="AH265" i="7"/>
  <c r="AI265" i="7"/>
  <c r="AJ265" i="7"/>
  <c r="AK265" i="7"/>
  <c r="AL265" i="7"/>
  <c r="AM265" i="7"/>
  <c r="AN265" i="7"/>
  <c r="AO265" i="7"/>
  <c r="AP265" i="7"/>
  <c r="AQ265" i="7"/>
  <c r="AR265" i="7"/>
  <c r="AS265" i="7"/>
  <c r="AT265" i="7"/>
  <c r="AU265" i="7"/>
  <c r="AV265" i="7"/>
  <c r="AW265" i="7"/>
  <c r="AX265" i="7"/>
  <c r="AY265" i="7"/>
  <c r="AZ265" i="7"/>
  <c r="BA265" i="7"/>
  <c r="BB265" i="7"/>
  <c r="A266" i="7"/>
  <c r="B266" i="7"/>
  <c r="C266" i="7"/>
  <c r="D266" i="7"/>
  <c r="E266" i="7"/>
  <c r="F266" i="7"/>
  <c r="G266" i="7"/>
  <c r="H266" i="7"/>
  <c r="I266" i="7"/>
  <c r="J266" i="7"/>
  <c r="K266" i="7"/>
  <c r="L266" i="7"/>
  <c r="M266" i="7"/>
  <c r="N266" i="7"/>
  <c r="O266" i="7"/>
  <c r="P266" i="7"/>
  <c r="Q266" i="7"/>
  <c r="R266" i="7"/>
  <c r="S266" i="7"/>
  <c r="T266" i="7"/>
  <c r="U266" i="7"/>
  <c r="V266" i="7"/>
  <c r="W266" i="7"/>
  <c r="X266" i="7"/>
  <c r="Y266" i="7"/>
  <c r="Z266" i="7"/>
  <c r="AA266" i="7"/>
  <c r="AB266" i="7"/>
  <c r="AC266" i="7"/>
  <c r="AD266" i="7"/>
  <c r="AE266" i="7"/>
  <c r="AF266" i="7"/>
  <c r="AG266" i="7"/>
  <c r="AH266" i="7"/>
  <c r="AI266" i="7"/>
  <c r="AJ266" i="7"/>
  <c r="AK266" i="7"/>
  <c r="AL266" i="7"/>
  <c r="AM266" i="7"/>
  <c r="AN266" i="7"/>
  <c r="AO266" i="7"/>
  <c r="AP266" i="7"/>
  <c r="AQ266" i="7"/>
  <c r="AR266" i="7"/>
  <c r="AS266" i="7"/>
  <c r="AT266" i="7"/>
  <c r="AU266" i="7"/>
  <c r="AV266" i="7"/>
  <c r="AW266" i="7"/>
  <c r="AX266" i="7"/>
  <c r="AY266" i="7"/>
  <c r="AZ266" i="7"/>
  <c r="BA266" i="7"/>
  <c r="BB266" i="7"/>
  <c r="A267" i="7"/>
  <c r="B267" i="7"/>
  <c r="C267" i="7"/>
  <c r="D267" i="7"/>
  <c r="E267" i="7"/>
  <c r="F267" i="7"/>
  <c r="G267" i="7"/>
  <c r="H267" i="7"/>
  <c r="I267" i="7"/>
  <c r="J267" i="7"/>
  <c r="K267" i="7"/>
  <c r="L267" i="7"/>
  <c r="M267" i="7"/>
  <c r="N267" i="7"/>
  <c r="O267" i="7"/>
  <c r="P267" i="7"/>
  <c r="Q267" i="7"/>
  <c r="R267" i="7"/>
  <c r="S267" i="7"/>
  <c r="T267" i="7"/>
  <c r="U267" i="7"/>
  <c r="V267" i="7"/>
  <c r="W267" i="7"/>
  <c r="X267" i="7"/>
  <c r="Y267" i="7"/>
  <c r="Z267" i="7"/>
  <c r="AA267" i="7"/>
  <c r="AB267" i="7"/>
  <c r="AC267" i="7"/>
  <c r="AD267" i="7"/>
  <c r="AE267" i="7"/>
  <c r="AF267" i="7"/>
  <c r="AG267" i="7"/>
  <c r="AH267" i="7"/>
  <c r="AI267" i="7"/>
  <c r="AJ267" i="7"/>
  <c r="AK267" i="7"/>
  <c r="AL267" i="7"/>
  <c r="AM267" i="7"/>
  <c r="AN267" i="7"/>
  <c r="AO267" i="7"/>
  <c r="AP267" i="7"/>
  <c r="AQ267" i="7"/>
  <c r="AR267" i="7"/>
  <c r="AS267" i="7"/>
  <c r="AT267" i="7"/>
  <c r="AU267" i="7"/>
  <c r="AV267" i="7"/>
  <c r="AW267" i="7"/>
  <c r="AX267" i="7"/>
  <c r="AY267" i="7"/>
  <c r="AZ267" i="7"/>
  <c r="BA267" i="7"/>
  <c r="BB267" i="7"/>
  <c r="A268" i="7"/>
  <c r="B268" i="7"/>
  <c r="C268" i="7"/>
  <c r="D268" i="7"/>
  <c r="E268" i="7"/>
  <c r="F268" i="7"/>
  <c r="G268" i="7"/>
  <c r="H268" i="7"/>
  <c r="I268" i="7"/>
  <c r="J268" i="7"/>
  <c r="K268" i="7"/>
  <c r="L268" i="7"/>
  <c r="M268" i="7"/>
  <c r="N268" i="7"/>
  <c r="O268" i="7"/>
  <c r="P268" i="7"/>
  <c r="Q268" i="7"/>
  <c r="R268" i="7"/>
  <c r="S268" i="7"/>
  <c r="T268" i="7"/>
  <c r="U268" i="7"/>
  <c r="V268" i="7"/>
  <c r="W268" i="7"/>
  <c r="X268" i="7"/>
  <c r="Y268" i="7"/>
  <c r="Z268" i="7"/>
  <c r="AA268" i="7"/>
  <c r="AB268" i="7"/>
  <c r="AC268" i="7"/>
  <c r="AD268" i="7"/>
  <c r="AE268" i="7"/>
  <c r="AF268" i="7"/>
  <c r="AG268" i="7"/>
  <c r="AH268" i="7"/>
  <c r="AI268" i="7"/>
  <c r="AJ268" i="7"/>
  <c r="AK268" i="7"/>
  <c r="AL268" i="7"/>
  <c r="AM268" i="7"/>
  <c r="AN268" i="7"/>
  <c r="AO268" i="7"/>
  <c r="AP268" i="7"/>
  <c r="AQ268" i="7"/>
  <c r="AR268" i="7"/>
  <c r="AS268" i="7"/>
  <c r="AT268" i="7"/>
  <c r="AU268" i="7"/>
  <c r="AV268" i="7"/>
  <c r="AW268" i="7"/>
  <c r="AX268" i="7"/>
  <c r="AY268" i="7"/>
  <c r="AZ268" i="7"/>
  <c r="BA268" i="7"/>
  <c r="BB268" i="7"/>
  <c r="A269" i="7"/>
  <c r="B269" i="7"/>
  <c r="C269" i="7"/>
  <c r="D269" i="7"/>
  <c r="E269" i="7"/>
  <c r="F269" i="7"/>
  <c r="G269" i="7"/>
  <c r="H269" i="7"/>
  <c r="I269" i="7"/>
  <c r="J269" i="7"/>
  <c r="K269" i="7"/>
  <c r="L269" i="7"/>
  <c r="M269" i="7"/>
  <c r="N269" i="7"/>
  <c r="O269" i="7"/>
  <c r="P269" i="7"/>
  <c r="Q269" i="7"/>
  <c r="R269" i="7"/>
  <c r="S269" i="7"/>
  <c r="T269" i="7"/>
  <c r="U269" i="7"/>
  <c r="V269" i="7"/>
  <c r="W269" i="7"/>
  <c r="X269" i="7"/>
  <c r="Y269" i="7"/>
  <c r="Z269" i="7"/>
  <c r="AA269" i="7"/>
  <c r="AB269" i="7"/>
  <c r="AC269" i="7"/>
  <c r="AD269" i="7"/>
  <c r="AE269" i="7"/>
  <c r="AF269" i="7"/>
  <c r="AG269" i="7"/>
  <c r="AH269" i="7"/>
  <c r="AI269" i="7"/>
  <c r="AJ269" i="7"/>
  <c r="AK269" i="7"/>
  <c r="AL269" i="7"/>
  <c r="AM269" i="7"/>
  <c r="AN269" i="7"/>
  <c r="AO269" i="7"/>
  <c r="AP269" i="7"/>
  <c r="AQ269" i="7"/>
  <c r="AR269" i="7"/>
  <c r="AS269" i="7"/>
  <c r="AT269" i="7"/>
  <c r="AU269" i="7"/>
  <c r="AV269" i="7"/>
  <c r="AW269" i="7"/>
  <c r="AX269" i="7"/>
  <c r="AY269" i="7"/>
  <c r="AZ269" i="7"/>
  <c r="BA269" i="7"/>
  <c r="BB269" i="7"/>
  <c r="A270" i="7"/>
  <c r="B270" i="7"/>
  <c r="C270" i="7"/>
  <c r="D270" i="7"/>
  <c r="E270" i="7"/>
  <c r="F270" i="7"/>
  <c r="G270" i="7"/>
  <c r="H270" i="7"/>
  <c r="I270" i="7"/>
  <c r="J270" i="7"/>
  <c r="K270" i="7"/>
  <c r="L270" i="7"/>
  <c r="M270" i="7"/>
  <c r="N270" i="7"/>
  <c r="O270" i="7"/>
  <c r="P270" i="7"/>
  <c r="Q270" i="7"/>
  <c r="R270" i="7"/>
  <c r="S270" i="7"/>
  <c r="T270" i="7"/>
  <c r="U270" i="7"/>
  <c r="V270" i="7"/>
  <c r="W270" i="7"/>
  <c r="X270" i="7"/>
  <c r="Y270" i="7"/>
  <c r="Z270" i="7"/>
  <c r="AA270" i="7"/>
  <c r="AB270" i="7"/>
  <c r="AC270" i="7"/>
  <c r="AD270" i="7"/>
  <c r="AE270" i="7"/>
  <c r="AF270" i="7"/>
  <c r="AG270" i="7"/>
  <c r="AH270" i="7"/>
  <c r="AI270" i="7"/>
  <c r="AJ270" i="7"/>
  <c r="AK270" i="7"/>
  <c r="AL270" i="7"/>
  <c r="AM270" i="7"/>
  <c r="AN270" i="7"/>
  <c r="AO270" i="7"/>
  <c r="AP270" i="7"/>
  <c r="AQ270" i="7"/>
  <c r="AR270" i="7"/>
  <c r="AS270" i="7"/>
  <c r="AT270" i="7"/>
  <c r="AU270" i="7"/>
  <c r="AV270" i="7"/>
  <c r="AW270" i="7"/>
  <c r="AX270" i="7"/>
  <c r="AY270" i="7"/>
  <c r="AZ270" i="7"/>
  <c r="BA270" i="7"/>
  <c r="BB270" i="7"/>
  <c r="A271" i="7"/>
  <c r="B271" i="7"/>
  <c r="C271" i="7"/>
  <c r="D271" i="7"/>
  <c r="E271" i="7"/>
  <c r="F271" i="7"/>
  <c r="G271" i="7"/>
  <c r="H271" i="7"/>
  <c r="I271" i="7"/>
  <c r="J271" i="7"/>
  <c r="K271" i="7"/>
  <c r="L271" i="7"/>
  <c r="M271" i="7"/>
  <c r="N271" i="7"/>
  <c r="O271" i="7"/>
  <c r="P271" i="7"/>
  <c r="Q271" i="7"/>
  <c r="R271" i="7"/>
  <c r="S271" i="7"/>
  <c r="T271" i="7"/>
  <c r="U271" i="7"/>
  <c r="V271" i="7"/>
  <c r="W271" i="7"/>
  <c r="X271" i="7"/>
  <c r="Y271" i="7"/>
  <c r="Z271" i="7"/>
  <c r="AA271" i="7"/>
  <c r="AB271" i="7"/>
  <c r="AC271" i="7"/>
  <c r="AD271" i="7"/>
  <c r="AE271" i="7"/>
  <c r="AF271" i="7"/>
  <c r="AG271" i="7"/>
  <c r="AH271" i="7"/>
  <c r="AI271" i="7"/>
  <c r="AJ271" i="7"/>
  <c r="AK271" i="7"/>
  <c r="AL271" i="7"/>
  <c r="AM271" i="7"/>
  <c r="AN271" i="7"/>
  <c r="AO271" i="7"/>
  <c r="AP271" i="7"/>
  <c r="AQ271" i="7"/>
  <c r="AR271" i="7"/>
  <c r="AS271" i="7"/>
  <c r="AT271" i="7"/>
  <c r="AU271" i="7"/>
  <c r="AV271" i="7"/>
  <c r="AW271" i="7"/>
  <c r="AX271" i="7"/>
  <c r="AY271" i="7"/>
  <c r="AZ271" i="7"/>
  <c r="BA271" i="7"/>
  <c r="BB271" i="7"/>
  <c r="A272" i="7"/>
  <c r="B272" i="7"/>
  <c r="C272" i="7"/>
  <c r="D272" i="7"/>
  <c r="E272" i="7"/>
  <c r="F272" i="7"/>
  <c r="G272" i="7"/>
  <c r="H272" i="7"/>
  <c r="I272" i="7"/>
  <c r="J272" i="7"/>
  <c r="K272" i="7"/>
  <c r="L272" i="7"/>
  <c r="M272" i="7"/>
  <c r="N272" i="7"/>
  <c r="O272" i="7"/>
  <c r="P272" i="7"/>
  <c r="Q272" i="7"/>
  <c r="R272" i="7"/>
  <c r="S272" i="7"/>
  <c r="T272" i="7"/>
  <c r="U272" i="7"/>
  <c r="V272" i="7"/>
  <c r="W272" i="7"/>
  <c r="X272" i="7"/>
  <c r="Y272" i="7"/>
  <c r="Z272" i="7"/>
  <c r="AA272" i="7"/>
  <c r="AB272" i="7"/>
  <c r="AC272" i="7"/>
  <c r="AD272" i="7"/>
  <c r="AE272" i="7"/>
  <c r="AF272" i="7"/>
  <c r="AG272" i="7"/>
  <c r="AH272" i="7"/>
  <c r="AI272" i="7"/>
  <c r="AJ272" i="7"/>
  <c r="AK272" i="7"/>
  <c r="AL272" i="7"/>
  <c r="AM272" i="7"/>
  <c r="AN272" i="7"/>
  <c r="AO272" i="7"/>
  <c r="AP272" i="7"/>
  <c r="AQ272" i="7"/>
  <c r="AR272" i="7"/>
  <c r="AS272" i="7"/>
  <c r="AT272" i="7"/>
  <c r="AU272" i="7"/>
  <c r="AV272" i="7"/>
  <c r="AW272" i="7"/>
  <c r="AX272" i="7"/>
  <c r="AY272" i="7"/>
  <c r="AZ272" i="7"/>
  <c r="BA272" i="7"/>
  <c r="BB272" i="7"/>
  <c r="A273" i="7"/>
  <c r="B273" i="7"/>
  <c r="C273" i="7"/>
  <c r="D273" i="7"/>
  <c r="E273" i="7"/>
  <c r="F273" i="7"/>
  <c r="G273" i="7"/>
  <c r="H273" i="7"/>
  <c r="I273" i="7"/>
  <c r="J273" i="7"/>
  <c r="K273" i="7"/>
  <c r="L273" i="7"/>
  <c r="M273" i="7"/>
  <c r="N273" i="7"/>
  <c r="O273" i="7"/>
  <c r="P273" i="7"/>
  <c r="Q273" i="7"/>
  <c r="R273" i="7"/>
  <c r="S273" i="7"/>
  <c r="T273" i="7"/>
  <c r="U273" i="7"/>
  <c r="V273" i="7"/>
  <c r="W273" i="7"/>
  <c r="X273" i="7"/>
  <c r="Y273" i="7"/>
  <c r="Z273" i="7"/>
  <c r="AA273" i="7"/>
  <c r="AB273" i="7"/>
  <c r="AC273" i="7"/>
  <c r="AD273" i="7"/>
  <c r="AE273" i="7"/>
  <c r="AF273" i="7"/>
  <c r="AG273" i="7"/>
  <c r="AH273" i="7"/>
  <c r="AI273" i="7"/>
  <c r="AJ273" i="7"/>
  <c r="AK273" i="7"/>
  <c r="AL273" i="7"/>
  <c r="AM273" i="7"/>
  <c r="AN273" i="7"/>
  <c r="AO273" i="7"/>
  <c r="AP273" i="7"/>
  <c r="AQ273" i="7"/>
  <c r="AR273" i="7"/>
  <c r="AS273" i="7"/>
  <c r="AT273" i="7"/>
  <c r="AU273" i="7"/>
  <c r="AV273" i="7"/>
  <c r="AW273" i="7"/>
  <c r="AX273" i="7"/>
  <c r="AY273" i="7"/>
  <c r="AZ273" i="7"/>
  <c r="BA273" i="7"/>
  <c r="BB273" i="7"/>
  <c r="A274" i="7"/>
  <c r="B274" i="7"/>
  <c r="C274" i="7"/>
  <c r="D274" i="7"/>
  <c r="E274" i="7"/>
  <c r="F274" i="7"/>
  <c r="G274" i="7"/>
  <c r="H274" i="7"/>
  <c r="I274" i="7"/>
  <c r="J274" i="7"/>
  <c r="K274" i="7"/>
  <c r="L274" i="7"/>
  <c r="M274" i="7"/>
  <c r="N274" i="7"/>
  <c r="O274" i="7"/>
  <c r="P274" i="7"/>
  <c r="Q274" i="7"/>
  <c r="R274" i="7"/>
  <c r="S274" i="7"/>
  <c r="T274" i="7"/>
  <c r="U274" i="7"/>
  <c r="V274" i="7"/>
  <c r="W274" i="7"/>
  <c r="X274" i="7"/>
  <c r="Y274" i="7"/>
  <c r="Z274" i="7"/>
  <c r="AA274" i="7"/>
  <c r="AB274" i="7"/>
  <c r="AC274" i="7"/>
  <c r="AD274" i="7"/>
  <c r="AE274" i="7"/>
  <c r="AF274" i="7"/>
  <c r="AG274" i="7"/>
  <c r="AH274" i="7"/>
  <c r="AI274" i="7"/>
  <c r="AJ274" i="7"/>
  <c r="AK274" i="7"/>
  <c r="AL274" i="7"/>
  <c r="AM274" i="7"/>
  <c r="AN274" i="7"/>
  <c r="AO274" i="7"/>
  <c r="AP274" i="7"/>
  <c r="AQ274" i="7"/>
  <c r="AR274" i="7"/>
  <c r="AS274" i="7"/>
  <c r="AT274" i="7"/>
  <c r="AU274" i="7"/>
  <c r="AV274" i="7"/>
  <c r="AW274" i="7"/>
  <c r="AX274" i="7"/>
  <c r="AY274" i="7"/>
  <c r="AZ274" i="7"/>
  <c r="BA274" i="7"/>
  <c r="BB274" i="7"/>
  <c r="A275" i="7"/>
  <c r="B275" i="7"/>
  <c r="C275" i="7"/>
  <c r="D275" i="7"/>
  <c r="E275" i="7"/>
  <c r="F275" i="7"/>
  <c r="G275" i="7"/>
  <c r="H275" i="7"/>
  <c r="I275" i="7"/>
  <c r="J275" i="7"/>
  <c r="K275" i="7"/>
  <c r="L275" i="7"/>
  <c r="M275" i="7"/>
  <c r="N275" i="7"/>
  <c r="O275" i="7"/>
  <c r="P275" i="7"/>
  <c r="Q275" i="7"/>
  <c r="R275" i="7"/>
  <c r="S275" i="7"/>
  <c r="T275" i="7"/>
  <c r="U275" i="7"/>
  <c r="V275" i="7"/>
  <c r="W275" i="7"/>
  <c r="X275" i="7"/>
  <c r="Y275" i="7"/>
  <c r="Z275" i="7"/>
  <c r="AA275" i="7"/>
  <c r="AB275" i="7"/>
  <c r="AC275" i="7"/>
  <c r="AD275" i="7"/>
  <c r="AE275" i="7"/>
  <c r="AF275" i="7"/>
  <c r="AG275" i="7"/>
  <c r="AH275" i="7"/>
  <c r="AI275" i="7"/>
  <c r="AJ275" i="7"/>
  <c r="AK275" i="7"/>
  <c r="AL275" i="7"/>
  <c r="AM275" i="7"/>
  <c r="AN275" i="7"/>
  <c r="AO275" i="7"/>
  <c r="AP275" i="7"/>
  <c r="AQ275" i="7"/>
  <c r="AR275" i="7"/>
  <c r="AS275" i="7"/>
  <c r="AT275" i="7"/>
  <c r="AU275" i="7"/>
  <c r="AV275" i="7"/>
  <c r="AW275" i="7"/>
  <c r="AX275" i="7"/>
  <c r="AY275" i="7"/>
  <c r="AZ275" i="7"/>
  <c r="BA275" i="7"/>
  <c r="BB275" i="7"/>
  <c r="A276" i="7"/>
  <c r="B276" i="7"/>
  <c r="C276" i="7"/>
  <c r="D276" i="7"/>
  <c r="E276" i="7"/>
  <c r="F276" i="7"/>
  <c r="G276" i="7"/>
  <c r="H276" i="7"/>
  <c r="I276" i="7"/>
  <c r="J276" i="7"/>
  <c r="K276" i="7"/>
  <c r="L276" i="7"/>
  <c r="M276" i="7"/>
  <c r="N276" i="7"/>
  <c r="O276" i="7"/>
  <c r="P276" i="7"/>
  <c r="Q276" i="7"/>
  <c r="R276" i="7"/>
  <c r="S276" i="7"/>
  <c r="T276" i="7"/>
  <c r="U276" i="7"/>
  <c r="V276" i="7"/>
  <c r="W276" i="7"/>
  <c r="X276" i="7"/>
  <c r="Y276" i="7"/>
  <c r="Z276" i="7"/>
  <c r="AA276" i="7"/>
  <c r="AB276" i="7"/>
  <c r="AC276" i="7"/>
  <c r="AD276" i="7"/>
  <c r="AE276" i="7"/>
  <c r="AF276" i="7"/>
  <c r="AG276" i="7"/>
  <c r="AH276" i="7"/>
  <c r="AI276" i="7"/>
  <c r="AJ276" i="7"/>
  <c r="AK276" i="7"/>
  <c r="AL276" i="7"/>
  <c r="AM276" i="7"/>
  <c r="AN276" i="7"/>
  <c r="AO276" i="7"/>
  <c r="AP276" i="7"/>
  <c r="AQ276" i="7"/>
  <c r="AR276" i="7"/>
  <c r="AS276" i="7"/>
  <c r="AT276" i="7"/>
  <c r="AU276" i="7"/>
  <c r="AV276" i="7"/>
  <c r="AW276" i="7"/>
  <c r="AX276" i="7"/>
  <c r="AY276" i="7"/>
  <c r="AZ276" i="7"/>
  <c r="BA276" i="7"/>
  <c r="BB276" i="7"/>
  <c r="A277" i="7"/>
  <c r="B277" i="7"/>
  <c r="C277" i="7"/>
  <c r="D277" i="7"/>
  <c r="E277" i="7"/>
  <c r="F277" i="7"/>
  <c r="G277" i="7"/>
  <c r="H277" i="7"/>
  <c r="I277" i="7"/>
  <c r="J277" i="7"/>
  <c r="K277" i="7"/>
  <c r="L277" i="7"/>
  <c r="M277" i="7"/>
  <c r="N277" i="7"/>
  <c r="O277" i="7"/>
  <c r="P277" i="7"/>
  <c r="Q277" i="7"/>
  <c r="R277" i="7"/>
  <c r="S277" i="7"/>
  <c r="T277" i="7"/>
  <c r="U277" i="7"/>
  <c r="V277" i="7"/>
  <c r="W277" i="7"/>
  <c r="X277" i="7"/>
  <c r="Y277" i="7"/>
  <c r="Z277" i="7"/>
  <c r="AA277" i="7"/>
  <c r="AB277" i="7"/>
  <c r="AC277" i="7"/>
  <c r="AD277" i="7"/>
  <c r="AE277" i="7"/>
  <c r="AF277" i="7"/>
  <c r="AG277" i="7"/>
  <c r="AH277" i="7"/>
  <c r="AI277" i="7"/>
  <c r="AJ277" i="7"/>
  <c r="AK277" i="7"/>
  <c r="AL277" i="7"/>
  <c r="AM277" i="7"/>
  <c r="AN277" i="7"/>
  <c r="AO277" i="7"/>
  <c r="AP277" i="7"/>
  <c r="AQ277" i="7"/>
  <c r="AR277" i="7"/>
  <c r="AS277" i="7"/>
  <c r="AT277" i="7"/>
  <c r="AU277" i="7"/>
  <c r="AV277" i="7"/>
  <c r="AW277" i="7"/>
  <c r="AX277" i="7"/>
  <c r="AY277" i="7"/>
  <c r="AZ277" i="7"/>
  <c r="BA277" i="7"/>
  <c r="BB277" i="7"/>
  <c r="A278" i="7"/>
  <c r="B278" i="7"/>
  <c r="C278" i="7"/>
  <c r="D278" i="7"/>
  <c r="E278" i="7"/>
  <c r="F278" i="7"/>
  <c r="G278" i="7"/>
  <c r="H278" i="7"/>
  <c r="I278" i="7"/>
  <c r="J278" i="7"/>
  <c r="K278" i="7"/>
  <c r="L278" i="7"/>
  <c r="M278" i="7"/>
  <c r="N278" i="7"/>
  <c r="O278" i="7"/>
  <c r="P278" i="7"/>
  <c r="Q278" i="7"/>
  <c r="R278" i="7"/>
  <c r="S278" i="7"/>
  <c r="T278" i="7"/>
  <c r="U278" i="7"/>
  <c r="V278" i="7"/>
  <c r="W278" i="7"/>
  <c r="X278" i="7"/>
  <c r="Y278" i="7"/>
  <c r="Z278" i="7"/>
  <c r="AA278" i="7"/>
  <c r="AB278" i="7"/>
  <c r="AC278" i="7"/>
  <c r="AD278" i="7"/>
  <c r="AE278" i="7"/>
  <c r="AF278" i="7"/>
  <c r="AG278" i="7"/>
  <c r="AH278" i="7"/>
  <c r="AI278" i="7"/>
  <c r="AJ278" i="7"/>
  <c r="AK278" i="7"/>
  <c r="AL278" i="7"/>
  <c r="AM278" i="7"/>
  <c r="AN278" i="7"/>
  <c r="AO278" i="7"/>
  <c r="AP278" i="7"/>
  <c r="AQ278" i="7"/>
  <c r="AR278" i="7"/>
  <c r="AS278" i="7"/>
  <c r="AT278" i="7"/>
  <c r="AU278" i="7"/>
  <c r="AV278" i="7"/>
  <c r="AW278" i="7"/>
  <c r="AX278" i="7"/>
  <c r="AY278" i="7"/>
  <c r="AZ278" i="7"/>
  <c r="BA278" i="7"/>
  <c r="BB278" i="7"/>
  <c r="A279" i="7"/>
  <c r="B279" i="7"/>
  <c r="C279" i="7"/>
  <c r="D279" i="7"/>
  <c r="E279" i="7"/>
  <c r="F279" i="7"/>
  <c r="G279" i="7"/>
  <c r="H279" i="7"/>
  <c r="I279" i="7"/>
  <c r="J279" i="7"/>
  <c r="K279" i="7"/>
  <c r="L279" i="7"/>
  <c r="M279" i="7"/>
  <c r="N279" i="7"/>
  <c r="O279" i="7"/>
  <c r="P279" i="7"/>
  <c r="Q279" i="7"/>
  <c r="R279" i="7"/>
  <c r="S279" i="7"/>
  <c r="T279" i="7"/>
  <c r="U279" i="7"/>
  <c r="V279" i="7"/>
  <c r="W279" i="7"/>
  <c r="X279" i="7"/>
  <c r="Y279" i="7"/>
  <c r="Z279" i="7"/>
  <c r="AA279" i="7"/>
  <c r="AB279" i="7"/>
  <c r="AC279" i="7"/>
  <c r="AD279" i="7"/>
  <c r="AE279" i="7"/>
  <c r="AF279" i="7"/>
  <c r="AG279" i="7"/>
  <c r="AH279" i="7"/>
  <c r="AI279" i="7"/>
  <c r="AJ279" i="7"/>
  <c r="AK279" i="7"/>
  <c r="AL279" i="7"/>
  <c r="AM279" i="7"/>
  <c r="AN279" i="7"/>
  <c r="AO279" i="7"/>
  <c r="AP279" i="7"/>
  <c r="AQ279" i="7"/>
  <c r="AR279" i="7"/>
  <c r="AS279" i="7"/>
  <c r="AT279" i="7"/>
  <c r="AU279" i="7"/>
  <c r="AV279" i="7"/>
  <c r="AW279" i="7"/>
  <c r="AX279" i="7"/>
  <c r="AY279" i="7"/>
  <c r="AZ279" i="7"/>
  <c r="BA279" i="7"/>
  <c r="BB279" i="7"/>
  <c r="A280" i="7"/>
  <c r="B280" i="7"/>
  <c r="C280" i="7"/>
  <c r="D280" i="7"/>
  <c r="E280" i="7"/>
  <c r="F280" i="7"/>
  <c r="G280" i="7"/>
  <c r="H280" i="7"/>
  <c r="I280" i="7"/>
  <c r="J280" i="7"/>
  <c r="K280" i="7"/>
  <c r="L280" i="7"/>
  <c r="M280" i="7"/>
  <c r="N280" i="7"/>
  <c r="O280" i="7"/>
  <c r="P280" i="7"/>
  <c r="Q280" i="7"/>
  <c r="R280" i="7"/>
  <c r="S280" i="7"/>
  <c r="T280" i="7"/>
  <c r="U280" i="7"/>
  <c r="V280" i="7"/>
  <c r="W280" i="7"/>
  <c r="X280" i="7"/>
  <c r="Y280" i="7"/>
  <c r="Z280" i="7"/>
  <c r="AA280" i="7"/>
  <c r="AB280" i="7"/>
  <c r="AC280" i="7"/>
  <c r="AD280" i="7"/>
  <c r="AE280" i="7"/>
  <c r="AF280" i="7"/>
  <c r="AG280" i="7"/>
  <c r="AH280" i="7"/>
  <c r="AI280" i="7"/>
  <c r="AJ280" i="7"/>
  <c r="AK280" i="7"/>
  <c r="AL280" i="7"/>
  <c r="AM280" i="7"/>
  <c r="AN280" i="7"/>
  <c r="AO280" i="7"/>
  <c r="AP280" i="7"/>
  <c r="AQ280" i="7"/>
  <c r="AR280" i="7"/>
  <c r="AS280" i="7"/>
  <c r="AT280" i="7"/>
  <c r="AU280" i="7"/>
  <c r="AV280" i="7"/>
  <c r="AW280" i="7"/>
  <c r="AX280" i="7"/>
  <c r="AY280" i="7"/>
  <c r="AZ280" i="7"/>
  <c r="BA280" i="7"/>
  <c r="BB280" i="7"/>
  <c r="A281" i="7"/>
  <c r="B281" i="7"/>
  <c r="C281" i="7"/>
  <c r="D281" i="7"/>
  <c r="E281" i="7"/>
  <c r="F281" i="7"/>
  <c r="G281" i="7"/>
  <c r="H281" i="7"/>
  <c r="I281" i="7"/>
  <c r="J281" i="7"/>
  <c r="K281" i="7"/>
  <c r="L281" i="7"/>
  <c r="M281" i="7"/>
  <c r="N281" i="7"/>
  <c r="O281" i="7"/>
  <c r="P281" i="7"/>
  <c r="Q281" i="7"/>
  <c r="R281" i="7"/>
  <c r="S281" i="7"/>
  <c r="T281" i="7"/>
  <c r="U281" i="7"/>
  <c r="V281" i="7"/>
  <c r="W281" i="7"/>
  <c r="X281" i="7"/>
  <c r="Y281" i="7"/>
  <c r="Z281" i="7"/>
  <c r="AA281" i="7"/>
  <c r="AB281" i="7"/>
  <c r="AC281" i="7"/>
  <c r="AD281" i="7"/>
  <c r="AE281" i="7"/>
  <c r="AF281" i="7"/>
  <c r="AG281" i="7"/>
  <c r="AH281" i="7"/>
  <c r="AI281" i="7"/>
  <c r="AJ281" i="7"/>
  <c r="AK281" i="7"/>
  <c r="AL281" i="7"/>
  <c r="AM281" i="7"/>
  <c r="AN281" i="7"/>
  <c r="AO281" i="7"/>
  <c r="AP281" i="7"/>
  <c r="AQ281" i="7"/>
  <c r="AR281" i="7"/>
  <c r="AS281" i="7"/>
  <c r="AT281" i="7"/>
  <c r="AU281" i="7"/>
  <c r="AV281" i="7"/>
  <c r="AW281" i="7"/>
  <c r="AX281" i="7"/>
  <c r="AY281" i="7"/>
  <c r="AZ281" i="7"/>
  <c r="BA281" i="7"/>
  <c r="BB281" i="7"/>
  <c r="A282" i="7"/>
  <c r="B282" i="7"/>
  <c r="C282" i="7"/>
  <c r="D282" i="7"/>
  <c r="E282" i="7"/>
  <c r="F282" i="7"/>
  <c r="G282" i="7"/>
  <c r="H282" i="7"/>
  <c r="I282" i="7"/>
  <c r="J282" i="7"/>
  <c r="K282" i="7"/>
  <c r="L282" i="7"/>
  <c r="M282" i="7"/>
  <c r="N282" i="7"/>
  <c r="O282" i="7"/>
  <c r="P282" i="7"/>
  <c r="Q282" i="7"/>
  <c r="R282" i="7"/>
  <c r="S282" i="7"/>
  <c r="T282" i="7"/>
  <c r="U282" i="7"/>
  <c r="V282" i="7"/>
  <c r="W282" i="7"/>
  <c r="X282" i="7"/>
  <c r="Y282" i="7"/>
  <c r="Z282" i="7"/>
  <c r="AA282" i="7"/>
  <c r="AB282" i="7"/>
  <c r="AC282" i="7"/>
  <c r="AD282" i="7"/>
  <c r="AE282" i="7"/>
  <c r="AF282" i="7"/>
  <c r="AG282" i="7"/>
  <c r="AH282" i="7"/>
  <c r="AI282" i="7"/>
  <c r="AJ282" i="7"/>
  <c r="AK282" i="7"/>
  <c r="AL282" i="7"/>
  <c r="AM282" i="7"/>
  <c r="AN282" i="7"/>
  <c r="AO282" i="7"/>
  <c r="AP282" i="7"/>
  <c r="AQ282" i="7"/>
  <c r="AR282" i="7"/>
  <c r="AS282" i="7"/>
  <c r="AT282" i="7"/>
  <c r="AU282" i="7"/>
  <c r="AV282" i="7"/>
  <c r="AW282" i="7"/>
  <c r="AX282" i="7"/>
  <c r="AY282" i="7"/>
  <c r="AZ282" i="7"/>
  <c r="BA282" i="7"/>
  <c r="BB282" i="7"/>
  <c r="A283" i="7"/>
  <c r="B283" i="7"/>
  <c r="C283" i="7"/>
  <c r="D283" i="7"/>
  <c r="E283" i="7"/>
  <c r="F283" i="7"/>
  <c r="G283" i="7"/>
  <c r="H283" i="7"/>
  <c r="I283" i="7"/>
  <c r="J283" i="7"/>
  <c r="K283" i="7"/>
  <c r="L283" i="7"/>
  <c r="M283" i="7"/>
  <c r="N283" i="7"/>
  <c r="O283" i="7"/>
  <c r="P283" i="7"/>
  <c r="Q283" i="7"/>
  <c r="R283" i="7"/>
  <c r="S283" i="7"/>
  <c r="T283" i="7"/>
  <c r="U283" i="7"/>
  <c r="V283" i="7"/>
  <c r="W283" i="7"/>
  <c r="X283" i="7"/>
  <c r="Y283" i="7"/>
  <c r="Z283" i="7"/>
  <c r="AA283" i="7"/>
  <c r="AB283" i="7"/>
  <c r="AC283" i="7"/>
  <c r="AD283" i="7"/>
  <c r="AE283" i="7"/>
  <c r="AF283" i="7"/>
  <c r="AG283" i="7"/>
  <c r="AH283" i="7"/>
  <c r="AI283" i="7"/>
  <c r="AJ283" i="7"/>
  <c r="AK283" i="7"/>
  <c r="AL283" i="7"/>
  <c r="AM283" i="7"/>
  <c r="AN283" i="7"/>
  <c r="AO283" i="7"/>
  <c r="AP283" i="7"/>
  <c r="AQ283" i="7"/>
  <c r="AR283" i="7"/>
  <c r="AS283" i="7"/>
  <c r="AT283" i="7"/>
  <c r="AU283" i="7"/>
  <c r="AV283" i="7"/>
  <c r="AW283" i="7"/>
  <c r="AX283" i="7"/>
  <c r="AY283" i="7"/>
  <c r="AZ283" i="7"/>
  <c r="BA283" i="7"/>
  <c r="BB283" i="7"/>
  <c r="A284" i="7"/>
  <c r="B284" i="7"/>
  <c r="C284" i="7"/>
  <c r="D284" i="7"/>
  <c r="E284" i="7"/>
  <c r="F284" i="7"/>
  <c r="G284" i="7"/>
  <c r="H284" i="7"/>
  <c r="I284" i="7"/>
  <c r="J284" i="7"/>
  <c r="K284" i="7"/>
  <c r="L284" i="7"/>
  <c r="M284" i="7"/>
  <c r="N284" i="7"/>
  <c r="O284" i="7"/>
  <c r="P284" i="7"/>
  <c r="Q284" i="7"/>
  <c r="R284" i="7"/>
  <c r="S284" i="7"/>
  <c r="T284" i="7"/>
  <c r="U284" i="7"/>
  <c r="V284" i="7"/>
  <c r="W284" i="7"/>
  <c r="X284" i="7"/>
  <c r="Y284" i="7"/>
  <c r="Z284" i="7"/>
  <c r="AA284" i="7"/>
  <c r="AB284" i="7"/>
  <c r="AC284" i="7"/>
  <c r="AD284" i="7"/>
  <c r="AE284" i="7"/>
  <c r="AF284" i="7"/>
  <c r="AG284" i="7"/>
  <c r="AH284" i="7"/>
  <c r="AI284" i="7"/>
  <c r="AJ284" i="7"/>
  <c r="AK284" i="7"/>
  <c r="AL284" i="7"/>
  <c r="AM284" i="7"/>
  <c r="AN284" i="7"/>
  <c r="AO284" i="7"/>
  <c r="AP284" i="7"/>
  <c r="AQ284" i="7"/>
  <c r="AR284" i="7"/>
  <c r="AS284" i="7"/>
  <c r="AT284" i="7"/>
  <c r="AU284" i="7"/>
  <c r="AV284" i="7"/>
  <c r="AW284" i="7"/>
  <c r="AX284" i="7"/>
  <c r="AY284" i="7"/>
  <c r="AZ284" i="7"/>
  <c r="BA284" i="7"/>
  <c r="BB284" i="7"/>
  <c r="A285" i="7"/>
  <c r="B285" i="7"/>
  <c r="C285" i="7"/>
  <c r="D285" i="7"/>
  <c r="E285" i="7"/>
  <c r="F285" i="7"/>
  <c r="G285" i="7"/>
  <c r="H285" i="7"/>
  <c r="I285" i="7"/>
  <c r="J285" i="7"/>
  <c r="K285" i="7"/>
  <c r="L285" i="7"/>
  <c r="M285" i="7"/>
  <c r="N285" i="7"/>
  <c r="O285" i="7"/>
  <c r="P285" i="7"/>
  <c r="Q285" i="7"/>
  <c r="R285" i="7"/>
  <c r="S285" i="7"/>
  <c r="T285" i="7"/>
  <c r="U285" i="7"/>
  <c r="V285" i="7"/>
  <c r="W285" i="7"/>
  <c r="X285" i="7"/>
  <c r="Y285" i="7"/>
  <c r="Z285" i="7"/>
  <c r="AA285" i="7"/>
  <c r="AB285" i="7"/>
  <c r="AC285" i="7"/>
  <c r="AD285" i="7"/>
  <c r="AE285" i="7"/>
  <c r="AF285" i="7"/>
  <c r="AG285" i="7"/>
  <c r="AH285" i="7"/>
  <c r="AI285" i="7"/>
  <c r="AJ285" i="7"/>
  <c r="AK285" i="7"/>
  <c r="AL285" i="7"/>
  <c r="AM285" i="7"/>
  <c r="AN285" i="7"/>
  <c r="AO285" i="7"/>
  <c r="AP285" i="7"/>
  <c r="AQ285" i="7"/>
  <c r="AR285" i="7"/>
  <c r="AS285" i="7"/>
  <c r="AT285" i="7"/>
  <c r="AU285" i="7"/>
  <c r="AV285" i="7"/>
  <c r="AW285" i="7"/>
  <c r="AX285" i="7"/>
  <c r="AY285" i="7"/>
  <c r="AZ285" i="7"/>
  <c r="BA285" i="7"/>
  <c r="BB285" i="7"/>
  <c r="A286" i="7"/>
  <c r="B286" i="7"/>
  <c r="C286" i="7"/>
  <c r="D286" i="7"/>
  <c r="E286" i="7"/>
  <c r="F286" i="7"/>
  <c r="G286" i="7"/>
  <c r="H286" i="7"/>
  <c r="I286" i="7"/>
  <c r="J286" i="7"/>
  <c r="K286" i="7"/>
  <c r="L286" i="7"/>
  <c r="M286" i="7"/>
  <c r="N286" i="7"/>
  <c r="O286" i="7"/>
  <c r="P286" i="7"/>
  <c r="Q286" i="7"/>
  <c r="R286" i="7"/>
  <c r="S286" i="7"/>
  <c r="T286" i="7"/>
  <c r="U286" i="7"/>
  <c r="V286" i="7"/>
  <c r="W286" i="7"/>
  <c r="X286" i="7"/>
  <c r="Y286" i="7"/>
  <c r="Z286" i="7"/>
  <c r="AA286" i="7"/>
  <c r="AB286" i="7"/>
  <c r="AC286" i="7"/>
  <c r="AD286" i="7"/>
  <c r="AE286" i="7"/>
  <c r="AF286" i="7"/>
  <c r="AG286" i="7"/>
  <c r="AH286" i="7"/>
  <c r="AI286" i="7"/>
  <c r="AJ286" i="7"/>
  <c r="AK286" i="7"/>
  <c r="AL286" i="7"/>
  <c r="AM286" i="7"/>
  <c r="AN286" i="7"/>
  <c r="AO286" i="7"/>
  <c r="AP286" i="7"/>
  <c r="AQ286" i="7"/>
  <c r="AR286" i="7"/>
  <c r="AS286" i="7"/>
  <c r="AT286" i="7"/>
  <c r="AU286" i="7"/>
  <c r="AV286" i="7"/>
  <c r="AW286" i="7"/>
  <c r="AX286" i="7"/>
  <c r="AY286" i="7"/>
  <c r="AZ286" i="7"/>
  <c r="BA286" i="7"/>
  <c r="BB286" i="7"/>
  <c r="A287" i="7"/>
  <c r="B287" i="7"/>
  <c r="C287" i="7"/>
  <c r="D287" i="7"/>
  <c r="E287" i="7"/>
  <c r="F287" i="7"/>
  <c r="G287" i="7"/>
  <c r="H287" i="7"/>
  <c r="I287" i="7"/>
  <c r="J287" i="7"/>
  <c r="K287" i="7"/>
  <c r="L287" i="7"/>
  <c r="M287" i="7"/>
  <c r="N287" i="7"/>
  <c r="O287" i="7"/>
  <c r="P287" i="7"/>
  <c r="Q287" i="7"/>
  <c r="R287" i="7"/>
  <c r="S287" i="7"/>
  <c r="T287" i="7"/>
  <c r="U287" i="7"/>
  <c r="V287" i="7"/>
  <c r="W287" i="7"/>
  <c r="X287" i="7"/>
  <c r="Y287" i="7"/>
  <c r="Z287" i="7"/>
  <c r="AA287" i="7"/>
  <c r="AB287" i="7"/>
  <c r="AC287" i="7"/>
  <c r="AD287" i="7"/>
  <c r="AE287" i="7"/>
  <c r="AF287" i="7"/>
  <c r="AG287" i="7"/>
  <c r="AH287" i="7"/>
  <c r="AI287" i="7"/>
  <c r="AJ287" i="7"/>
  <c r="AK287" i="7"/>
  <c r="AL287" i="7"/>
  <c r="AM287" i="7"/>
  <c r="AN287" i="7"/>
  <c r="AO287" i="7"/>
  <c r="AP287" i="7"/>
  <c r="AQ287" i="7"/>
  <c r="AR287" i="7"/>
  <c r="AS287" i="7"/>
  <c r="AT287" i="7"/>
  <c r="AU287" i="7"/>
  <c r="AV287" i="7"/>
  <c r="AW287" i="7"/>
  <c r="AX287" i="7"/>
  <c r="AY287" i="7"/>
  <c r="AZ287" i="7"/>
  <c r="BA287" i="7"/>
  <c r="BB287" i="7"/>
  <c r="A288" i="7"/>
  <c r="B288" i="7"/>
  <c r="C288" i="7"/>
  <c r="D288" i="7"/>
  <c r="E288" i="7"/>
  <c r="F288" i="7"/>
  <c r="G288" i="7"/>
  <c r="H288" i="7"/>
  <c r="I288" i="7"/>
  <c r="J288" i="7"/>
  <c r="K288" i="7"/>
  <c r="L288" i="7"/>
  <c r="M288" i="7"/>
  <c r="N288" i="7"/>
  <c r="O288" i="7"/>
  <c r="P288" i="7"/>
  <c r="Q288" i="7"/>
  <c r="R288" i="7"/>
  <c r="S288" i="7"/>
  <c r="T288" i="7"/>
  <c r="U288" i="7"/>
  <c r="V288" i="7"/>
  <c r="W288" i="7"/>
  <c r="X288" i="7"/>
  <c r="Y288" i="7"/>
  <c r="Z288" i="7"/>
  <c r="AA288" i="7"/>
  <c r="AB288" i="7"/>
  <c r="AC288" i="7"/>
  <c r="AD288" i="7"/>
  <c r="AE288" i="7"/>
  <c r="AF288" i="7"/>
  <c r="AG288" i="7"/>
  <c r="AH288" i="7"/>
  <c r="AI288" i="7"/>
  <c r="AJ288" i="7"/>
  <c r="AK288" i="7"/>
  <c r="AL288" i="7"/>
  <c r="AM288" i="7"/>
  <c r="AN288" i="7"/>
  <c r="AO288" i="7"/>
  <c r="AP288" i="7"/>
  <c r="AQ288" i="7"/>
  <c r="AR288" i="7"/>
  <c r="AS288" i="7"/>
  <c r="AT288" i="7"/>
  <c r="AU288" i="7"/>
  <c r="AV288" i="7"/>
  <c r="AW288" i="7"/>
  <c r="AX288" i="7"/>
  <c r="AY288" i="7"/>
  <c r="AZ288" i="7"/>
  <c r="BA288" i="7"/>
  <c r="BB288" i="7"/>
  <c r="A289" i="7"/>
  <c r="B289" i="7"/>
  <c r="C289" i="7"/>
  <c r="D289" i="7"/>
  <c r="E289" i="7"/>
  <c r="F289" i="7"/>
  <c r="G289" i="7"/>
  <c r="H289" i="7"/>
  <c r="I289" i="7"/>
  <c r="J289" i="7"/>
  <c r="K289" i="7"/>
  <c r="L289" i="7"/>
  <c r="M289" i="7"/>
  <c r="N289" i="7"/>
  <c r="O289" i="7"/>
  <c r="P289" i="7"/>
  <c r="Q289" i="7"/>
  <c r="R289" i="7"/>
  <c r="S289" i="7"/>
  <c r="T289" i="7"/>
  <c r="U289" i="7"/>
  <c r="V289" i="7"/>
  <c r="W289" i="7"/>
  <c r="X289" i="7"/>
  <c r="Y289" i="7"/>
  <c r="Z289" i="7"/>
  <c r="AA289" i="7"/>
  <c r="AB289" i="7"/>
  <c r="AC289" i="7"/>
  <c r="AD289" i="7"/>
  <c r="AE289" i="7"/>
  <c r="AF289" i="7"/>
  <c r="AG289" i="7"/>
  <c r="AH289" i="7"/>
  <c r="AI289" i="7"/>
  <c r="AJ289" i="7"/>
  <c r="AK289" i="7"/>
  <c r="AL289" i="7"/>
  <c r="AM289" i="7"/>
  <c r="AN289" i="7"/>
  <c r="AO289" i="7"/>
  <c r="AP289" i="7"/>
  <c r="AQ289" i="7"/>
  <c r="AR289" i="7"/>
  <c r="AS289" i="7"/>
  <c r="AT289" i="7"/>
  <c r="AU289" i="7"/>
  <c r="AV289" i="7"/>
  <c r="AW289" i="7"/>
  <c r="AX289" i="7"/>
  <c r="AY289" i="7"/>
  <c r="AZ289" i="7"/>
  <c r="BA289" i="7"/>
  <c r="BB289" i="7"/>
  <c r="A290" i="7"/>
  <c r="B290" i="7"/>
  <c r="C290" i="7"/>
  <c r="D290" i="7"/>
  <c r="E290" i="7"/>
  <c r="F290" i="7"/>
  <c r="G290" i="7"/>
  <c r="H290" i="7"/>
  <c r="I290" i="7"/>
  <c r="J290" i="7"/>
  <c r="K290" i="7"/>
  <c r="L290" i="7"/>
  <c r="M290" i="7"/>
  <c r="N290" i="7"/>
  <c r="O290" i="7"/>
  <c r="P290" i="7"/>
  <c r="Q290" i="7"/>
  <c r="R290" i="7"/>
  <c r="S290" i="7"/>
  <c r="T290" i="7"/>
  <c r="U290" i="7"/>
  <c r="V290" i="7"/>
  <c r="W290" i="7"/>
  <c r="X290" i="7"/>
  <c r="Y290" i="7"/>
  <c r="Z290" i="7"/>
  <c r="AA290" i="7"/>
  <c r="AB290" i="7"/>
  <c r="AC290" i="7"/>
  <c r="AD290" i="7"/>
  <c r="AE290" i="7"/>
  <c r="AF290" i="7"/>
  <c r="AG290" i="7"/>
  <c r="AH290" i="7"/>
  <c r="AI290" i="7"/>
  <c r="AJ290" i="7"/>
  <c r="AK290" i="7"/>
  <c r="AL290" i="7"/>
  <c r="AM290" i="7"/>
  <c r="AN290" i="7"/>
  <c r="AO290" i="7"/>
  <c r="AP290" i="7"/>
  <c r="AQ290" i="7"/>
  <c r="AR290" i="7"/>
  <c r="AS290" i="7"/>
  <c r="AT290" i="7"/>
  <c r="AU290" i="7"/>
  <c r="AV290" i="7"/>
  <c r="AW290" i="7"/>
  <c r="AX290" i="7"/>
  <c r="AY290" i="7"/>
  <c r="AZ290" i="7"/>
  <c r="BA290" i="7"/>
  <c r="BB290" i="7"/>
  <c r="A291" i="7"/>
  <c r="B291" i="7"/>
  <c r="C291" i="7"/>
  <c r="D291" i="7"/>
  <c r="E291" i="7"/>
  <c r="F291" i="7"/>
  <c r="G291" i="7"/>
  <c r="H291" i="7"/>
  <c r="I291" i="7"/>
  <c r="J291" i="7"/>
  <c r="K291" i="7"/>
  <c r="L291" i="7"/>
  <c r="M291" i="7"/>
  <c r="N291" i="7"/>
  <c r="O291" i="7"/>
  <c r="P291" i="7"/>
  <c r="Q291" i="7"/>
  <c r="R291" i="7"/>
  <c r="S291" i="7"/>
  <c r="T291" i="7"/>
  <c r="U291" i="7"/>
  <c r="V291" i="7"/>
  <c r="W291" i="7"/>
  <c r="X291" i="7"/>
  <c r="Y291" i="7"/>
  <c r="Z291" i="7"/>
  <c r="AA291" i="7"/>
  <c r="AB291" i="7"/>
  <c r="AC291" i="7"/>
  <c r="AD291" i="7"/>
  <c r="AE291" i="7"/>
  <c r="AF291" i="7"/>
  <c r="AG291" i="7"/>
  <c r="AH291" i="7"/>
  <c r="AI291" i="7"/>
  <c r="AJ291" i="7"/>
  <c r="AK291" i="7"/>
  <c r="AL291" i="7"/>
  <c r="AM291" i="7"/>
  <c r="AN291" i="7"/>
  <c r="AO291" i="7"/>
  <c r="AP291" i="7"/>
  <c r="AQ291" i="7"/>
  <c r="AR291" i="7"/>
  <c r="AS291" i="7"/>
  <c r="AT291" i="7"/>
  <c r="AU291" i="7"/>
  <c r="AV291" i="7"/>
  <c r="AW291" i="7"/>
  <c r="AX291" i="7"/>
  <c r="AY291" i="7"/>
  <c r="AZ291" i="7"/>
  <c r="BA291" i="7"/>
  <c r="BB291" i="7"/>
  <c r="A292" i="7"/>
  <c r="B292" i="7"/>
  <c r="C292" i="7"/>
  <c r="D292" i="7"/>
  <c r="E292" i="7"/>
  <c r="F292" i="7"/>
  <c r="G292" i="7"/>
  <c r="H292" i="7"/>
  <c r="I292" i="7"/>
  <c r="J292" i="7"/>
  <c r="K292" i="7"/>
  <c r="L292" i="7"/>
  <c r="M292" i="7"/>
  <c r="N292" i="7"/>
  <c r="O292" i="7"/>
  <c r="P292" i="7"/>
  <c r="Q292" i="7"/>
  <c r="R292" i="7"/>
  <c r="S292" i="7"/>
  <c r="T292" i="7"/>
  <c r="U292" i="7"/>
  <c r="V292" i="7"/>
  <c r="W292" i="7"/>
  <c r="X292" i="7"/>
  <c r="Y292" i="7"/>
  <c r="Z292" i="7"/>
  <c r="AA292" i="7"/>
  <c r="AB292" i="7"/>
  <c r="AC292" i="7"/>
  <c r="AD292" i="7"/>
  <c r="AE292" i="7"/>
  <c r="AF292" i="7"/>
  <c r="AG292" i="7"/>
  <c r="AH292" i="7"/>
  <c r="AI292" i="7"/>
  <c r="AJ292" i="7"/>
  <c r="AK292" i="7"/>
  <c r="AL292" i="7"/>
  <c r="AM292" i="7"/>
  <c r="AN292" i="7"/>
  <c r="AO292" i="7"/>
  <c r="AP292" i="7"/>
  <c r="AQ292" i="7"/>
  <c r="AR292" i="7"/>
  <c r="AS292" i="7"/>
  <c r="AT292" i="7"/>
  <c r="AU292" i="7"/>
  <c r="AV292" i="7"/>
  <c r="AW292" i="7"/>
  <c r="AX292" i="7"/>
  <c r="AY292" i="7"/>
  <c r="AZ292" i="7"/>
  <c r="BA292" i="7"/>
  <c r="BB292" i="7"/>
  <c r="A293" i="7"/>
  <c r="B293" i="7"/>
  <c r="C293" i="7"/>
  <c r="D293" i="7"/>
  <c r="E293" i="7"/>
  <c r="F293" i="7"/>
  <c r="G293" i="7"/>
  <c r="H293" i="7"/>
  <c r="I293" i="7"/>
  <c r="J293" i="7"/>
  <c r="K293" i="7"/>
  <c r="L293" i="7"/>
  <c r="M293" i="7"/>
  <c r="N293" i="7"/>
  <c r="O293" i="7"/>
  <c r="P293" i="7"/>
  <c r="Q293" i="7"/>
  <c r="R293" i="7"/>
  <c r="S293" i="7"/>
  <c r="T293" i="7"/>
  <c r="U293" i="7"/>
  <c r="V293" i="7"/>
  <c r="W293" i="7"/>
  <c r="X293" i="7"/>
  <c r="Y293" i="7"/>
  <c r="Z293" i="7"/>
  <c r="AA293" i="7"/>
  <c r="AB293" i="7"/>
  <c r="AC293" i="7"/>
  <c r="AD293" i="7"/>
  <c r="AE293" i="7"/>
  <c r="AF293" i="7"/>
  <c r="AG293" i="7"/>
  <c r="AH293" i="7"/>
  <c r="AI293" i="7"/>
  <c r="AJ293" i="7"/>
  <c r="AK293" i="7"/>
  <c r="AL293" i="7"/>
  <c r="AM293" i="7"/>
  <c r="AN293" i="7"/>
  <c r="AO293" i="7"/>
  <c r="AP293" i="7"/>
  <c r="AQ293" i="7"/>
  <c r="AR293" i="7"/>
  <c r="AS293" i="7"/>
  <c r="AT293" i="7"/>
  <c r="AU293" i="7"/>
  <c r="AV293" i="7"/>
  <c r="AW293" i="7"/>
  <c r="AX293" i="7"/>
  <c r="AY293" i="7"/>
  <c r="AZ293" i="7"/>
  <c r="BA293" i="7"/>
  <c r="BB293" i="7"/>
  <c r="A294" i="7"/>
  <c r="B294" i="7"/>
  <c r="C294" i="7"/>
  <c r="D294" i="7"/>
  <c r="E294" i="7"/>
  <c r="F294" i="7"/>
  <c r="G294" i="7"/>
  <c r="H294" i="7"/>
  <c r="I294" i="7"/>
  <c r="J294" i="7"/>
  <c r="K294" i="7"/>
  <c r="L294" i="7"/>
  <c r="M294" i="7"/>
  <c r="N294" i="7"/>
  <c r="O294" i="7"/>
  <c r="P294" i="7"/>
  <c r="Q294" i="7"/>
  <c r="R294" i="7"/>
  <c r="S294" i="7"/>
  <c r="T294" i="7"/>
  <c r="U294" i="7"/>
  <c r="V294" i="7"/>
  <c r="W294" i="7"/>
  <c r="X294" i="7"/>
  <c r="Y294" i="7"/>
  <c r="Z294" i="7"/>
  <c r="AA294" i="7"/>
  <c r="AB294" i="7"/>
  <c r="AC294" i="7"/>
  <c r="AD294" i="7"/>
  <c r="AE294" i="7"/>
  <c r="AF294" i="7"/>
  <c r="AG294" i="7"/>
  <c r="AH294" i="7"/>
  <c r="AI294" i="7"/>
  <c r="AJ294" i="7"/>
  <c r="AK294" i="7"/>
  <c r="AL294" i="7"/>
  <c r="AM294" i="7"/>
  <c r="AN294" i="7"/>
  <c r="AO294" i="7"/>
  <c r="AP294" i="7"/>
  <c r="AQ294" i="7"/>
  <c r="AR294" i="7"/>
  <c r="AS294" i="7"/>
  <c r="AT294" i="7"/>
  <c r="AU294" i="7"/>
  <c r="AV294" i="7"/>
  <c r="AW294" i="7"/>
  <c r="AX294" i="7"/>
  <c r="AY294" i="7"/>
  <c r="AZ294" i="7"/>
  <c r="BA294" i="7"/>
  <c r="BB294" i="7"/>
  <c r="A295" i="7"/>
  <c r="B295" i="7"/>
  <c r="C295" i="7"/>
  <c r="D295" i="7"/>
  <c r="E295" i="7"/>
  <c r="F295" i="7"/>
  <c r="G295" i="7"/>
  <c r="H295" i="7"/>
  <c r="I295" i="7"/>
  <c r="J295" i="7"/>
  <c r="K295" i="7"/>
  <c r="L295" i="7"/>
  <c r="M295" i="7"/>
  <c r="N295" i="7"/>
  <c r="O295" i="7"/>
  <c r="P295" i="7"/>
  <c r="Q295" i="7"/>
  <c r="R295" i="7"/>
  <c r="S295" i="7"/>
  <c r="T295" i="7"/>
  <c r="U295" i="7"/>
  <c r="V295" i="7"/>
  <c r="W295" i="7"/>
  <c r="X295" i="7"/>
  <c r="Y295" i="7"/>
  <c r="Z295" i="7"/>
  <c r="AA295" i="7"/>
  <c r="AB295" i="7"/>
  <c r="AC295" i="7"/>
  <c r="AD295" i="7"/>
  <c r="AE295" i="7"/>
  <c r="AF295" i="7"/>
  <c r="AG295" i="7"/>
  <c r="AH295" i="7"/>
  <c r="AI295" i="7"/>
  <c r="AJ295" i="7"/>
  <c r="AK295" i="7"/>
  <c r="AL295" i="7"/>
  <c r="AM295" i="7"/>
  <c r="AN295" i="7"/>
  <c r="AO295" i="7"/>
  <c r="AP295" i="7"/>
  <c r="AQ295" i="7"/>
  <c r="AR295" i="7"/>
  <c r="AS295" i="7"/>
  <c r="AT295" i="7"/>
  <c r="AU295" i="7"/>
  <c r="AV295" i="7"/>
  <c r="AW295" i="7"/>
  <c r="AX295" i="7"/>
  <c r="AY295" i="7"/>
  <c r="AZ295" i="7"/>
  <c r="BA295" i="7"/>
  <c r="BB295" i="7"/>
  <c r="A296" i="7"/>
  <c r="B296" i="7"/>
  <c r="C296" i="7"/>
  <c r="D296" i="7"/>
  <c r="E296" i="7"/>
  <c r="F296" i="7"/>
  <c r="G296" i="7"/>
  <c r="H296" i="7"/>
  <c r="I296" i="7"/>
  <c r="J296" i="7"/>
  <c r="K296" i="7"/>
  <c r="L296" i="7"/>
  <c r="M296" i="7"/>
  <c r="N296" i="7"/>
  <c r="O296" i="7"/>
  <c r="P296" i="7"/>
  <c r="Q296" i="7"/>
  <c r="R296" i="7"/>
  <c r="S296" i="7"/>
  <c r="T296" i="7"/>
  <c r="U296" i="7"/>
  <c r="V296" i="7"/>
  <c r="W296" i="7"/>
  <c r="X296" i="7"/>
  <c r="Y296" i="7"/>
  <c r="Z296" i="7"/>
  <c r="AA296" i="7"/>
  <c r="AB296" i="7"/>
  <c r="AC296" i="7"/>
  <c r="AD296" i="7"/>
  <c r="AE296" i="7"/>
  <c r="AF296" i="7"/>
  <c r="AG296" i="7"/>
  <c r="AH296" i="7"/>
  <c r="AI296" i="7"/>
  <c r="AJ296" i="7"/>
  <c r="AK296" i="7"/>
  <c r="AL296" i="7"/>
  <c r="AM296" i="7"/>
  <c r="AN296" i="7"/>
  <c r="AO296" i="7"/>
  <c r="AP296" i="7"/>
  <c r="AQ296" i="7"/>
  <c r="AR296" i="7"/>
  <c r="AS296" i="7"/>
  <c r="AT296" i="7"/>
  <c r="AU296" i="7"/>
  <c r="AV296" i="7"/>
  <c r="AW296" i="7"/>
  <c r="AX296" i="7"/>
  <c r="AY296" i="7"/>
  <c r="AZ296" i="7"/>
  <c r="BA296" i="7"/>
  <c r="BB296" i="7"/>
  <c r="A297" i="7"/>
  <c r="B297" i="7"/>
  <c r="C297" i="7"/>
  <c r="D297" i="7"/>
  <c r="E297" i="7"/>
  <c r="F297" i="7"/>
  <c r="G297" i="7"/>
  <c r="H297" i="7"/>
  <c r="I297" i="7"/>
  <c r="J297" i="7"/>
  <c r="K297" i="7"/>
  <c r="L297" i="7"/>
  <c r="M297" i="7"/>
  <c r="N297" i="7"/>
  <c r="O297" i="7"/>
  <c r="P297" i="7"/>
  <c r="Q297" i="7"/>
  <c r="R297" i="7"/>
  <c r="S297" i="7"/>
  <c r="T297" i="7"/>
  <c r="U297" i="7"/>
  <c r="V297" i="7"/>
  <c r="W297" i="7"/>
  <c r="X297" i="7"/>
  <c r="Y297" i="7"/>
  <c r="Z297" i="7"/>
  <c r="AA297" i="7"/>
  <c r="AB297" i="7"/>
  <c r="AC297" i="7"/>
  <c r="AD297" i="7"/>
  <c r="AE297" i="7"/>
  <c r="AF297" i="7"/>
  <c r="AG297" i="7"/>
  <c r="AH297" i="7"/>
  <c r="AI297" i="7"/>
  <c r="AJ297" i="7"/>
  <c r="AK297" i="7"/>
  <c r="AL297" i="7"/>
  <c r="AM297" i="7"/>
  <c r="AN297" i="7"/>
  <c r="AO297" i="7"/>
  <c r="AP297" i="7"/>
  <c r="AQ297" i="7"/>
  <c r="AR297" i="7"/>
  <c r="AS297" i="7"/>
  <c r="AT297" i="7"/>
  <c r="AU297" i="7"/>
  <c r="AV297" i="7"/>
  <c r="AW297" i="7"/>
  <c r="AX297" i="7"/>
  <c r="AY297" i="7"/>
  <c r="AZ297" i="7"/>
  <c r="BA297" i="7"/>
  <c r="BB297" i="7"/>
  <c r="A298" i="7"/>
  <c r="B298" i="7"/>
  <c r="C298" i="7"/>
  <c r="D298" i="7"/>
  <c r="E298" i="7"/>
  <c r="F298" i="7"/>
  <c r="G298" i="7"/>
  <c r="H298" i="7"/>
  <c r="I298" i="7"/>
  <c r="J298" i="7"/>
  <c r="K298" i="7"/>
  <c r="L298" i="7"/>
  <c r="M298" i="7"/>
  <c r="N298" i="7"/>
  <c r="O298" i="7"/>
  <c r="P298" i="7"/>
  <c r="Q298" i="7"/>
  <c r="R298" i="7"/>
  <c r="S298" i="7"/>
  <c r="T298" i="7"/>
  <c r="U298" i="7"/>
  <c r="V298" i="7"/>
  <c r="W298" i="7"/>
  <c r="X298" i="7"/>
  <c r="Y298" i="7"/>
  <c r="Z298" i="7"/>
  <c r="AA298" i="7"/>
  <c r="AB298" i="7"/>
  <c r="AC298" i="7"/>
  <c r="AD298" i="7"/>
  <c r="AE298" i="7"/>
  <c r="AF298" i="7"/>
  <c r="AG298" i="7"/>
  <c r="AH298" i="7"/>
  <c r="AI298" i="7"/>
  <c r="AJ298" i="7"/>
  <c r="AK298" i="7"/>
  <c r="AL298" i="7"/>
  <c r="AM298" i="7"/>
  <c r="AN298" i="7"/>
  <c r="AO298" i="7"/>
  <c r="AP298" i="7"/>
  <c r="AQ298" i="7"/>
  <c r="AR298" i="7"/>
  <c r="AS298" i="7"/>
  <c r="AT298" i="7"/>
  <c r="AU298" i="7"/>
  <c r="AV298" i="7"/>
  <c r="AW298" i="7"/>
  <c r="AX298" i="7"/>
  <c r="AY298" i="7"/>
  <c r="AZ298" i="7"/>
  <c r="BA298" i="7"/>
  <c r="BB298" i="7"/>
  <c r="A299" i="7"/>
  <c r="B299" i="7"/>
  <c r="C299" i="7"/>
  <c r="D299" i="7"/>
  <c r="E299" i="7"/>
  <c r="F299" i="7"/>
  <c r="G299" i="7"/>
  <c r="H299" i="7"/>
  <c r="I299" i="7"/>
  <c r="J299" i="7"/>
  <c r="K299" i="7"/>
  <c r="L299" i="7"/>
  <c r="M299" i="7"/>
  <c r="N299" i="7"/>
  <c r="O299" i="7"/>
  <c r="P299" i="7"/>
  <c r="Q299" i="7"/>
  <c r="R299" i="7"/>
  <c r="S299" i="7"/>
  <c r="T299" i="7"/>
  <c r="U299" i="7"/>
  <c r="V299" i="7"/>
  <c r="W299" i="7"/>
  <c r="X299" i="7"/>
  <c r="Y299" i="7"/>
  <c r="Z299" i="7"/>
  <c r="AA299" i="7"/>
  <c r="AB299" i="7"/>
  <c r="AC299" i="7"/>
  <c r="AD299" i="7"/>
  <c r="AE299" i="7"/>
  <c r="AF299" i="7"/>
  <c r="AG299" i="7"/>
  <c r="AH299" i="7"/>
  <c r="AI299" i="7"/>
  <c r="AJ299" i="7"/>
  <c r="AK299" i="7"/>
  <c r="AL299" i="7"/>
  <c r="AM299" i="7"/>
  <c r="AN299" i="7"/>
  <c r="AO299" i="7"/>
  <c r="AP299" i="7"/>
  <c r="AQ299" i="7"/>
  <c r="AR299" i="7"/>
  <c r="AS299" i="7"/>
  <c r="AT299" i="7"/>
  <c r="AU299" i="7"/>
  <c r="AV299" i="7"/>
  <c r="AW299" i="7"/>
  <c r="AX299" i="7"/>
  <c r="AY299" i="7"/>
  <c r="AZ299" i="7"/>
  <c r="BA299" i="7"/>
  <c r="BB299" i="7"/>
  <c r="A300" i="7"/>
  <c r="B300" i="7"/>
  <c r="C300" i="7"/>
  <c r="D300" i="7"/>
  <c r="E300" i="7"/>
  <c r="F300" i="7"/>
  <c r="G300" i="7"/>
  <c r="H300" i="7"/>
  <c r="I300" i="7"/>
  <c r="J300" i="7"/>
  <c r="K300" i="7"/>
  <c r="L300" i="7"/>
  <c r="M300" i="7"/>
  <c r="N300" i="7"/>
  <c r="O300" i="7"/>
  <c r="P300" i="7"/>
  <c r="Q300" i="7"/>
  <c r="R300" i="7"/>
  <c r="S300" i="7"/>
  <c r="T300" i="7"/>
  <c r="U300" i="7"/>
  <c r="V300" i="7"/>
  <c r="W300" i="7"/>
  <c r="X300" i="7"/>
  <c r="Y300" i="7"/>
  <c r="Z300" i="7"/>
  <c r="AA300" i="7"/>
  <c r="AB300" i="7"/>
  <c r="AC300" i="7"/>
  <c r="AD300" i="7"/>
  <c r="AE300" i="7"/>
  <c r="AF300" i="7"/>
  <c r="AG300" i="7"/>
  <c r="AH300" i="7"/>
  <c r="AI300" i="7"/>
  <c r="AJ300" i="7"/>
  <c r="AK300" i="7"/>
  <c r="AL300" i="7"/>
  <c r="AM300" i="7"/>
  <c r="AN300" i="7"/>
  <c r="AO300" i="7"/>
  <c r="AP300" i="7"/>
  <c r="AQ300" i="7"/>
  <c r="AR300" i="7"/>
  <c r="AS300" i="7"/>
  <c r="AT300" i="7"/>
  <c r="AU300" i="7"/>
  <c r="AV300" i="7"/>
  <c r="AW300" i="7"/>
  <c r="AX300" i="7"/>
  <c r="AY300" i="7"/>
  <c r="AZ300" i="7"/>
  <c r="BA300" i="7"/>
  <c r="BB300" i="7"/>
  <c r="A301" i="7"/>
  <c r="B301" i="7"/>
  <c r="C301" i="7"/>
  <c r="D301" i="7"/>
  <c r="E301" i="7"/>
  <c r="F301" i="7"/>
  <c r="G301" i="7"/>
  <c r="H301" i="7"/>
  <c r="I301" i="7"/>
  <c r="J301" i="7"/>
  <c r="K301" i="7"/>
  <c r="L301" i="7"/>
  <c r="M301" i="7"/>
  <c r="N301" i="7"/>
  <c r="O301" i="7"/>
  <c r="P301" i="7"/>
  <c r="Q301" i="7"/>
  <c r="R301" i="7"/>
  <c r="S301" i="7"/>
  <c r="T301" i="7"/>
  <c r="U301" i="7"/>
  <c r="V301" i="7"/>
  <c r="W301" i="7"/>
  <c r="X301" i="7"/>
  <c r="Y301" i="7"/>
  <c r="Z301" i="7"/>
  <c r="AA301" i="7"/>
  <c r="AB301" i="7"/>
  <c r="AC301" i="7"/>
  <c r="AD301" i="7"/>
  <c r="AE301" i="7"/>
  <c r="AF301" i="7"/>
  <c r="AG301" i="7"/>
  <c r="AH301" i="7"/>
  <c r="AI301" i="7"/>
  <c r="AJ301" i="7"/>
  <c r="AK301" i="7"/>
  <c r="AL301" i="7"/>
  <c r="AM301" i="7"/>
  <c r="AN301" i="7"/>
  <c r="AO301" i="7"/>
  <c r="AP301" i="7"/>
  <c r="AQ301" i="7"/>
  <c r="AR301" i="7"/>
  <c r="AS301" i="7"/>
  <c r="AT301" i="7"/>
  <c r="AU301" i="7"/>
  <c r="AV301" i="7"/>
  <c r="AW301" i="7"/>
  <c r="AX301" i="7"/>
  <c r="AY301" i="7"/>
  <c r="AZ301" i="7"/>
  <c r="BA301" i="7"/>
  <c r="BB301" i="7"/>
  <c r="A302" i="7"/>
  <c r="B302" i="7"/>
  <c r="C302" i="7"/>
  <c r="D302" i="7"/>
  <c r="E302" i="7"/>
  <c r="F302" i="7"/>
  <c r="G302" i="7"/>
  <c r="H302" i="7"/>
  <c r="I302" i="7"/>
  <c r="J302" i="7"/>
  <c r="K302" i="7"/>
  <c r="L302" i="7"/>
  <c r="M302" i="7"/>
  <c r="N302" i="7"/>
  <c r="O302" i="7"/>
  <c r="P302" i="7"/>
  <c r="Q302" i="7"/>
  <c r="R302" i="7"/>
  <c r="S302" i="7"/>
  <c r="T302" i="7"/>
  <c r="U302" i="7"/>
  <c r="V302" i="7"/>
  <c r="W302" i="7"/>
  <c r="X302" i="7"/>
  <c r="Y302" i="7"/>
  <c r="Z302" i="7"/>
  <c r="AA302" i="7"/>
  <c r="AB302" i="7"/>
  <c r="AC302" i="7"/>
  <c r="AD302" i="7"/>
  <c r="AE302" i="7"/>
  <c r="AF302" i="7"/>
  <c r="AG302" i="7"/>
  <c r="AH302" i="7"/>
  <c r="AI302" i="7"/>
  <c r="AJ302" i="7"/>
  <c r="AK302" i="7"/>
  <c r="AL302" i="7"/>
  <c r="AM302" i="7"/>
  <c r="AN302" i="7"/>
  <c r="AO302" i="7"/>
  <c r="AP302" i="7"/>
  <c r="AQ302" i="7"/>
  <c r="AR302" i="7"/>
  <c r="AS302" i="7"/>
  <c r="AT302" i="7"/>
  <c r="AU302" i="7"/>
  <c r="AV302" i="7"/>
  <c r="AW302" i="7"/>
  <c r="AX302" i="7"/>
  <c r="AY302" i="7"/>
  <c r="AZ302" i="7"/>
  <c r="BA302" i="7"/>
  <c r="BB302" i="7"/>
  <c r="A303" i="7"/>
  <c r="B303" i="7"/>
  <c r="C303" i="7"/>
  <c r="D303" i="7"/>
  <c r="E303" i="7"/>
  <c r="F303" i="7"/>
  <c r="G303" i="7"/>
  <c r="H303" i="7"/>
  <c r="I303" i="7"/>
  <c r="J303" i="7"/>
  <c r="K303" i="7"/>
  <c r="L303" i="7"/>
  <c r="M303" i="7"/>
  <c r="N303" i="7"/>
  <c r="O303" i="7"/>
  <c r="P303" i="7"/>
  <c r="Q303" i="7"/>
  <c r="R303" i="7"/>
  <c r="S303" i="7"/>
  <c r="T303" i="7"/>
  <c r="U303" i="7"/>
  <c r="V303" i="7"/>
  <c r="W303" i="7"/>
  <c r="X303" i="7"/>
  <c r="Y303" i="7"/>
  <c r="Z303" i="7"/>
  <c r="AA303" i="7"/>
  <c r="AB303" i="7"/>
  <c r="AC303" i="7"/>
  <c r="AD303" i="7"/>
  <c r="AE303" i="7"/>
  <c r="AF303" i="7"/>
  <c r="AG303" i="7"/>
  <c r="AH303" i="7"/>
  <c r="AI303" i="7"/>
  <c r="AJ303" i="7"/>
  <c r="AK303" i="7"/>
  <c r="AL303" i="7"/>
  <c r="AM303" i="7"/>
  <c r="AN303" i="7"/>
  <c r="AO303" i="7"/>
  <c r="AP303" i="7"/>
  <c r="AQ303" i="7"/>
  <c r="AR303" i="7"/>
  <c r="AS303" i="7"/>
  <c r="AT303" i="7"/>
  <c r="AU303" i="7"/>
  <c r="AV303" i="7"/>
  <c r="AW303" i="7"/>
  <c r="AX303" i="7"/>
  <c r="AY303" i="7"/>
  <c r="AZ303" i="7"/>
  <c r="BA303" i="7"/>
  <c r="BB303" i="7"/>
  <c r="A304" i="7"/>
  <c r="B304" i="7"/>
  <c r="C304" i="7"/>
  <c r="D304" i="7"/>
  <c r="E304" i="7"/>
  <c r="F304" i="7"/>
  <c r="G304" i="7"/>
  <c r="H304" i="7"/>
  <c r="I304" i="7"/>
  <c r="J304" i="7"/>
  <c r="K304" i="7"/>
  <c r="L304" i="7"/>
  <c r="M304" i="7"/>
  <c r="N304" i="7"/>
  <c r="O304" i="7"/>
  <c r="P304" i="7"/>
  <c r="Q304" i="7"/>
  <c r="R304" i="7"/>
  <c r="S304" i="7"/>
  <c r="T304" i="7"/>
  <c r="U304" i="7"/>
  <c r="V304" i="7"/>
  <c r="W304" i="7"/>
  <c r="X304" i="7"/>
  <c r="Y304" i="7"/>
  <c r="Z304" i="7"/>
  <c r="AA304" i="7"/>
  <c r="AB304" i="7"/>
  <c r="AC304" i="7"/>
  <c r="AD304" i="7"/>
  <c r="AE304" i="7"/>
  <c r="AF304" i="7"/>
  <c r="AG304" i="7"/>
  <c r="AH304" i="7"/>
  <c r="AI304" i="7"/>
  <c r="AJ304" i="7"/>
  <c r="AK304" i="7"/>
  <c r="AL304" i="7"/>
  <c r="AM304" i="7"/>
  <c r="AN304" i="7"/>
  <c r="AO304" i="7"/>
  <c r="AP304" i="7"/>
  <c r="AQ304" i="7"/>
  <c r="AR304" i="7"/>
  <c r="AS304" i="7"/>
  <c r="AT304" i="7"/>
  <c r="AU304" i="7"/>
  <c r="AV304" i="7"/>
  <c r="AW304" i="7"/>
  <c r="AX304" i="7"/>
  <c r="AY304" i="7"/>
  <c r="AZ304" i="7"/>
  <c r="BA304" i="7"/>
  <c r="BB304" i="7"/>
  <c r="A305" i="7"/>
  <c r="B305" i="7"/>
  <c r="C305" i="7"/>
  <c r="D305" i="7"/>
  <c r="E305" i="7"/>
  <c r="F305" i="7"/>
  <c r="G305" i="7"/>
  <c r="H305" i="7"/>
  <c r="I305" i="7"/>
  <c r="J305" i="7"/>
  <c r="K305" i="7"/>
  <c r="L305" i="7"/>
  <c r="M305" i="7"/>
  <c r="N305" i="7"/>
  <c r="O305" i="7"/>
  <c r="P305" i="7"/>
  <c r="Q305" i="7"/>
  <c r="R305" i="7"/>
  <c r="S305" i="7"/>
  <c r="T305" i="7"/>
  <c r="U305" i="7"/>
  <c r="V305" i="7"/>
  <c r="W305" i="7"/>
  <c r="X305" i="7"/>
  <c r="Y305" i="7"/>
  <c r="Z305" i="7"/>
  <c r="AA305" i="7"/>
  <c r="AB305" i="7"/>
  <c r="AC305" i="7"/>
  <c r="AD305" i="7"/>
  <c r="AE305" i="7"/>
  <c r="AF305" i="7"/>
  <c r="AG305" i="7"/>
  <c r="AH305" i="7"/>
  <c r="AI305" i="7"/>
  <c r="AJ305" i="7"/>
  <c r="AK305" i="7"/>
  <c r="AL305" i="7"/>
  <c r="AM305" i="7"/>
  <c r="AN305" i="7"/>
  <c r="AO305" i="7"/>
  <c r="AP305" i="7"/>
  <c r="AQ305" i="7"/>
  <c r="AR305" i="7"/>
  <c r="AS305" i="7"/>
  <c r="AT305" i="7"/>
  <c r="AU305" i="7"/>
  <c r="AV305" i="7"/>
  <c r="AW305" i="7"/>
  <c r="AX305" i="7"/>
  <c r="AY305" i="7"/>
  <c r="AZ305" i="7"/>
  <c r="BA305" i="7"/>
  <c r="BB305" i="7"/>
  <c r="A306" i="7"/>
  <c r="B306" i="7"/>
  <c r="C306" i="7"/>
  <c r="D306" i="7"/>
  <c r="E306" i="7"/>
  <c r="F306" i="7"/>
  <c r="G306" i="7"/>
  <c r="H306" i="7"/>
  <c r="I306" i="7"/>
  <c r="J306" i="7"/>
  <c r="K306" i="7"/>
  <c r="L306" i="7"/>
  <c r="M306" i="7"/>
  <c r="N306" i="7"/>
  <c r="O306" i="7"/>
  <c r="P306" i="7"/>
  <c r="Q306" i="7"/>
  <c r="R306" i="7"/>
  <c r="S306" i="7"/>
  <c r="T306" i="7"/>
  <c r="U306" i="7"/>
  <c r="V306" i="7"/>
  <c r="W306" i="7"/>
  <c r="X306" i="7"/>
  <c r="Y306" i="7"/>
  <c r="Z306" i="7"/>
  <c r="AA306" i="7"/>
  <c r="AB306" i="7"/>
  <c r="AC306" i="7"/>
  <c r="AD306" i="7"/>
  <c r="AE306" i="7"/>
  <c r="AF306" i="7"/>
  <c r="AG306" i="7"/>
  <c r="AH306" i="7"/>
  <c r="AI306" i="7"/>
  <c r="AJ306" i="7"/>
  <c r="AK306" i="7"/>
  <c r="AL306" i="7"/>
  <c r="AM306" i="7"/>
  <c r="AN306" i="7"/>
  <c r="AO306" i="7"/>
  <c r="AP306" i="7"/>
  <c r="AQ306" i="7"/>
  <c r="AR306" i="7"/>
  <c r="AS306" i="7"/>
  <c r="AT306" i="7"/>
  <c r="AU306" i="7"/>
  <c r="AV306" i="7"/>
  <c r="AW306" i="7"/>
  <c r="AX306" i="7"/>
  <c r="AY306" i="7"/>
  <c r="AZ306" i="7"/>
  <c r="BA306" i="7"/>
  <c r="BB306" i="7"/>
  <c r="A307" i="7"/>
  <c r="B307" i="7"/>
  <c r="C307" i="7"/>
  <c r="D307" i="7"/>
  <c r="E307" i="7"/>
  <c r="F307" i="7"/>
  <c r="G307" i="7"/>
  <c r="H307" i="7"/>
  <c r="I307" i="7"/>
  <c r="J307" i="7"/>
  <c r="K307" i="7"/>
  <c r="L307" i="7"/>
  <c r="M307" i="7"/>
  <c r="N307" i="7"/>
  <c r="O307" i="7"/>
  <c r="P307" i="7"/>
  <c r="Q307" i="7"/>
  <c r="R307" i="7"/>
  <c r="S307" i="7"/>
  <c r="T307" i="7"/>
  <c r="U307" i="7"/>
  <c r="V307" i="7"/>
  <c r="W307" i="7"/>
  <c r="X307" i="7"/>
  <c r="Y307" i="7"/>
  <c r="Z307" i="7"/>
  <c r="AA307" i="7"/>
  <c r="AB307" i="7"/>
  <c r="AC307" i="7"/>
  <c r="AD307" i="7"/>
  <c r="AE307" i="7"/>
  <c r="AF307" i="7"/>
  <c r="AG307" i="7"/>
  <c r="AH307" i="7"/>
  <c r="AI307" i="7"/>
  <c r="AJ307" i="7"/>
  <c r="AK307" i="7"/>
  <c r="AL307" i="7"/>
  <c r="AM307" i="7"/>
  <c r="AN307" i="7"/>
  <c r="AO307" i="7"/>
  <c r="AP307" i="7"/>
  <c r="AQ307" i="7"/>
  <c r="AR307" i="7"/>
  <c r="AS307" i="7"/>
  <c r="AT307" i="7"/>
  <c r="AU307" i="7"/>
  <c r="AV307" i="7"/>
  <c r="AW307" i="7"/>
  <c r="AX307" i="7"/>
  <c r="AY307" i="7"/>
  <c r="AZ307" i="7"/>
  <c r="BA307" i="7"/>
  <c r="BB307" i="7"/>
  <c r="A308" i="7"/>
  <c r="B308" i="7"/>
  <c r="C308" i="7"/>
  <c r="D308" i="7"/>
  <c r="E308" i="7"/>
  <c r="F308" i="7"/>
  <c r="G308" i="7"/>
  <c r="H308" i="7"/>
  <c r="I308" i="7"/>
  <c r="J308" i="7"/>
  <c r="K308" i="7"/>
  <c r="L308" i="7"/>
  <c r="M308" i="7"/>
  <c r="N308" i="7"/>
  <c r="O308" i="7"/>
  <c r="P308" i="7"/>
  <c r="Q308" i="7"/>
  <c r="R308" i="7"/>
  <c r="S308" i="7"/>
  <c r="T308" i="7"/>
  <c r="U308" i="7"/>
  <c r="V308" i="7"/>
  <c r="W308" i="7"/>
  <c r="X308" i="7"/>
  <c r="Y308" i="7"/>
  <c r="Z308" i="7"/>
  <c r="AA308" i="7"/>
  <c r="AB308" i="7"/>
  <c r="AC308" i="7"/>
  <c r="AD308" i="7"/>
  <c r="AE308" i="7"/>
  <c r="AF308" i="7"/>
  <c r="AG308" i="7"/>
  <c r="AH308" i="7"/>
  <c r="AI308" i="7"/>
  <c r="AJ308" i="7"/>
  <c r="AK308" i="7"/>
  <c r="AL308" i="7"/>
  <c r="AM308" i="7"/>
  <c r="AN308" i="7"/>
  <c r="AO308" i="7"/>
  <c r="AP308" i="7"/>
  <c r="AQ308" i="7"/>
  <c r="AR308" i="7"/>
  <c r="AS308" i="7"/>
  <c r="AT308" i="7"/>
  <c r="AU308" i="7"/>
  <c r="AV308" i="7"/>
  <c r="AW308" i="7"/>
  <c r="AX308" i="7"/>
  <c r="AY308" i="7"/>
  <c r="AZ308" i="7"/>
  <c r="BA308" i="7"/>
  <c r="BB308" i="7"/>
  <c r="A309" i="7"/>
  <c r="B309" i="7"/>
  <c r="C309" i="7"/>
  <c r="D309" i="7"/>
  <c r="E309" i="7"/>
  <c r="F309" i="7"/>
  <c r="G309" i="7"/>
  <c r="H309" i="7"/>
  <c r="I309" i="7"/>
  <c r="J309" i="7"/>
  <c r="K309" i="7"/>
  <c r="L309" i="7"/>
  <c r="M309" i="7"/>
  <c r="N309" i="7"/>
  <c r="O309" i="7"/>
  <c r="P309" i="7"/>
  <c r="Q309" i="7"/>
  <c r="R309" i="7"/>
  <c r="S309" i="7"/>
  <c r="T309" i="7"/>
  <c r="U309" i="7"/>
  <c r="V309" i="7"/>
  <c r="W309" i="7"/>
  <c r="X309" i="7"/>
  <c r="Y309" i="7"/>
  <c r="Z309" i="7"/>
  <c r="AA309" i="7"/>
  <c r="AB309" i="7"/>
  <c r="AC309" i="7"/>
  <c r="AD309" i="7"/>
  <c r="AE309" i="7"/>
  <c r="AF309" i="7"/>
  <c r="AG309" i="7"/>
  <c r="AH309" i="7"/>
  <c r="AI309" i="7"/>
  <c r="AJ309" i="7"/>
  <c r="AK309" i="7"/>
  <c r="AL309" i="7"/>
  <c r="AM309" i="7"/>
  <c r="AN309" i="7"/>
  <c r="AO309" i="7"/>
  <c r="AP309" i="7"/>
  <c r="AQ309" i="7"/>
  <c r="AR309" i="7"/>
  <c r="AS309" i="7"/>
  <c r="AT309" i="7"/>
  <c r="AU309" i="7"/>
  <c r="AV309" i="7"/>
  <c r="AW309" i="7"/>
  <c r="AX309" i="7"/>
  <c r="AY309" i="7"/>
  <c r="AZ309" i="7"/>
  <c r="BA309" i="7"/>
  <c r="BB309" i="7"/>
  <c r="A310" i="7"/>
  <c r="B310" i="7"/>
  <c r="C310" i="7"/>
  <c r="D310" i="7"/>
  <c r="E310" i="7"/>
  <c r="F310" i="7"/>
  <c r="G310" i="7"/>
  <c r="H310" i="7"/>
  <c r="I310" i="7"/>
  <c r="J310" i="7"/>
  <c r="K310" i="7"/>
  <c r="L310" i="7"/>
  <c r="M310" i="7"/>
  <c r="N310" i="7"/>
  <c r="O310" i="7"/>
  <c r="P310" i="7"/>
  <c r="Q310" i="7"/>
  <c r="R310" i="7"/>
  <c r="S310" i="7"/>
  <c r="T310" i="7"/>
  <c r="U310" i="7"/>
  <c r="V310" i="7"/>
  <c r="W310" i="7"/>
  <c r="X310" i="7"/>
  <c r="Y310" i="7"/>
  <c r="Z310" i="7"/>
  <c r="AA310" i="7"/>
  <c r="AB310" i="7"/>
  <c r="AC310" i="7"/>
  <c r="AD310" i="7"/>
  <c r="AE310" i="7"/>
  <c r="AF310" i="7"/>
  <c r="AG310" i="7"/>
  <c r="AH310" i="7"/>
  <c r="AI310" i="7"/>
  <c r="AJ310" i="7"/>
  <c r="AK310" i="7"/>
  <c r="AL310" i="7"/>
  <c r="AM310" i="7"/>
  <c r="AN310" i="7"/>
  <c r="AO310" i="7"/>
  <c r="AP310" i="7"/>
  <c r="AQ310" i="7"/>
  <c r="AR310" i="7"/>
  <c r="AS310" i="7"/>
  <c r="AT310" i="7"/>
  <c r="AU310" i="7"/>
  <c r="AV310" i="7"/>
  <c r="AW310" i="7"/>
  <c r="AX310" i="7"/>
  <c r="AY310" i="7"/>
  <c r="AZ310" i="7"/>
  <c r="BA310" i="7"/>
  <c r="BB310" i="7"/>
  <c r="A311" i="7"/>
  <c r="B311" i="7"/>
  <c r="C311" i="7"/>
  <c r="D311" i="7"/>
  <c r="E311" i="7"/>
  <c r="F311" i="7"/>
  <c r="G311" i="7"/>
  <c r="H311" i="7"/>
  <c r="I311" i="7"/>
  <c r="J311" i="7"/>
  <c r="K311" i="7"/>
  <c r="L311" i="7"/>
  <c r="M311" i="7"/>
  <c r="N311" i="7"/>
  <c r="O311" i="7"/>
  <c r="P311" i="7"/>
  <c r="Q311" i="7"/>
  <c r="R311" i="7"/>
  <c r="S311" i="7"/>
  <c r="T311" i="7"/>
  <c r="U311" i="7"/>
  <c r="V311" i="7"/>
  <c r="W311" i="7"/>
  <c r="X311" i="7"/>
  <c r="Y311" i="7"/>
  <c r="Z311" i="7"/>
  <c r="AA311" i="7"/>
  <c r="AB311" i="7"/>
  <c r="AC311" i="7"/>
  <c r="AD311" i="7"/>
  <c r="AE311" i="7"/>
  <c r="AF311" i="7"/>
  <c r="AG311" i="7"/>
  <c r="AH311" i="7"/>
  <c r="AI311" i="7"/>
  <c r="AJ311" i="7"/>
  <c r="AK311" i="7"/>
  <c r="AL311" i="7"/>
  <c r="AM311" i="7"/>
  <c r="AN311" i="7"/>
  <c r="AO311" i="7"/>
  <c r="AP311" i="7"/>
  <c r="AQ311" i="7"/>
  <c r="AR311" i="7"/>
  <c r="AS311" i="7"/>
  <c r="AT311" i="7"/>
  <c r="AU311" i="7"/>
  <c r="AV311" i="7"/>
  <c r="AW311" i="7"/>
  <c r="AX311" i="7"/>
  <c r="AY311" i="7"/>
  <c r="AZ311" i="7"/>
  <c r="BA311" i="7"/>
  <c r="BB311" i="7"/>
  <c r="A312" i="7"/>
  <c r="B312" i="7"/>
  <c r="C312" i="7"/>
  <c r="D312" i="7"/>
  <c r="E312" i="7"/>
  <c r="F312" i="7"/>
  <c r="G312" i="7"/>
  <c r="H312" i="7"/>
  <c r="I312" i="7"/>
  <c r="J312" i="7"/>
  <c r="K312" i="7"/>
  <c r="L312" i="7"/>
  <c r="M312" i="7"/>
  <c r="N312" i="7"/>
  <c r="O312" i="7"/>
  <c r="P312" i="7"/>
  <c r="Q312" i="7"/>
  <c r="R312" i="7"/>
  <c r="S312" i="7"/>
  <c r="T312" i="7"/>
  <c r="U312" i="7"/>
  <c r="V312" i="7"/>
  <c r="W312" i="7"/>
  <c r="X312" i="7"/>
  <c r="Y312" i="7"/>
  <c r="Z312" i="7"/>
  <c r="AA312" i="7"/>
  <c r="AB312" i="7"/>
  <c r="AC312" i="7"/>
  <c r="AD312" i="7"/>
  <c r="AE312" i="7"/>
  <c r="AF312" i="7"/>
  <c r="AG312" i="7"/>
  <c r="AH312" i="7"/>
  <c r="AI312" i="7"/>
  <c r="AJ312" i="7"/>
  <c r="AK312" i="7"/>
  <c r="AL312" i="7"/>
  <c r="AM312" i="7"/>
  <c r="AN312" i="7"/>
  <c r="AO312" i="7"/>
  <c r="AP312" i="7"/>
  <c r="AQ312" i="7"/>
  <c r="AR312" i="7"/>
  <c r="AS312" i="7"/>
  <c r="AT312" i="7"/>
  <c r="AU312" i="7"/>
  <c r="AV312" i="7"/>
  <c r="AW312" i="7"/>
  <c r="AX312" i="7"/>
  <c r="AY312" i="7"/>
  <c r="AZ312" i="7"/>
  <c r="BA312" i="7"/>
  <c r="BB312" i="7"/>
  <c r="A313" i="7"/>
  <c r="B313" i="7"/>
  <c r="C313" i="7"/>
  <c r="D313" i="7"/>
  <c r="E313" i="7"/>
  <c r="F313" i="7"/>
  <c r="G313" i="7"/>
  <c r="H313" i="7"/>
  <c r="I313" i="7"/>
  <c r="J313" i="7"/>
  <c r="K313" i="7"/>
  <c r="L313" i="7"/>
  <c r="M313" i="7"/>
  <c r="N313" i="7"/>
  <c r="O313" i="7"/>
  <c r="P313" i="7"/>
  <c r="Q313" i="7"/>
  <c r="R313" i="7"/>
  <c r="S313" i="7"/>
  <c r="T313" i="7"/>
  <c r="U313" i="7"/>
  <c r="V313" i="7"/>
  <c r="W313" i="7"/>
  <c r="X313" i="7"/>
  <c r="Y313" i="7"/>
  <c r="Z313" i="7"/>
  <c r="AA313" i="7"/>
  <c r="AB313" i="7"/>
  <c r="AC313" i="7"/>
  <c r="AD313" i="7"/>
  <c r="AE313" i="7"/>
  <c r="AF313" i="7"/>
  <c r="AG313" i="7"/>
  <c r="AH313" i="7"/>
  <c r="AI313" i="7"/>
  <c r="AJ313" i="7"/>
  <c r="AK313" i="7"/>
  <c r="AL313" i="7"/>
  <c r="AM313" i="7"/>
  <c r="AN313" i="7"/>
  <c r="AO313" i="7"/>
  <c r="AP313" i="7"/>
  <c r="AQ313" i="7"/>
  <c r="AR313" i="7"/>
  <c r="AS313" i="7"/>
  <c r="AT313" i="7"/>
  <c r="AU313" i="7"/>
  <c r="AV313" i="7"/>
  <c r="AW313" i="7"/>
  <c r="AX313" i="7"/>
  <c r="AY313" i="7"/>
  <c r="AZ313" i="7"/>
  <c r="BA313" i="7"/>
  <c r="BB313" i="7"/>
  <c r="A314" i="7"/>
  <c r="B314" i="7"/>
  <c r="C314" i="7"/>
  <c r="D314" i="7"/>
  <c r="E314" i="7"/>
  <c r="F314" i="7"/>
  <c r="G314" i="7"/>
  <c r="H314" i="7"/>
  <c r="I314" i="7"/>
  <c r="J314" i="7"/>
  <c r="K314" i="7"/>
  <c r="L314" i="7"/>
  <c r="M314" i="7"/>
  <c r="N314" i="7"/>
  <c r="O314" i="7"/>
  <c r="P314" i="7"/>
  <c r="Q314" i="7"/>
  <c r="R314" i="7"/>
  <c r="S314" i="7"/>
  <c r="T314" i="7"/>
  <c r="U314" i="7"/>
  <c r="V314" i="7"/>
  <c r="W314" i="7"/>
  <c r="X314" i="7"/>
  <c r="Y314" i="7"/>
  <c r="Z314" i="7"/>
  <c r="AA314" i="7"/>
  <c r="AB314" i="7"/>
  <c r="AC314" i="7"/>
  <c r="AD314" i="7"/>
  <c r="AE314" i="7"/>
  <c r="AF314" i="7"/>
  <c r="AG314" i="7"/>
  <c r="AH314" i="7"/>
  <c r="AI314" i="7"/>
  <c r="AJ314" i="7"/>
  <c r="AK314" i="7"/>
  <c r="AL314" i="7"/>
  <c r="AM314" i="7"/>
  <c r="AN314" i="7"/>
  <c r="AO314" i="7"/>
  <c r="AP314" i="7"/>
  <c r="AQ314" i="7"/>
  <c r="AR314" i="7"/>
  <c r="AS314" i="7"/>
  <c r="AT314" i="7"/>
  <c r="AU314" i="7"/>
  <c r="AV314" i="7"/>
  <c r="AW314" i="7"/>
  <c r="AX314" i="7"/>
  <c r="AY314" i="7"/>
  <c r="AZ314" i="7"/>
  <c r="BA314" i="7"/>
  <c r="BB314" i="7"/>
  <c r="A315" i="7"/>
  <c r="B315" i="7"/>
  <c r="C315" i="7"/>
  <c r="D315" i="7"/>
  <c r="E315" i="7"/>
  <c r="F315" i="7"/>
  <c r="G315" i="7"/>
  <c r="H315" i="7"/>
  <c r="I315" i="7"/>
  <c r="J315" i="7"/>
  <c r="K315" i="7"/>
  <c r="L315" i="7"/>
  <c r="M315" i="7"/>
  <c r="N315" i="7"/>
  <c r="O315" i="7"/>
  <c r="P315" i="7"/>
  <c r="Q315" i="7"/>
  <c r="R315" i="7"/>
  <c r="S315" i="7"/>
  <c r="T315" i="7"/>
  <c r="U315" i="7"/>
  <c r="V315" i="7"/>
  <c r="W315" i="7"/>
  <c r="X315" i="7"/>
  <c r="Y315" i="7"/>
  <c r="Z315" i="7"/>
  <c r="AA315" i="7"/>
  <c r="AB315" i="7"/>
  <c r="AC315" i="7"/>
  <c r="AD315" i="7"/>
  <c r="AE315" i="7"/>
  <c r="AF315" i="7"/>
  <c r="AG315" i="7"/>
  <c r="AH315" i="7"/>
  <c r="AI315" i="7"/>
  <c r="AJ315" i="7"/>
  <c r="AK315" i="7"/>
  <c r="AL315" i="7"/>
  <c r="AM315" i="7"/>
  <c r="AN315" i="7"/>
  <c r="AO315" i="7"/>
  <c r="AP315" i="7"/>
  <c r="AQ315" i="7"/>
  <c r="AR315" i="7"/>
  <c r="AS315" i="7"/>
  <c r="AT315" i="7"/>
  <c r="AU315" i="7"/>
  <c r="AV315" i="7"/>
  <c r="AW315" i="7"/>
  <c r="AX315" i="7"/>
  <c r="AY315" i="7"/>
  <c r="AZ315" i="7"/>
  <c r="BA315" i="7"/>
  <c r="BB315" i="7"/>
  <c r="A316" i="7"/>
  <c r="B316" i="7"/>
  <c r="C316" i="7"/>
  <c r="D316" i="7"/>
  <c r="E316" i="7"/>
  <c r="F316" i="7"/>
  <c r="G316" i="7"/>
  <c r="H316" i="7"/>
  <c r="I316" i="7"/>
  <c r="J316" i="7"/>
  <c r="K316" i="7"/>
  <c r="L316" i="7"/>
  <c r="M316" i="7"/>
  <c r="N316" i="7"/>
  <c r="O316" i="7"/>
  <c r="P316" i="7"/>
  <c r="Q316" i="7"/>
  <c r="R316" i="7"/>
  <c r="S316" i="7"/>
  <c r="T316" i="7"/>
  <c r="U316" i="7"/>
  <c r="V316" i="7"/>
  <c r="W316" i="7"/>
  <c r="X316" i="7"/>
  <c r="Y316" i="7"/>
  <c r="Z316" i="7"/>
  <c r="AA316" i="7"/>
  <c r="AB316" i="7"/>
  <c r="AC316" i="7"/>
  <c r="AD316" i="7"/>
  <c r="AE316" i="7"/>
  <c r="AF316" i="7"/>
  <c r="AG316" i="7"/>
  <c r="AH316" i="7"/>
  <c r="AI316" i="7"/>
  <c r="AJ316" i="7"/>
  <c r="AK316" i="7"/>
  <c r="AL316" i="7"/>
  <c r="AM316" i="7"/>
  <c r="AN316" i="7"/>
  <c r="AO316" i="7"/>
  <c r="AP316" i="7"/>
  <c r="AQ316" i="7"/>
  <c r="AR316" i="7"/>
  <c r="AS316" i="7"/>
  <c r="AT316" i="7"/>
  <c r="AU316" i="7"/>
  <c r="AV316" i="7"/>
  <c r="AW316" i="7"/>
  <c r="AX316" i="7"/>
  <c r="AY316" i="7"/>
  <c r="AZ316" i="7"/>
  <c r="BA316" i="7"/>
  <c r="BB316" i="7"/>
  <c r="A317" i="7"/>
  <c r="B317" i="7"/>
  <c r="C317" i="7"/>
  <c r="D317" i="7"/>
  <c r="E317" i="7"/>
  <c r="F317" i="7"/>
  <c r="G317" i="7"/>
  <c r="H317" i="7"/>
  <c r="I317" i="7"/>
  <c r="J317" i="7"/>
  <c r="K317" i="7"/>
  <c r="L317" i="7"/>
  <c r="M317" i="7"/>
  <c r="N317" i="7"/>
  <c r="O317" i="7"/>
  <c r="P317" i="7"/>
  <c r="Q317" i="7"/>
  <c r="R317" i="7"/>
  <c r="S317" i="7"/>
  <c r="T317" i="7"/>
  <c r="U317" i="7"/>
  <c r="V317" i="7"/>
  <c r="W317" i="7"/>
  <c r="X317" i="7"/>
  <c r="Y317" i="7"/>
  <c r="Z317" i="7"/>
  <c r="AA317" i="7"/>
  <c r="AB317" i="7"/>
  <c r="AC317" i="7"/>
  <c r="AD317" i="7"/>
  <c r="AE317" i="7"/>
  <c r="AF317" i="7"/>
  <c r="AG317" i="7"/>
  <c r="AH317" i="7"/>
  <c r="AI317" i="7"/>
  <c r="AJ317" i="7"/>
  <c r="AK317" i="7"/>
  <c r="AL317" i="7"/>
  <c r="AM317" i="7"/>
  <c r="AN317" i="7"/>
  <c r="AO317" i="7"/>
  <c r="AP317" i="7"/>
  <c r="AQ317" i="7"/>
  <c r="AR317" i="7"/>
  <c r="AS317" i="7"/>
  <c r="AT317" i="7"/>
  <c r="AU317" i="7"/>
  <c r="AV317" i="7"/>
  <c r="AW317" i="7"/>
  <c r="AX317" i="7"/>
  <c r="AY317" i="7"/>
  <c r="AZ317" i="7"/>
  <c r="BA317" i="7"/>
  <c r="BB317" i="7"/>
  <c r="A318" i="7"/>
  <c r="B318" i="7"/>
  <c r="C318" i="7"/>
  <c r="D318" i="7"/>
  <c r="E318" i="7"/>
  <c r="F318" i="7"/>
  <c r="G318" i="7"/>
  <c r="H318" i="7"/>
  <c r="I318" i="7"/>
  <c r="J318" i="7"/>
  <c r="K318" i="7"/>
  <c r="L318" i="7"/>
  <c r="M318" i="7"/>
  <c r="N318" i="7"/>
  <c r="O318" i="7"/>
  <c r="P318" i="7"/>
  <c r="Q318" i="7"/>
  <c r="R318" i="7"/>
  <c r="S318" i="7"/>
  <c r="T318" i="7"/>
  <c r="U318" i="7"/>
  <c r="V318" i="7"/>
  <c r="W318" i="7"/>
  <c r="X318" i="7"/>
  <c r="Y318" i="7"/>
  <c r="Z318" i="7"/>
  <c r="AA318" i="7"/>
  <c r="AB318" i="7"/>
  <c r="AC318" i="7"/>
  <c r="AD318" i="7"/>
  <c r="AE318" i="7"/>
  <c r="AF318" i="7"/>
  <c r="AG318" i="7"/>
  <c r="AH318" i="7"/>
  <c r="AI318" i="7"/>
  <c r="AJ318" i="7"/>
  <c r="AK318" i="7"/>
  <c r="AL318" i="7"/>
  <c r="AM318" i="7"/>
  <c r="AN318" i="7"/>
  <c r="AO318" i="7"/>
  <c r="AP318" i="7"/>
  <c r="AQ318" i="7"/>
  <c r="AR318" i="7"/>
  <c r="AS318" i="7"/>
  <c r="AT318" i="7"/>
  <c r="AU318" i="7"/>
  <c r="AV318" i="7"/>
  <c r="AW318" i="7"/>
  <c r="AX318" i="7"/>
  <c r="AY318" i="7"/>
  <c r="AZ318" i="7"/>
  <c r="BA318" i="7"/>
  <c r="BB318" i="7"/>
  <c r="A319" i="7"/>
  <c r="B319" i="7"/>
  <c r="C319" i="7"/>
  <c r="D319" i="7"/>
  <c r="E319" i="7"/>
  <c r="F319" i="7"/>
  <c r="G319" i="7"/>
  <c r="H319" i="7"/>
  <c r="I319" i="7"/>
  <c r="J319" i="7"/>
  <c r="K319" i="7"/>
  <c r="L319" i="7"/>
  <c r="M319" i="7"/>
  <c r="N319" i="7"/>
  <c r="O319" i="7"/>
  <c r="P319" i="7"/>
  <c r="Q319" i="7"/>
  <c r="R319" i="7"/>
  <c r="S319" i="7"/>
  <c r="T319" i="7"/>
  <c r="U319" i="7"/>
  <c r="V319" i="7"/>
  <c r="W319" i="7"/>
  <c r="X319" i="7"/>
  <c r="Y319" i="7"/>
  <c r="Z319" i="7"/>
  <c r="AA319" i="7"/>
  <c r="AB319" i="7"/>
  <c r="AC319" i="7"/>
  <c r="AD319" i="7"/>
  <c r="AE319" i="7"/>
  <c r="AF319" i="7"/>
  <c r="AG319" i="7"/>
  <c r="AH319" i="7"/>
  <c r="AI319" i="7"/>
  <c r="AJ319" i="7"/>
  <c r="AK319" i="7"/>
  <c r="AL319" i="7"/>
  <c r="AM319" i="7"/>
  <c r="AN319" i="7"/>
  <c r="AO319" i="7"/>
  <c r="AP319" i="7"/>
  <c r="AQ319" i="7"/>
  <c r="AR319" i="7"/>
  <c r="AS319" i="7"/>
  <c r="AT319" i="7"/>
  <c r="AU319" i="7"/>
  <c r="AV319" i="7"/>
  <c r="AW319" i="7"/>
  <c r="AX319" i="7"/>
  <c r="AY319" i="7"/>
  <c r="AZ319" i="7"/>
  <c r="BA319" i="7"/>
  <c r="BB319" i="7"/>
  <c r="A320" i="7"/>
  <c r="B320" i="7"/>
  <c r="C320" i="7"/>
  <c r="D320" i="7"/>
  <c r="E320" i="7"/>
  <c r="F320" i="7"/>
  <c r="G320" i="7"/>
  <c r="H320" i="7"/>
  <c r="I320" i="7"/>
  <c r="J320" i="7"/>
  <c r="K320" i="7"/>
  <c r="L320" i="7"/>
  <c r="M320" i="7"/>
  <c r="N320" i="7"/>
  <c r="O320" i="7"/>
  <c r="P320" i="7"/>
  <c r="Q320" i="7"/>
  <c r="R320" i="7"/>
  <c r="S320" i="7"/>
  <c r="T320" i="7"/>
  <c r="U320" i="7"/>
  <c r="V320" i="7"/>
  <c r="W320" i="7"/>
  <c r="X320" i="7"/>
  <c r="Y320" i="7"/>
  <c r="Z320" i="7"/>
  <c r="AA320" i="7"/>
  <c r="AB320" i="7"/>
  <c r="AC320" i="7"/>
  <c r="AD320" i="7"/>
  <c r="AE320" i="7"/>
  <c r="AF320" i="7"/>
  <c r="AG320" i="7"/>
  <c r="AH320" i="7"/>
  <c r="AI320" i="7"/>
  <c r="AJ320" i="7"/>
  <c r="AK320" i="7"/>
  <c r="AL320" i="7"/>
  <c r="AM320" i="7"/>
  <c r="AN320" i="7"/>
  <c r="AO320" i="7"/>
  <c r="AP320" i="7"/>
  <c r="AQ320" i="7"/>
  <c r="AR320" i="7"/>
  <c r="AS320" i="7"/>
  <c r="AT320" i="7"/>
  <c r="AU320" i="7"/>
  <c r="AV320" i="7"/>
  <c r="AW320" i="7"/>
  <c r="AX320" i="7"/>
  <c r="AY320" i="7"/>
  <c r="AZ320" i="7"/>
  <c r="BA320" i="7"/>
  <c r="BB320" i="7"/>
  <c r="A321" i="7"/>
  <c r="B321" i="7"/>
  <c r="C321" i="7"/>
  <c r="D321" i="7"/>
  <c r="E321" i="7"/>
  <c r="F321" i="7"/>
  <c r="G321" i="7"/>
  <c r="H321" i="7"/>
  <c r="I321" i="7"/>
  <c r="J321" i="7"/>
  <c r="K321" i="7"/>
  <c r="L321" i="7"/>
  <c r="M321" i="7"/>
  <c r="N321" i="7"/>
  <c r="O321" i="7"/>
  <c r="P321" i="7"/>
  <c r="Q321" i="7"/>
  <c r="R321" i="7"/>
  <c r="S321" i="7"/>
  <c r="T321" i="7"/>
  <c r="U321" i="7"/>
  <c r="V321" i="7"/>
  <c r="W321" i="7"/>
  <c r="X321" i="7"/>
  <c r="Y321" i="7"/>
  <c r="Z321" i="7"/>
  <c r="AA321" i="7"/>
  <c r="AB321" i="7"/>
  <c r="AC321" i="7"/>
  <c r="AD321" i="7"/>
  <c r="AE321" i="7"/>
  <c r="AF321" i="7"/>
  <c r="AG321" i="7"/>
  <c r="AH321" i="7"/>
  <c r="AI321" i="7"/>
  <c r="AJ321" i="7"/>
  <c r="AK321" i="7"/>
  <c r="AL321" i="7"/>
  <c r="AM321" i="7"/>
  <c r="AN321" i="7"/>
  <c r="AO321" i="7"/>
  <c r="AP321" i="7"/>
  <c r="AQ321" i="7"/>
  <c r="AR321" i="7"/>
  <c r="AS321" i="7"/>
  <c r="AT321" i="7"/>
  <c r="AU321" i="7"/>
  <c r="AV321" i="7"/>
  <c r="AW321" i="7"/>
  <c r="AX321" i="7"/>
  <c r="AY321" i="7"/>
  <c r="AZ321" i="7"/>
  <c r="BA321" i="7"/>
  <c r="BB321" i="7"/>
  <c r="A322" i="7"/>
  <c r="B322" i="7"/>
  <c r="C322" i="7"/>
  <c r="D322" i="7"/>
  <c r="E322" i="7"/>
  <c r="F322" i="7"/>
  <c r="G322" i="7"/>
  <c r="H322" i="7"/>
  <c r="I322" i="7"/>
  <c r="J322" i="7"/>
  <c r="K322" i="7"/>
  <c r="L322" i="7"/>
  <c r="M322" i="7"/>
  <c r="N322" i="7"/>
  <c r="O322" i="7"/>
  <c r="P322" i="7"/>
  <c r="Q322" i="7"/>
  <c r="R322" i="7"/>
  <c r="S322" i="7"/>
  <c r="T322" i="7"/>
  <c r="U322" i="7"/>
  <c r="V322" i="7"/>
  <c r="W322" i="7"/>
  <c r="X322" i="7"/>
  <c r="Y322" i="7"/>
  <c r="Z322" i="7"/>
  <c r="AA322" i="7"/>
  <c r="AB322" i="7"/>
  <c r="AC322" i="7"/>
  <c r="AD322" i="7"/>
  <c r="AE322" i="7"/>
  <c r="AF322" i="7"/>
  <c r="AG322" i="7"/>
  <c r="AH322" i="7"/>
  <c r="AI322" i="7"/>
  <c r="AJ322" i="7"/>
  <c r="AK322" i="7"/>
  <c r="AL322" i="7"/>
  <c r="AM322" i="7"/>
  <c r="AN322" i="7"/>
  <c r="AO322" i="7"/>
  <c r="AP322" i="7"/>
  <c r="AQ322" i="7"/>
  <c r="AR322" i="7"/>
  <c r="AS322" i="7"/>
  <c r="AT322" i="7"/>
  <c r="AU322" i="7"/>
  <c r="AV322" i="7"/>
  <c r="AW322" i="7"/>
  <c r="AX322" i="7"/>
  <c r="AY322" i="7"/>
  <c r="AZ322" i="7"/>
  <c r="BA322" i="7"/>
  <c r="BB322" i="7"/>
  <c r="A323" i="7"/>
  <c r="B323" i="7"/>
  <c r="C323" i="7"/>
  <c r="D323" i="7"/>
  <c r="E323" i="7"/>
  <c r="F323" i="7"/>
  <c r="G323" i="7"/>
  <c r="H323" i="7"/>
  <c r="I323" i="7"/>
  <c r="J323" i="7"/>
  <c r="K323" i="7"/>
  <c r="L323" i="7"/>
  <c r="M323" i="7"/>
  <c r="N323" i="7"/>
  <c r="O323" i="7"/>
  <c r="P323" i="7"/>
  <c r="Q323" i="7"/>
  <c r="R323" i="7"/>
  <c r="S323" i="7"/>
  <c r="T323" i="7"/>
  <c r="U323" i="7"/>
  <c r="V323" i="7"/>
  <c r="W323" i="7"/>
  <c r="X323" i="7"/>
  <c r="Y323" i="7"/>
  <c r="Z323" i="7"/>
  <c r="AA323" i="7"/>
  <c r="AB323" i="7"/>
  <c r="AC323" i="7"/>
  <c r="AD323" i="7"/>
  <c r="AE323" i="7"/>
  <c r="AF323" i="7"/>
  <c r="AG323" i="7"/>
  <c r="AH323" i="7"/>
  <c r="AI323" i="7"/>
  <c r="AJ323" i="7"/>
  <c r="AK323" i="7"/>
  <c r="AL323" i="7"/>
  <c r="AM323" i="7"/>
  <c r="AN323" i="7"/>
  <c r="AO323" i="7"/>
  <c r="AP323" i="7"/>
  <c r="AQ323" i="7"/>
  <c r="AR323" i="7"/>
  <c r="AS323" i="7"/>
  <c r="AT323" i="7"/>
  <c r="AU323" i="7"/>
  <c r="AV323" i="7"/>
  <c r="AW323" i="7"/>
  <c r="AX323" i="7"/>
  <c r="AY323" i="7"/>
  <c r="AZ323" i="7"/>
  <c r="BA323" i="7"/>
  <c r="BB323" i="7"/>
  <c r="A324" i="7"/>
  <c r="B324" i="7"/>
  <c r="C324" i="7"/>
  <c r="D324" i="7"/>
  <c r="E324" i="7"/>
  <c r="F324" i="7"/>
  <c r="G324" i="7"/>
  <c r="H324" i="7"/>
  <c r="I324" i="7"/>
  <c r="J324" i="7"/>
  <c r="K324" i="7"/>
  <c r="L324" i="7"/>
  <c r="M324" i="7"/>
  <c r="N324" i="7"/>
  <c r="O324" i="7"/>
  <c r="P324" i="7"/>
  <c r="Q324" i="7"/>
  <c r="R324" i="7"/>
  <c r="S324" i="7"/>
  <c r="T324" i="7"/>
  <c r="U324" i="7"/>
  <c r="V324" i="7"/>
  <c r="W324" i="7"/>
  <c r="X324" i="7"/>
  <c r="Y324" i="7"/>
  <c r="Z324" i="7"/>
  <c r="AA324" i="7"/>
  <c r="AB324" i="7"/>
  <c r="AC324" i="7"/>
  <c r="AD324" i="7"/>
  <c r="AE324" i="7"/>
  <c r="AF324" i="7"/>
  <c r="AG324" i="7"/>
  <c r="AH324" i="7"/>
  <c r="AI324" i="7"/>
  <c r="AJ324" i="7"/>
  <c r="AK324" i="7"/>
  <c r="AL324" i="7"/>
  <c r="AM324" i="7"/>
  <c r="AN324" i="7"/>
  <c r="AO324" i="7"/>
  <c r="AP324" i="7"/>
  <c r="AQ324" i="7"/>
  <c r="AR324" i="7"/>
  <c r="AS324" i="7"/>
  <c r="AT324" i="7"/>
  <c r="AU324" i="7"/>
  <c r="AV324" i="7"/>
  <c r="AW324" i="7"/>
  <c r="AX324" i="7"/>
  <c r="AY324" i="7"/>
  <c r="AZ324" i="7"/>
  <c r="BA324" i="7"/>
  <c r="BB324" i="7"/>
  <c r="A325" i="7"/>
  <c r="B325" i="7"/>
  <c r="C325" i="7"/>
  <c r="D325" i="7"/>
  <c r="E325" i="7"/>
  <c r="F325" i="7"/>
  <c r="G325" i="7"/>
  <c r="H325" i="7"/>
  <c r="I325" i="7"/>
  <c r="J325" i="7"/>
  <c r="K325" i="7"/>
  <c r="L325" i="7"/>
  <c r="M325" i="7"/>
  <c r="N325" i="7"/>
  <c r="O325" i="7"/>
  <c r="P325" i="7"/>
  <c r="Q325" i="7"/>
  <c r="R325" i="7"/>
  <c r="S325" i="7"/>
  <c r="T325" i="7"/>
  <c r="U325" i="7"/>
  <c r="V325" i="7"/>
  <c r="W325" i="7"/>
  <c r="X325" i="7"/>
  <c r="Y325" i="7"/>
  <c r="Z325" i="7"/>
  <c r="AA325" i="7"/>
  <c r="AB325" i="7"/>
  <c r="AC325" i="7"/>
  <c r="AD325" i="7"/>
  <c r="AE325" i="7"/>
  <c r="AF325" i="7"/>
  <c r="AG325" i="7"/>
  <c r="AH325" i="7"/>
  <c r="AI325" i="7"/>
  <c r="AJ325" i="7"/>
  <c r="AK325" i="7"/>
  <c r="AL325" i="7"/>
  <c r="AM325" i="7"/>
  <c r="AN325" i="7"/>
  <c r="AO325" i="7"/>
  <c r="AP325" i="7"/>
  <c r="AQ325" i="7"/>
  <c r="AR325" i="7"/>
  <c r="AS325" i="7"/>
  <c r="AT325" i="7"/>
  <c r="AU325" i="7"/>
  <c r="AV325" i="7"/>
  <c r="AW325" i="7"/>
  <c r="AX325" i="7"/>
  <c r="AY325" i="7"/>
  <c r="AZ325" i="7"/>
  <c r="BA325" i="7"/>
  <c r="BB325" i="7"/>
  <c r="W2" i="7" l="1"/>
  <c r="F2" i="7"/>
  <c r="C2" i="7"/>
  <c r="D2" i="7"/>
  <c r="BB2" i="7" l="1"/>
  <c r="BA2" i="7"/>
  <c r="AH2" i="7"/>
  <c r="AI2" i="7"/>
  <c r="AJ2" i="7"/>
  <c r="AK2" i="7"/>
  <c r="AL2" i="7"/>
  <c r="AM2" i="7"/>
  <c r="AN2" i="7"/>
  <c r="AO2" i="7"/>
  <c r="AP2" i="7"/>
  <c r="AQ2" i="7"/>
  <c r="AR2" i="7"/>
  <c r="AS2" i="7"/>
  <c r="AT2" i="7"/>
  <c r="AU2" i="7"/>
  <c r="AV2" i="7"/>
  <c r="AW2" i="7"/>
  <c r="AX2" i="7"/>
  <c r="AY2" i="7"/>
  <c r="AZ2" i="7"/>
  <c r="AG2" i="7"/>
  <c r="AF2" i="7"/>
  <c r="AD2" i="7"/>
  <c r="AE2" i="7"/>
  <c r="AC2" i="7"/>
  <c r="Y2" i="7"/>
  <c r="A2" i="7"/>
  <c r="I2" i="7"/>
  <c r="AB2" i="7"/>
  <c r="AA2" i="7"/>
  <c r="Z2" i="7"/>
  <c r="X2" i="7"/>
  <c r="V2" i="7"/>
  <c r="K2" i="7"/>
  <c r="L2" i="7"/>
  <c r="M2" i="7"/>
  <c r="N2" i="7"/>
  <c r="O2" i="7"/>
  <c r="J2" i="7"/>
  <c r="B2" i="7"/>
  <c r="E2" i="7"/>
  <c r="G2" i="7"/>
  <c r="H2" i="7"/>
  <c r="P2" i="7"/>
  <c r="Q2" i="7"/>
  <c r="R2" i="7"/>
  <c r="S2" i="7"/>
  <c r="T2" i="7"/>
  <c r="U2" i="7"/>
  <c r="B7" i="3"/>
  <c r="B3" i="3"/>
  <c r="B2" i="3"/>
  <c r="B4" i="3"/>
  <c r="E4" i="3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link</author>
  </authors>
  <commentList>
    <comment ref="J3" authorId="0" shapeId="0" xr:uid="{FCC67C0F-C916-4225-9933-0BF6E97731D6}">
      <text>
        <r>
          <rPr>
            <sz val="12"/>
            <color theme="1"/>
            <rFont val="宋体"/>
            <family val="3"/>
            <charset val="134"/>
            <scheme val="minor"/>
          </rPr>
          <t xml:space="preserve">水明: 就这？_x000D_
link: 你在教我做事？_x000D_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link</author>
  </authors>
  <commentList>
    <comment ref="G3" authorId="0" shapeId="0" xr:uid="{09018C57-AA75-4D6C-918D-EAC97F698047}">
      <text>
        <r>
          <rPr>
            <sz val="12"/>
            <color theme="1"/>
            <rFont val="宋体"/>
            <family val="3"/>
            <charset val="134"/>
            <scheme val="minor"/>
          </rPr>
          <t xml:space="preserve">水明: 就这？_x000D_
link: 你在教我做事？_x000D_
</t>
        </r>
      </text>
    </comment>
  </commentList>
</comments>
</file>

<file path=xl/sharedStrings.xml><?xml version="1.0" encoding="utf-8"?>
<sst xmlns="http://schemas.openxmlformats.org/spreadsheetml/2006/main" count="4341" uniqueCount="1668">
  <si>
    <r>
      <rPr>
        <sz val="10"/>
        <color rgb="FF000000"/>
        <rFont val="Microsoft YaHei"/>
        <family val="2"/>
        <charset val="134"/>
      </rPr>
      <t xml:space="preserve">车友们好，这里是狂野飙车9国服数据表！
由于本表还有很多不完善的地方，所以邀请各位读者一起制作本表！
</t>
    </r>
    <r>
      <rPr>
        <sz val="14"/>
        <color rgb="FF000000"/>
        <rFont val="Microsoft YaHei"/>
        <family val="2"/>
        <charset val="134"/>
      </rPr>
      <t>如何为编辑表格做贡献</t>
    </r>
    <r>
      <rPr>
        <sz val="10"/>
        <color rgb="FF000000"/>
        <rFont val="Microsoft YaHei"/>
        <family val="2"/>
        <charset val="134"/>
      </rPr>
      <t xml:space="preserve">
表格中</t>
    </r>
    <r>
      <rPr>
        <b/>
        <sz val="10"/>
        <color rgb="FFFF0000"/>
        <rFont val="Microsoft YaHei"/>
        <family val="2"/>
        <charset val="134"/>
      </rPr>
      <t>红色的区域</t>
    </r>
    <r>
      <rPr>
        <sz val="10"/>
        <color rgb="FF000000"/>
        <rFont val="Microsoft YaHei"/>
        <family val="2"/>
        <charset val="134"/>
      </rPr>
      <t xml:space="preserve">是错误的数据
</t>
    </r>
    <r>
      <rPr>
        <b/>
        <sz val="10"/>
        <color rgb="FFFFB700"/>
        <rFont val="Microsoft YaHei"/>
        <family val="2"/>
        <charset val="134"/>
      </rPr>
      <t>黄色的区域</t>
    </r>
    <r>
      <rPr>
        <sz val="10"/>
        <color rgb="FF000000"/>
        <rFont val="Microsoft YaHei"/>
        <family val="2"/>
        <charset val="134"/>
      </rPr>
      <t>是存疑的数据
如果你知道红色区域的准确值，请通过</t>
    </r>
    <r>
      <rPr>
        <b/>
        <sz val="10"/>
        <color rgb="FFFF0000"/>
        <rFont val="Microsoft YaHei"/>
        <family val="2"/>
        <charset val="134"/>
      </rPr>
      <t>添加批注</t>
    </r>
    <r>
      <rPr>
        <sz val="10"/>
        <color rgb="FF000000"/>
        <rFont val="Microsoft YaHei"/>
        <family val="2"/>
        <charset val="134"/>
      </rPr>
      <t xml:space="preserve">的方式告诉我们哟。
</t>
    </r>
    <r>
      <rPr>
        <b/>
        <sz val="10"/>
        <color rgb="FF87C120"/>
        <rFont val="Microsoft YaHei"/>
        <family val="2"/>
        <charset val="134"/>
      </rPr>
      <t>绿色的区域</t>
    </r>
    <r>
      <rPr>
        <sz val="10"/>
        <color rgb="FF000000"/>
        <rFont val="Microsoft YaHei"/>
        <family val="2"/>
        <charset val="134"/>
      </rPr>
      <t xml:space="preserve">是经过确认的数据（也说不定有错误！）
</t>
    </r>
    <r>
      <rPr>
        <sz val="10"/>
        <color rgb="FF4CC2EE"/>
        <rFont val="Microsoft YaHei"/>
        <family val="2"/>
        <charset val="134"/>
      </rPr>
      <t>蓝色的区域</t>
    </r>
    <r>
      <rPr>
        <sz val="10"/>
        <color rgb="FF000000"/>
        <rFont val="Microsoft YaHei"/>
        <family val="2"/>
        <charset val="134"/>
      </rPr>
      <t xml:space="preserve">是经过遐想的数据。
</t>
    </r>
    <r>
      <rPr>
        <sz val="14"/>
        <color rgb="FF000000"/>
        <rFont val="Microsoft YaHei"/>
        <family val="2"/>
        <charset val="134"/>
      </rPr>
      <t>如何为完善数据做贡献</t>
    </r>
    <r>
      <rPr>
        <sz val="10"/>
        <color rgb="FF000000"/>
        <rFont val="Microsoft YaHei"/>
        <family val="2"/>
        <charset val="134"/>
      </rPr>
      <t xml:space="preserve">
1，留意你的车辆改装时的</t>
    </r>
    <r>
      <rPr>
        <b/>
        <sz val="10"/>
        <color rgb="FF4CC2EE"/>
        <rFont val="Microsoft YaHei"/>
        <family val="2"/>
        <charset val="134"/>
      </rPr>
      <t>改装费用</t>
    </r>
    <r>
      <rPr>
        <sz val="10"/>
        <color rgb="FF000000"/>
        <rFont val="Microsoft YaHei"/>
        <family val="2"/>
        <charset val="134"/>
      </rPr>
      <t>，和</t>
    </r>
    <r>
      <rPr>
        <b/>
        <sz val="10"/>
        <color rgb="FF4CC2EE"/>
        <rFont val="Microsoft YaHei"/>
        <family val="2"/>
        <charset val="134"/>
      </rPr>
      <t>零件数量</t>
    </r>
    <r>
      <rPr>
        <sz val="10"/>
        <color rgb="FF000000"/>
        <rFont val="Microsoft YaHei"/>
        <family val="2"/>
        <charset val="134"/>
      </rPr>
      <t xml:space="preserve">
2，留意你的车辆升星时的</t>
    </r>
    <r>
      <rPr>
        <b/>
        <sz val="10"/>
        <color rgb="FF4CC2EE"/>
        <rFont val="Microsoft YaHei"/>
        <family val="2"/>
        <charset val="134"/>
      </rPr>
      <t>图纸数量</t>
    </r>
    <r>
      <rPr>
        <sz val="10"/>
        <color rgb="FF000000"/>
        <rFont val="Microsoft YaHei"/>
        <family val="2"/>
        <charset val="134"/>
      </rPr>
      <t xml:space="preserve">
3，其他各种手段渠道获得的数据。
</t>
    </r>
    <r>
      <rPr>
        <sz val="14"/>
        <color rgb="FF000000"/>
        <rFont val="Microsoft YaHei"/>
        <family val="2"/>
        <charset val="134"/>
      </rPr>
      <t xml:space="preserve">数据来源与感谢
</t>
    </r>
    <r>
      <rPr>
        <sz val="10"/>
        <color rgb="FF000000"/>
        <rFont val="Microsoft YaHei"/>
        <family val="2"/>
        <charset val="134"/>
      </rPr>
      <t xml:space="preserve">本表格参考了硫化镉（国际服）的表格（https://www.bilibili.com/read/cv5556876）
</t>
    </r>
    <r>
      <rPr>
        <b/>
        <sz val="10"/>
        <color rgb="FF87C120"/>
        <rFont val="Microsoft YaHei"/>
        <family val="2"/>
        <charset val="134"/>
      </rPr>
      <t>车辆性能数据</t>
    </r>
    <r>
      <rPr>
        <sz val="10"/>
        <color rgb="FF000000"/>
        <rFont val="Microsoft YaHei"/>
        <family val="2"/>
        <charset val="134"/>
      </rPr>
      <t>以国际服为准（并且考虑到了国服还未采用的国际服的平衡性调整！）
还要感谢表格制作人员，为数据做出贡献的小伙伴，和各位读者车友！</t>
    </r>
    <phoneticPr fontId="1" type="noConversion"/>
  </si>
  <si>
    <r>
      <rPr>
        <sz val="10"/>
        <color rgb="FF000000"/>
        <rFont val="Microsoft YaHei"/>
        <family val="2"/>
        <charset val="134"/>
      </rPr>
      <t>版本</t>
    </r>
    <phoneticPr fontId="1" type="noConversion"/>
  </si>
  <si>
    <r>
      <rPr>
        <sz val="10"/>
        <color rgb="FF000000"/>
        <rFont val="Microsoft YaHei"/>
        <family val="2"/>
        <charset val="134"/>
      </rPr>
      <t>2.0.0</t>
    </r>
    <phoneticPr fontId="1" type="noConversion"/>
  </si>
  <si>
    <r>
      <rPr>
        <sz val="10"/>
        <color rgb="FF000000"/>
        <rFont val="Microsoft YaHei"/>
        <family val="2"/>
        <charset val="134"/>
      </rPr>
      <t>蓝色零件</t>
    </r>
    <phoneticPr fontId="1" type="noConversion"/>
  </si>
  <si>
    <r>
      <rPr>
        <sz val="10"/>
        <color rgb="FF000000"/>
        <rFont val="Microsoft YaHei"/>
        <family val="2"/>
        <charset val="134"/>
      </rPr>
      <t>紫色零件</t>
    </r>
    <phoneticPr fontId="1" type="noConversion"/>
  </si>
  <si>
    <r>
      <rPr>
        <sz val="10"/>
        <color rgb="FF000000"/>
        <rFont val="Microsoft YaHei"/>
        <family val="2"/>
        <charset val="134"/>
      </rPr>
      <t>MAX金币</t>
    </r>
    <phoneticPr fontId="1" type="noConversion"/>
  </si>
  <si>
    <r>
      <rPr>
        <sz val="10"/>
        <color rgb="FF000000"/>
        <rFont val="Microsoft YaHei"/>
        <family val="2"/>
        <charset val="134"/>
      </rPr>
      <t>相当于开服以来每天赚</t>
    </r>
    <phoneticPr fontId="1" type="noConversion"/>
  </si>
  <si>
    <t>_id</t>
    <phoneticPr fontId="12" type="noConversion"/>
  </si>
  <si>
    <t>fullName</t>
    <phoneticPr fontId="12" type="noConversion"/>
  </si>
  <si>
    <t>brand</t>
    <phoneticPr fontId="12" type="noConversion"/>
  </si>
  <si>
    <t>releaseVersion</t>
    <phoneticPr fontId="12" type="noConversion"/>
  </si>
  <si>
    <t>nickName</t>
    <phoneticPr fontId="12" type="noConversion"/>
  </si>
  <si>
    <t>carClass</t>
    <phoneticPr fontId="12" type="noConversion"/>
  </si>
  <si>
    <t>star</t>
    <phoneticPr fontId="12" type="noConversion"/>
  </si>
  <si>
    <t>star_1</t>
    <phoneticPr fontId="12" type="noConversion"/>
  </si>
  <si>
    <t>star_2</t>
    <phoneticPr fontId="12" type="noConversion"/>
  </si>
  <si>
    <t>star_3</t>
    <phoneticPr fontId="12" type="noConversion"/>
  </si>
  <si>
    <t>star_4</t>
    <phoneticPr fontId="12" type="noConversion"/>
  </si>
  <si>
    <t>star_5</t>
    <phoneticPr fontId="12" type="noConversion"/>
  </si>
  <si>
    <t>star_6</t>
    <phoneticPr fontId="12" type="noConversion"/>
  </si>
  <si>
    <t>rank</t>
    <phoneticPr fontId="12" type="noConversion"/>
  </si>
  <si>
    <t>topSpeed</t>
    <phoneticPr fontId="12" type="noConversion"/>
  </si>
  <si>
    <t>acceleration</t>
    <phoneticPr fontId="12" type="noConversion"/>
  </si>
  <si>
    <t>handling</t>
    <phoneticPr fontId="12" type="noConversion"/>
  </si>
  <si>
    <t>nitro</t>
    <phoneticPr fontId="12" type="noConversion"/>
  </si>
  <si>
    <t>nitroDuration</t>
    <phoneticPr fontId="12" type="noConversion"/>
  </si>
  <si>
    <t>stageCost</t>
    <phoneticPr fontId="12" type="noConversion"/>
  </si>
  <si>
    <t>partCost</t>
    <phoneticPr fontId="12" type="noConversion"/>
  </si>
  <si>
    <t>uncommonPart</t>
    <phoneticPr fontId="12" type="noConversion"/>
  </si>
  <si>
    <t>rarePart</t>
    <phoneticPr fontId="12" type="noConversion"/>
  </si>
  <si>
    <t>epicPart</t>
    <phoneticPr fontId="12" type="noConversion"/>
  </si>
  <si>
    <t>车辆信息</t>
  </si>
  <si>
    <t>国际服</t>
  </si>
  <si>
    <t>满改数据</t>
  </si>
  <si>
    <t>满改氮效</t>
  </si>
  <si>
    <t>图纸</t>
  </si>
  <si>
    <t>金币改装（单项）</t>
  </si>
  <si>
    <t>零件改装（单项）</t>
  </si>
  <si>
    <t>序号</t>
  </si>
  <si>
    <t>全名</t>
  </si>
  <si>
    <t>厂商</t>
  </si>
  <si>
    <t>别名</t>
  </si>
  <si>
    <t>级别</t>
  </si>
  <si>
    <t>星级</t>
  </si>
  <si>
    <t>性能分</t>
  </si>
  <si>
    <t>极速</t>
  </si>
  <si>
    <t>加速</t>
  </si>
  <si>
    <t>操控</t>
  </si>
  <si>
    <t>氮气</t>
  </si>
  <si>
    <t>单喷时间</t>
  </si>
  <si>
    <t>解锁</t>
  </si>
  <si>
    <t>二星</t>
  </si>
  <si>
    <t>三星</t>
  </si>
  <si>
    <t>四星</t>
  </si>
  <si>
    <t>五星</t>
  </si>
  <si>
    <t>六星</t>
  </si>
  <si>
    <t>总计</t>
  </si>
  <si>
    <t>四项总计</t>
  </si>
  <si>
    <t>蓝色零件</t>
  </si>
  <si>
    <t>数量</t>
  </si>
  <si>
    <t>紫色零件</t>
  </si>
  <si>
    <t>金色零件</t>
  </si>
  <si>
    <t>MAX费用</t>
  </si>
  <si>
    <t>Mitsubishi Lancer Evolution</t>
  </si>
  <si>
    <t>三菱</t>
  </si>
  <si>
    <t>D</t>
  </si>
  <si>
    <t>★★★</t>
  </si>
  <si>
    <t>BMW Z4 LCI E89</t>
  </si>
  <si>
    <t>BMW</t>
  </si>
  <si>
    <t>z4</t>
  </si>
  <si>
    <t>Chevrolet Camaro LT</t>
  </si>
  <si>
    <t>Chevrolet</t>
  </si>
  <si>
    <t>LT</t>
  </si>
  <si>
    <t>Nissan 370Z Nismo</t>
  </si>
  <si>
    <t>Nissan</t>
  </si>
  <si>
    <t>370</t>
  </si>
  <si>
    <t>Dodge Challenger SRT8</t>
  </si>
  <si>
    <t>Dodge</t>
  </si>
  <si>
    <t>srt8</t>
  </si>
  <si>
    <t>Volkswagen XL Sport Concept</t>
  </si>
  <si>
    <t>大众</t>
  </si>
  <si>
    <t>BMW 3.0 CSL hommage</t>
  </si>
  <si>
    <t>宝马3.0</t>
  </si>
  <si>
    <t>Chevrolet Camaro ZL1 50TH Edition</t>
  </si>
  <si>
    <t>50th</t>
  </si>
  <si>
    <t>DS Automobiles DS E-Tense</t>
  </si>
  <si>
    <t>DS</t>
  </si>
  <si>
    <t>Ginetta G60</t>
  </si>
  <si>
    <t>G60</t>
  </si>
  <si>
    <t>★★★★</t>
  </si>
  <si>
    <t>Nissan Leaf Nismo RC</t>
  </si>
  <si>
    <t>RC</t>
  </si>
  <si>
    <t>Lotus Evora Sport 410</t>
  </si>
  <si>
    <t>Lotus</t>
  </si>
  <si>
    <t>莲花</t>
  </si>
  <si>
    <t>C</t>
  </si>
  <si>
    <t>Dodge Challenger 392 Hemi Scat Pack</t>
  </si>
  <si>
    <t>392</t>
  </si>
  <si>
    <t>Porsche 911 GTS Coupe</t>
  </si>
  <si>
    <t>Porsche</t>
  </si>
  <si>
    <t>911GTS</t>
  </si>
  <si>
    <t>Mercedes-Benz AMG GT S</t>
  </si>
  <si>
    <t>Mercedes-Benz</t>
  </si>
  <si>
    <t>奔驰</t>
  </si>
  <si>
    <t>Aston Martin DB11</t>
  </si>
  <si>
    <t>db11</t>
  </si>
  <si>
    <t>Porsche 718 Cayman</t>
  </si>
  <si>
    <t>718</t>
  </si>
  <si>
    <t>Lotus Elise Sprint 220</t>
  </si>
  <si>
    <t>小莲花</t>
  </si>
  <si>
    <t>BMW M4 GTS</t>
  </si>
  <si>
    <t>m4</t>
  </si>
  <si>
    <t>Jaguar F-type SVR</t>
  </si>
  <si>
    <t>捷豹</t>
  </si>
  <si>
    <t>Ford Shelby GT350R</t>
  </si>
  <si>
    <t>Ford</t>
  </si>
  <si>
    <t>野马</t>
  </si>
  <si>
    <t>Porsche 911 Targa 4S</t>
  </si>
  <si>
    <t>D911</t>
  </si>
  <si>
    <t>Honda Civic Type-R</t>
  </si>
  <si>
    <t>思域</t>
  </si>
  <si>
    <t>Rezvani Beast X</t>
  </si>
  <si>
    <t>野兽</t>
  </si>
  <si>
    <t>Porsche Taycan Turbo S</t>
  </si>
  <si>
    <t>电蛙</t>
  </si>
  <si>
    <t>TVR Griffith</t>
  </si>
  <si>
    <t>TVR</t>
  </si>
  <si>
    <t>Ford Shelby GR-1</t>
  </si>
  <si>
    <t>大野马</t>
  </si>
  <si>
    <t>Exotic Rides W70</t>
  </si>
  <si>
    <t>w70</t>
  </si>
  <si>
    <t>B</t>
  </si>
  <si>
    <t>Porsche 911 GT1 Evolution</t>
  </si>
  <si>
    <t>911GT1</t>
  </si>
  <si>
    <t>Ford GT</t>
  </si>
  <si>
    <t>福特gt</t>
  </si>
  <si>
    <t>Dodge Viper ACR</t>
  </si>
  <si>
    <t>蝰蛇</t>
  </si>
  <si>
    <t>Mazda Furai</t>
  </si>
  <si>
    <t>风籁</t>
  </si>
  <si>
    <t>Lamborghini Asterion</t>
  </si>
  <si>
    <t>Lamborghini</t>
  </si>
  <si>
    <t>牛A</t>
  </si>
  <si>
    <t>Aston Martin Vulcan</t>
  </si>
  <si>
    <t>火神</t>
  </si>
  <si>
    <t>Pininfarina H2 Speed</t>
  </si>
  <si>
    <t>h2</t>
  </si>
  <si>
    <t>Artega Scalo SuperErelletra</t>
  </si>
  <si>
    <t>Artega</t>
  </si>
  <si>
    <t>Nissan GT-R Nismo</t>
  </si>
  <si>
    <t>GTR</t>
  </si>
  <si>
    <t>Cadillac Cien Concept</t>
  </si>
  <si>
    <t>塞恩</t>
  </si>
  <si>
    <t>Acura 2017 NSX</t>
  </si>
  <si>
    <t>nsx</t>
  </si>
  <si>
    <t>Maserati Alfieri</t>
  </si>
  <si>
    <t>玛莎</t>
  </si>
  <si>
    <t>Ferrari J50</t>
  </si>
  <si>
    <t>Ferrari</t>
  </si>
  <si>
    <t>J50</t>
  </si>
  <si>
    <t>ItalDesign Zerouno</t>
  </si>
  <si>
    <t>假牛</t>
  </si>
  <si>
    <t>Vencer Sarthe</t>
  </si>
  <si>
    <t>剃刀</t>
  </si>
  <si>
    <t>★★★★★</t>
  </si>
  <si>
    <t>Dodge Viper GTS</t>
  </si>
  <si>
    <t>A蛇</t>
  </si>
  <si>
    <t>Ferrari 488 GTB</t>
  </si>
  <si>
    <t>488</t>
  </si>
  <si>
    <t>Mercedes-Benz SLR McLaren</t>
  </si>
  <si>
    <t>SLR</t>
  </si>
  <si>
    <t>Lamborghini Huracan EVO Spyder</t>
  </si>
  <si>
    <t>EVO</t>
  </si>
  <si>
    <t>★★★★★★</t>
  </si>
  <si>
    <t>Ferrari LaFerrari</t>
  </si>
  <si>
    <t>拉法</t>
  </si>
  <si>
    <t>A</t>
  </si>
  <si>
    <t>SCG 003S</t>
  </si>
  <si>
    <t>003</t>
  </si>
  <si>
    <t>Apollo N</t>
  </si>
  <si>
    <t>菠萝</t>
  </si>
  <si>
    <t>McLaren P1™</t>
  </si>
  <si>
    <t>McLaren</t>
  </si>
  <si>
    <t>P1</t>
  </si>
  <si>
    <t>Lamborghini Centenario</t>
  </si>
  <si>
    <t>百年牛</t>
  </si>
  <si>
    <t>Ferrari F12tdf</t>
  </si>
  <si>
    <t>f12</t>
  </si>
  <si>
    <t>Porsche 718 Cayman GT4 ClubSport🔑</t>
  </si>
  <si>
    <t>718GT4</t>
  </si>
  <si>
    <t>Lamborghini Aventador SV Coupe</t>
  </si>
  <si>
    <t>SV</t>
  </si>
  <si>
    <t>Ferrari FXX K</t>
  </si>
  <si>
    <t>FXXK</t>
  </si>
  <si>
    <t>Chevrolet Corvette ZR1</t>
  </si>
  <si>
    <t>大五菱</t>
  </si>
  <si>
    <t>Chevrolet Corvette Grand Sport</t>
  </si>
  <si>
    <t>五菱</t>
  </si>
  <si>
    <t>Arrinera Hussarya 33</t>
  </si>
  <si>
    <t>33</t>
  </si>
  <si>
    <t>VLF Force 1 V10</t>
  </si>
  <si>
    <t>VLF</t>
  </si>
  <si>
    <t>Ferrari 812 SuperFast</t>
  </si>
  <si>
    <t>812</t>
  </si>
  <si>
    <t>Sin R1 550</t>
  </si>
  <si>
    <t>sin</t>
  </si>
  <si>
    <t>Aston Martin Vantage GT12</t>
  </si>
  <si>
    <t>GT12</t>
  </si>
  <si>
    <t>Lamborghini Gallardo LP 560-4</t>
  </si>
  <si>
    <t>盖拉多</t>
  </si>
  <si>
    <t>Lamborghini Aventador J</t>
  </si>
  <si>
    <t>AVJ</t>
  </si>
  <si>
    <t>Porsche 911 GT3 RS</t>
  </si>
  <si>
    <t>911GT3</t>
  </si>
  <si>
    <t>Aston Martin DBS SuperLeggera</t>
  </si>
  <si>
    <t>DBS</t>
  </si>
  <si>
    <t>TechRules AT96 Track Version🔑</t>
  </si>
  <si>
    <t>腾风</t>
  </si>
  <si>
    <t>Icona Vulcano Titanium</t>
  </si>
  <si>
    <t>火山</t>
  </si>
  <si>
    <t>S</t>
  </si>
  <si>
    <t>W Motors Lykan HyperSport</t>
  </si>
  <si>
    <t>狼崽</t>
  </si>
  <si>
    <t>Porsche 918 Spyder</t>
  </si>
  <si>
    <t>918</t>
  </si>
  <si>
    <t>Vanda Electrics Dendrobium</t>
  </si>
  <si>
    <t>Vanda</t>
  </si>
  <si>
    <t>McLaren 570S Spider</t>
  </si>
  <si>
    <t>570</t>
  </si>
  <si>
    <t>Porsche Carrera GT</t>
  </si>
  <si>
    <t>卡雷拉</t>
  </si>
  <si>
    <t>Lamborghini Veneno</t>
  </si>
  <si>
    <t>毒药</t>
  </si>
  <si>
    <t>Lamborghini Egoista</t>
  </si>
  <si>
    <t>自私</t>
  </si>
  <si>
    <t>Porsche 911 GT2 RS ClubSport🔑</t>
  </si>
  <si>
    <t>911GT2</t>
  </si>
  <si>
    <t>Lamborghini SC18🔑</t>
  </si>
  <si>
    <t>SC18</t>
  </si>
  <si>
    <t>Pagani Huayra BC</t>
  </si>
  <si>
    <t>BC</t>
  </si>
  <si>
    <t>Ferrari LaFerrari Aperta</t>
  </si>
  <si>
    <t>黑拉法</t>
  </si>
  <si>
    <t>Mclaren F1 LM🔑</t>
  </si>
  <si>
    <t>F1</t>
  </si>
  <si>
    <t>Genty Akylone</t>
  </si>
  <si>
    <t>AKL</t>
  </si>
  <si>
    <t>Trion Nemesis</t>
  </si>
  <si>
    <t>复仇</t>
  </si>
  <si>
    <t>Lamborghini Terzo Millennio</t>
  </si>
  <si>
    <t>千年牛</t>
  </si>
  <si>
    <t>McLaren Senna</t>
  </si>
  <si>
    <t>Senna</t>
  </si>
  <si>
    <t>Lotus Evija</t>
  </si>
  <si>
    <t>Evija</t>
  </si>
  <si>
    <t>W Motors Fenyr SuperSport</t>
  </si>
  <si>
    <t>狼王</t>
  </si>
  <si>
    <t>Zenvo TS1 GT Anniversary</t>
  </si>
  <si>
    <t>自燃车</t>
  </si>
  <si>
    <t>Automobili Pininfarina Battista</t>
  </si>
  <si>
    <t>秋王</t>
  </si>
  <si>
    <t>Koenigsegg Regera</t>
  </si>
  <si>
    <t>Koenigsegg</t>
  </si>
  <si>
    <t>regera</t>
  </si>
  <si>
    <t>Lamborghini Sian FKP 37</t>
  </si>
  <si>
    <t>Sian</t>
  </si>
  <si>
    <t>Bugatti Chiron</t>
  </si>
  <si>
    <t>布加迪</t>
  </si>
  <si>
    <t>Koenigsegg Jesko🔑</t>
  </si>
  <si>
    <t>Jesko</t>
  </si>
  <si>
    <t>🔑</t>
  </si>
  <si>
    <t>Rimac C Two🔑</t>
  </si>
  <si>
    <t>C2</t>
  </si>
  <si>
    <t>Jaguar</t>
  </si>
  <si>
    <t>Bentley Continental GT3🔑</t>
  </si>
  <si>
    <t>Bentley</t>
  </si>
  <si>
    <t>欧陆 GT3</t>
  </si>
  <si>
    <t>Chevrolet Corvette C7.R🔑</t>
  </si>
  <si>
    <t>C7R</t>
  </si>
  <si>
    <t>Ford GT MKII🔑</t>
  </si>
  <si>
    <t>MK2</t>
  </si>
  <si>
    <t>Bentley Mulliner Bacalar</t>
  </si>
  <si>
    <t>Bacalar</t>
  </si>
  <si>
    <t>Chevrolet Corvette Stingray</t>
  </si>
  <si>
    <t>黄貂鱼</t>
  </si>
  <si>
    <t>Jaguar C-X75</t>
  </si>
  <si>
    <t>大捷豹</t>
  </si>
  <si>
    <t>Apex AP-0</t>
  </si>
  <si>
    <t>AP-0</t>
  </si>
  <si>
    <t>Aston Martin Valhalla Concept Car</t>
  </si>
  <si>
    <t>英灵殿</t>
  </si>
  <si>
    <t>McLaren Speedtail</t>
  </si>
  <si>
    <t>BXR Bailey Blade GT1</t>
  </si>
  <si>
    <t>BXR</t>
  </si>
  <si>
    <t>SSC Tuatara🔑</t>
  </si>
  <si>
    <t>大蜥蜴</t>
  </si>
  <si>
    <t>1.3</t>
  </si>
  <si>
    <t>1.8</t>
  </si>
  <si>
    <t>2.2</t>
  </si>
  <si>
    <t>1.9</t>
  </si>
  <si>
    <t>2.0</t>
  </si>
  <si>
    <t>2.1</t>
  </si>
  <si>
    <t>0.0</t>
  </si>
  <si>
    <t>1.4</t>
  </si>
  <si>
    <t>1.7</t>
  </si>
  <si>
    <t>1.5</t>
  </si>
  <si>
    <t>1.6</t>
  </si>
  <si>
    <t>代号</t>
  </si>
  <si>
    <t>lancer</t>
  </si>
  <si>
    <t>lt</t>
  </si>
  <si>
    <t>xl</t>
  </si>
  <si>
    <t>3.0</t>
  </si>
  <si>
    <t>ds</t>
  </si>
  <si>
    <t>g60</t>
  </si>
  <si>
    <t>rc</t>
  </si>
  <si>
    <t>410</t>
  </si>
  <si>
    <t>911</t>
  </si>
  <si>
    <t>amg</t>
  </si>
  <si>
    <t>220</t>
  </si>
  <si>
    <t>svr</t>
  </si>
  <si>
    <t>gt350r</t>
  </si>
  <si>
    <t>targa</t>
  </si>
  <si>
    <t>civic</t>
  </si>
  <si>
    <t>beast</t>
  </si>
  <si>
    <t>griffith</t>
  </si>
  <si>
    <t>gr-1</t>
  </si>
  <si>
    <t>taycan</t>
  </si>
  <si>
    <t>continental</t>
  </si>
  <si>
    <t>c7r</t>
  </si>
  <si>
    <t>911gt1</t>
  </si>
  <si>
    <t>fordgt</t>
  </si>
  <si>
    <t>acr</t>
  </si>
  <si>
    <t>asterion</t>
  </si>
  <si>
    <t>vulcan</t>
  </si>
  <si>
    <t>ass</t>
  </si>
  <si>
    <t>gtr</t>
  </si>
  <si>
    <t>cien</t>
  </si>
  <si>
    <t>mk2</t>
  </si>
  <si>
    <t>alfieri</t>
  </si>
  <si>
    <t>j50</t>
  </si>
  <si>
    <t>sarthe</t>
  </si>
  <si>
    <t>zerouno</t>
  </si>
  <si>
    <t>vipergts</t>
  </si>
  <si>
    <t>slr</t>
  </si>
  <si>
    <t>evo</t>
  </si>
  <si>
    <t>furai</t>
  </si>
  <si>
    <t>dbs</t>
  </si>
  <si>
    <t>laferrari</t>
  </si>
  <si>
    <t>n</t>
  </si>
  <si>
    <t>p1</t>
  </si>
  <si>
    <t>bacalar</t>
  </si>
  <si>
    <t>centenario</t>
  </si>
  <si>
    <t>f12tdf</t>
  </si>
  <si>
    <t>718gt4</t>
  </si>
  <si>
    <t>sv</t>
  </si>
  <si>
    <t>stingray</t>
  </si>
  <si>
    <t>fxxk</t>
  </si>
  <si>
    <t>cgs</t>
  </si>
  <si>
    <t>1v10</t>
  </si>
  <si>
    <t>ap-0</t>
  </si>
  <si>
    <t>550</t>
  </si>
  <si>
    <t>gt12</t>
  </si>
  <si>
    <t>gallardo</t>
  </si>
  <si>
    <t>avj</t>
  </si>
  <si>
    <t>911gt3</t>
  </si>
  <si>
    <t>at96</t>
  </si>
  <si>
    <t>zr1</t>
  </si>
  <si>
    <t>vulcano</t>
  </si>
  <si>
    <t>lykan</t>
  </si>
  <si>
    <t>vanda</t>
  </si>
  <si>
    <t>carrera</t>
  </si>
  <si>
    <t>veneno</t>
  </si>
  <si>
    <t>egoista</t>
  </si>
  <si>
    <t>911gt2</t>
  </si>
  <si>
    <t>sc18</t>
  </si>
  <si>
    <t>bc</t>
  </si>
  <si>
    <t>aperta</t>
  </si>
  <si>
    <t>f1</t>
  </si>
  <si>
    <t>akylone</t>
  </si>
  <si>
    <t>nemesis</t>
  </si>
  <si>
    <t>terzo</t>
  </si>
  <si>
    <t>senna</t>
  </si>
  <si>
    <t>evija</t>
  </si>
  <si>
    <t>fenyr</t>
  </si>
  <si>
    <t>ts1</t>
  </si>
  <si>
    <t>valhalla</t>
  </si>
  <si>
    <t>battista</t>
  </si>
  <si>
    <t>speedtail</t>
  </si>
  <si>
    <t>sian</t>
  </si>
  <si>
    <t>chiron</t>
  </si>
  <si>
    <t>bxr</t>
  </si>
  <si>
    <t>jesko</t>
  </si>
  <si>
    <t>c2</t>
  </si>
  <si>
    <t>ssc</t>
  </si>
  <si>
    <t>car_id</t>
    <phoneticPr fontId="10" type="noConversion"/>
  </si>
  <si>
    <t>c-x75</t>
  </si>
  <si>
    <t>Ferrari F40</t>
  </si>
  <si>
    <t>f40</t>
  </si>
  <si>
    <t>F40</t>
  </si>
  <si>
    <t>Ferrari 599XX EVO🔑</t>
  </si>
  <si>
    <t>xxe</t>
  </si>
  <si>
    <t>XXE</t>
  </si>
  <si>
    <t>Ferrari Enzo Ferrari</t>
  </si>
  <si>
    <t>enzo</t>
  </si>
  <si>
    <t>Enzo</t>
  </si>
  <si>
    <t>Ferrari 488 GTB Challenge EVO🔑</t>
  </si>
  <si>
    <t>488EVO</t>
  </si>
  <si>
    <t>Ferrari F8 Tributo</t>
  </si>
  <si>
    <t>f8</t>
  </si>
  <si>
    <t>F8</t>
  </si>
  <si>
    <t>Ferrari SF90 Stradale</t>
  </si>
  <si>
    <t>sf90</t>
  </si>
  <si>
    <t>SF90</t>
  </si>
  <si>
    <t>品质</t>
  </si>
  <si>
    <t>特殊</t>
  </si>
  <si>
    <t>稀有</t>
  </si>
  <si>
    <t>速尾</t>
  </si>
  <si>
    <t>quality</t>
    <phoneticPr fontId="10" type="noConversion"/>
  </si>
  <si>
    <t>稀有</t>
    <phoneticPr fontId="10" type="noConversion"/>
  </si>
  <si>
    <t>特殊</t>
    <phoneticPr fontId="10" type="noConversion"/>
  </si>
  <si>
    <t>史诗</t>
  </si>
  <si>
    <t>史诗</t>
    <phoneticPr fontId="10" type="noConversion"/>
  </si>
  <si>
    <t>uncm</t>
    <phoneticPr fontId="10" type="noConversion"/>
  </si>
  <si>
    <t>rare</t>
    <phoneticPr fontId="10" type="noConversion"/>
  </si>
  <si>
    <t>epic</t>
    <phoneticPr fontId="10" type="noConversion"/>
  </si>
  <si>
    <t>2.3</t>
  </si>
  <si>
    <t>版本</t>
  </si>
  <si>
    <t>阵营</t>
    <phoneticPr fontId="10" type="noConversion"/>
  </si>
  <si>
    <t>斯人已逝车</t>
    <phoneticPr fontId="10" type="noConversion"/>
  </si>
  <si>
    <t>理由</t>
    <phoneticPr fontId="10" type="noConversion"/>
  </si>
  <si>
    <t>版权到期</t>
    <phoneticPr fontId="10" type="noConversion"/>
  </si>
  <si>
    <t>氪佬快乐车</t>
    <phoneticPr fontId="10" type="noConversion"/>
  </si>
  <si>
    <t>谁tm开统治</t>
    <phoneticPr fontId="10" type="noConversion"/>
  </si>
  <si>
    <t>顶级搅屎棍</t>
    <phoneticPr fontId="10" type="noConversion"/>
  </si>
  <si>
    <t>黄金布加迪，一天上传奇</t>
    <phoneticPr fontId="10" type="noConversion"/>
  </si>
  <si>
    <t>极速是爹</t>
    <phoneticPr fontId="10" type="noConversion"/>
  </si>
  <si>
    <t>加速王者</t>
    <phoneticPr fontId="10" type="noConversion"/>
  </si>
  <si>
    <t>同Jesko</t>
    <phoneticPr fontId="10" type="noConversion"/>
  </si>
  <si>
    <t>顶级操控</t>
    <phoneticPr fontId="10" type="noConversion"/>
  </si>
  <si>
    <t>阴间点券车</t>
    <phoneticPr fontId="10" type="noConversion"/>
  </si>
  <si>
    <t>会员快乐车</t>
    <phoneticPr fontId="10" type="noConversion"/>
  </si>
  <si>
    <t>贫民冲分神器</t>
    <phoneticPr fontId="10" type="noConversion"/>
  </si>
  <si>
    <t>正统S车</t>
    <phoneticPr fontId="10" type="noConversion"/>
  </si>
  <si>
    <t>氮气贵族</t>
    <phoneticPr fontId="10" type="noConversion"/>
  </si>
  <si>
    <t>干啥啥不行</t>
    <phoneticPr fontId="10" type="noConversion"/>
  </si>
  <si>
    <t>常驻快乐车</t>
    <phoneticPr fontId="10" type="noConversion"/>
  </si>
  <si>
    <t>小杰哥</t>
    <phoneticPr fontId="10" type="noConversion"/>
  </si>
  <si>
    <t>常驻黄金，上传奇滴神</t>
    <phoneticPr fontId="10" type="noConversion"/>
  </si>
  <si>
    <t>仅次于腾风</t>
    <phoneticPr fontId="10" type="noConversion"/>
  </si>
  <si>
    <t>俱乐部赛季固定给金卡</t>
    <phoneticPr fontId="10" type="noConversion"/>
  </si>
  <si>
    <t>昔日滴神</t>
    <phoneticPr fontId="10" type="noConversion"/>
  </si>
  <si>
    <t>萌新上传奇</t>
    <phoneticPr fontId="10" type="noConversion"/>
  </si>
  <si>
    <t>杯赛滴神</t>
    <phoneticPr fontId="10" type="noConversion"/>
  </si>
  <si>
    <t>萌新冲分</t>
    <phoneticPr fontId="10" type="noConversion"/>
  </si>
  <si>
    <t>无情工具车</t>
    <phoneticPr fontId="10" type="noConversion"/>
  </si>
  <si>
    <t>金币买满，加速滴神</t>
    <phoneticPr fontId="10" type="noConversion"/>
  </si>
  <si>
    <t>每日任务，上白金好伙伴</t>
    <phoneticPr fontId="10" type="noConversion"/>
  </si>
  <si>
    <t>萌新上白金</t>
    <phoneticPr fontId="10" type="noConversion"/>
  </si>
  <si>
    <t>周赛滴神</t>
    <phoneticPr fontId="10" type="noConversion"/>
  </si>
  <si>
    <t>上白金，刷周赛，工具车</t>
    <phoneticPr fontId="10" type="noConversion"/>
  </si>
  <si>
    <t>快乐</t>
    <phoneticPr fontId="10" type="noConversion"/>
  </si>
  <si>
    <t>活动快乐车</t>
    <phoneticPr fontId="10" type="noConversion"/>
  </si>
  <si>
    <t>C霸</t>
    <phoneticPr fontId="10" type="noConversion"/>
  </si>
  <si>
    <t>电力加速</t>
    <phoneticPr fontId="10" type="noConversion"/>
  </si>
  <si>
    <t>均衡性能</t>
    <phoneticPr fontId="10" type="noConversion"/>
  </si>
  <si>
    <t>黄金五菱，难免失灵</t>
    <phoneticPr fontId="10" type="noConversion"/>
  </si>
  <si>
    <t>4109，是人都有</t>
    <phoneticPr fontId="10" type="noConversion"/>
  </si>
  <si>
    <t>搅屎棍</t>
    <phoneticPr fontId="10" type="noConversion"/>
  </si>
  <si>
    <t>A霸</t>
    <phoneticPr fontId="10" type="noConversion"/>
  </si>
  <si>
    <t>加速，颜值</t>
    <phoneticPr fontId="10" type="noConversion"/>
  </si>
  <si>
    <t>中规中矩</t>
    <phoneticPr fontId="10" type="noConversion"/>
  </si>
  <si>
    <t>其实和812五五开</t>
    <phoneticPr fontId="10" type="noConversion"/>
  </si>
  <si>
    <t>D霸，不过杯赛不需要D霸</t>
    <phoneticPr fontId="10" type="noConversion"/>
  </si>
  <si>
    <t>感人操控</t>
    <phoneticPr fontId="10" type="noConversion"/>
  </si>
  <si>
    <t>滚出A级！</t>
    <phoneticPr fontId="10" type="noConversion"/>
  </si>
  <si>
    <t>一般般</t>
    <phoneticPr fontId="10" type="noConversion"/>
  </si>
  <si>
    <t>不行</t>
    <phoneticPr fontId="10" type="noConversion"/>
  </si>
  <si>
    <t>G60</t>
    <phoneticPr fontId="10" type="noConversion"/>
  </si>
  <si>
    <t>比野兽强，但无用</t>
    <phoneticPr fontId="10" type="noConversion"/>
  </si>
  <si>
    <t>黄金思域，无所畏惧</t>
    <phoneticPr fontId="10" type="noConversion"/>
  </si>
  <si>
    <t>刷新B级下限</t>
    <phoneticPr fontId="10" type="noConversion"/>
  </si>
  <si>
    <t>极速霸主</t>
    <phoneticPr fontId="10" type="noConversion"/>
  </si>
  <si>
    <t>命运未知车</t>
    <phoneticPr fontId="10" type="noConversion"/>
  </si>
  <si>
    <t>命运悲痛车</t>
    <phoneticPr fontId="10" type="noConversion"/>
  </si>
  <si>
    <t>白嫖无感车</t>
    <phoneticPr fontId="10" type="noConversion"/>
  </si>
  <si>
    <t>接近捷豹</t>
    <phoneticPr fontId="10" type="noConversion"/>
  </si>
  <si>
    <t>免费</t>
    <phoneticPr fontId="10" type="noConversion"/>
  </si>
  <si>
    <t>每日任务</t>
    <phoneticPr fontId="10" type="noConversion"/>
  </si>
  <si>
    <t>金币</t>
    <phoneticPr fontId="10" type="noConversion"/>
  </si>
  <si>
    <t>独家</t>
    <phoneticPr fontId="10" type="noConversion"/>
  </si>
  <si>
    <t>俱乐部、寻车</t>
    <phoneticPr fontId="10" type="noConversion"/>
  </si>
  <si>
    <t>红币</t>
    <phoneticPr fontId="10" type="noConversion"/>
  </si>
  <si>
    <t>经典多人</t>
    <phoneticPr fontId="10" type="noConversion"/>
  </si>
  <si>
    <t>等待版本更新</t>
    <phoneticPr fontId="10" type="noConversion"/>
  </si>
  <si>
    <t>顶级活动车</t>
    <phoneticPr fontId="10" type="noConversion"/>
  </si>
  <si>
    <t>限时活动，不可错过！</t>
    <phoneticPr fontId="10" type="noConversion"/>
  </si>
  <si>
    <t>顶级常驻车</t>
    <phoneticPr fontId="10" type="noConversion"/>
  </si>
  <si>
    <t>肝满它！</t>
    <phoneticPr fontId="10" type="noConversion"/>
  </si>
  <si>
    <t>性能还不错
获取也简单</t>
    <phoneticPr fontId="10" type="noConversion"/>
  </si>
  <si>
    <t>rip</t>
    <phoneticPr fontId="10" type="noConversion"/>
  </si>
  <si>
    <t>顶级性能
顶级价格
蓝色为未来车辆</t>
    <phoneticPr fontId="10" type="noConversion"/>
  </si>
  <si>
    <t>speeeeeeeeedtail</t>
    <phoneticPr fontId="10" type="noConversion"/>
  </si>
  <si>
    <t>也就和狼王五五开</t>
    <phoneticPr fontId="10" type="noConversion"/>
  </si>
  <si>
    <t>一言难尽</t>
    <phoneticPr fontId="10" type="noConversion"/>
  </si>
  <si>
    <t>虚假加速</t>
    <phoneticPr fontId="10" type="noConversion"/>
  </si>
  <si>
    <t>颜值！</t>
    <phoneticPr fontId="10" type="noConversion"/>
  </si>
  <si>
    <t>B车，四维没特色</t>
    <phoneticPr fontId="10" type="noConversion"/>
  </si>
  <si>
    <t>高三维</t>
    <phoneticPr fontId="10" type="noConversion"/>
  </si>
  <si>
    <t>高极速</t>
    <phoneticPr fontId="10" type="noConversion"/>
  </si>
  <si>
    <t>跳跳蛙</t>
    <phoneticPr fontId="10" type="noConversion"/>
  </si>
  <si>
    <t>高操控，高极速</t>
    <phoneticPr fontId="10" type="noConversion"/>
  </si>
  <si>
    <t>说明</t>
    <phoneticPr fontId="10" type="noConversion"/>
  </si>
  <si>
    <t>限时活动车辆
标注绿色为国际服强势车，国服由于升级而变弱</t>
    <phoneticPr fontId="10" type="noConversion"/>
  </si>
  <si>
    <t>常驻白金</t>
    <phoneticPr fontId="10" type="noConversion"/>
  </si>
  <si>
    <t>刷多人包即可满星
较为推荐</t>
    <phoneticPr fontId="10" type="noConversion"/>
  </si>
  <si>
    <t>就摁酸</t>
    <phoneticPr fontId="10" type="noConversion"/>
  </si>
  <si>
    <t>不错的活动车</t>
    <phoneticPr fontId="10" type="noConversion"/>
  </si>
  <si>
    <t>搅屎棍（极速砍了）</t>
    <phoneticPr fontId="10" type="noConversion"/>
  </si>
  <si>
    <t>每一个车拎出来，
似乎都没有那么强
白嫖满星就完事咯</t>
    <phoneticPr fontId="10" type="noConversion"/>
  </si>
  <si>
    <t>图纸获取方式</t>
    <phoneticPr fontId="10" type="noConversion"/>
  </si>
  <si>
    <t>金卡获取方式</t>
    <phoneticPr fontId="10" type="noConversion"/>
  </si>
  <si>
    <t>红币商店</t>
    <phoneticPr fontId="10" type="noConversion"/>
  </si>
  <si>
    <t>蓝币直购</t>
    <phoneticPr fontId="10" type="noConversion"/>
  </si>
  <si>
    <t>不需要金卡</t>
    <phoneticPr fontId="10" type="noConversion"/>
  </si>
  <si>
    <t>多人/氪金</t>
    <phoneticPr fontId="10" type="noConversion"/>
  </si>
  <si>
    <t>紫币</t>
    <phoneticPr fontId="10" type="noConversion"/>
  </si>
  <si>
    <t>赛事</t>
    <phoneticPr fontId="10" type="noConversion"/>
  </si>
  <si>
    <t>通行证、特赛</t>
    <phoneticPr fontId="10" type="noConversion"/>
  </si>
  <si>
    <t>多人/赛事</t>
    <phoneticPr fontId="10" type="noConversion"/>
  </si>
  <si>
    <t>i8</t>
  </si>
  <si>
    <t>Apollo</t>
  </si>
  <si>
    <t>ie</t>
  </si>
  <si>
    <t>IE</t>
  </si>
  <si>
    <t>Peugeot</t>
  </si>
  <si>
    <t>onyx</t>
  </si>
  <si>
    <t>标致</t>
  </si>
  <si>
    <t>Citroen</t>
  </si>
  <si>
    <t>雪铁龙GT</t>
  </si>
  <si>
    <t>Bugatti</t>
  </si>
  <si>
    <t>divo</t>
  </si>
  <si>
    <t>Divo</t>
  </si>
  <si>
    <t>lvn</t>
  </si>
  <si>
    <t>黑龙</t>
  </si>
  <si>
    <t>2.4</t>
  </si>
  <si>
    <t>infiniti</t>
  </si>
  <si>
    <t>英菲尼迪</t>
  </si>
  <si>
    <t>Acura</t>
  </si>
  <si>
    <t>nsxgt3</t>
  </si>
  <si>
    <t>ep9</t>
  </si>
  <si>
    <t>EP9</t>
  </si>
  <si>
    <t>inferno</t>
  </si>
  <si>
    <t>owl</t>
  </si>
  <si>
    <t>猫头鹰</t>
  </si>
  <si>
    <t>0.0</t>
    <phoneticPr fontId="10" type="noConversion"/>
  </si>
  <si>
    <t>1.3</t>
    <phoneticPr fontId="10" type="noConversion"/>
  </si>
  <si>
    <t>1.4</t>
    <phoneticPr fontId="10" type="noConversion"/>
  </si>
  <si>
    <t>1.5</t>
    <phoneticPr fontId="10" type="noConversion"/>
  </si>
  <si>
    <t>1.6</t>
    <phoneticPr fontId="10" type="noConversion"/>
  </si>
  <si>
    <t>1.7</t>
    <phoneticPr fontId="10" type="noConversion"/>
  </si>
  <si>
    <t>1.8</t>
    <phoneticPr fontId="10" type="noConversion"/>
  </si>
  <si>
    <t>1.9</t>
    <phoneticPr fontId="10" type="noConversion"/>
  </si>
  <si>
    <t>2.0</t>
    <phoneticPr fontId="10" type="noConversion"/>
  </si>
  <si>
    <t>2.1</t>
    <phoneticPr fontId="10" type="noConversion"/>
  </si>
  <si>
    <t>2.2</t>
    <phoneticPr fontId="10" type="noConversion"/>
  </si>
  <si>
    <t>2.3</t>
    <phoneticPr fontId="10" type="noConversion"/>
  </si>
  <si>
    <t>2.4</t>
    <phoneticPr fontId="10" type="noConversion"/>
  </si>
  <si>
    <t>尚未发布</t>
    <phoneticPr fontId="10" type="noConversion"/>
  </si>
  <si>
    <t>开服</t>
    <phoneticPr fontId="10" type="noConversion"/>
  </si>
  <si>
    <t>统治</t>
    <phoneticPr fontId="10" type="noConversion"/>
  </si>
  <si>
    <t>肥龙</t>
    <phoneticPr fontId="10" type="noConversion"/>
  </si>
  <si>
    <t>塞纳</t>
    <phoneticPr fontId="10" type="noConversion"/>
  </si>
  <si>
    <t>杰哥</t>
    <phoneticPr fontId="10" type="noConversion"/>
  </si>
  <si>
    <t>自燃</t>
    <phoneticPr fontId="10" type="noConversion"/>
  </si>
  <si>
    <t>电莲花</t>
    <phoneticPr fontId="10" type="noConversion"/>
  </si>
  <si>
    <t>C2</t>
    <phoneticPr fontId="10" type="noConversion"/>
  </si>
  <si>
    <t>腾风</t>
    <phoneticPr fontId="10" type="noConversion"/>
  </si>
  <si>
    <t>保时捷</t>
    <phoneticPr fontId="10" type="noConversion"/>
  </si>
  <si>
    <t>兰博基尼</t>
    <phoneticPr fontId="10" type="noConversion"/>
  </si>
  <si>
    <t>自私</t>
    <phoneticPr fontId="10" type="noConversion"/>
  </si>
  <si>
    <t>releaseVersion</t>
    <phoneticPr fontId="10" type="noConversion"/>
  </si>
  <si>
    <t>note</t>
    <phoneticPr fontId="10" type="noConversion"/>
  </si>
  <si>
    <t>_id</t>
    <phoneticPr fontId="10" type="noConversion"/>
  </si>
  <si>
    <t>地狱</t>
  </si>
  <si>
    <t>Z4</t>
  </si>
  <si>
    <t>大莲花</t>
  </si>
  <si>
    <t>AMG</t>
  </si>
  <si>
    <t>DB11</t>
  </si>
  <si>
    <t>C8</t>
  </si>
  <si>
    <t>W70</t>
  </si>
  <si>
    <t>福特GT</t>
  </si>
  <si>
    <t>ACR</t>
  </si>
  <si>
    <t>蓝牛</t>
  </si>
  <si>
    <t>H2</t>
  </si>
  <si>
    <t>ASS</t>
  </si>
  <si>
    <t>讴歌</t>
  </si>
  <si>
    <t>TDF</t>
  </si>
  <si>
    <t>SIN</t>
  </si>
  <si>
    <t>万达</t>
  </si>
  <si>
    <t>阿卡龙</t>
  </si>
  <si>
    <t>电牛</t>
  </si>
  <si>
    <t>塞纳</t>
  </si>
  <si>
    <t>电莲</t>
  </si>
  <si>
    <t>统治</t>
  </si>
  <si>
    <t>Targa</t>
  </si>
  <si>
    <t>独家赛事</t>
  </si>
  <si>
    <t>通行证</t>
  </si>
  <si>
    <t>2.5</t>
  </si>
  <si>
    <t>?</t>
  </si>
  <si>
    <t>皇家风情</t>
    <phoneticPr fontId="10" type="noConversion"/>
  </si>
  <si>
    <t>Italdesign</t>
  </si>
  <si>
    <t>davinci</t>
  </si>
  <si>
    <t>达芬奇</t>
  </si>
  <si>
    <t>rrturbo</t>
  </si>
  <si>
    <t>RRTurbo</t>
  </si>
  <si>
    <t>roma</t>
  </si>
  <si>
    <t>罗马</t>
  </si>
  <si>
    <t>murcielago</t>
  </si>
  <si>
    <t>蝙蝠</t>
  </si>
  <si>
    <t>scv12</t>
  </si>
  <si>
    <t>SCV12</t>
  </si>
  <si>
    <t>Pagani</t>
  </si>
  <si>
    <t>imola</t>
  </si>
  <si>
    <t>伊莫拉</t>
  </si>
  <si>
    <t>Mazzanti</t>
  </si>
  <si>
    <t>millecavalli</t>
  </si>
  <si>
    <t>皇后</t>
  </si>
  <si>
    <t>huracanste</t>
  </si>
  <si>
    <t>488gtbevo</t>
  </si>
  <si>
    <t>citroengt</t>
  </si>
  <si>
    <t>totalCost</t>
    <phoneticPr fontId="10" type="noConversion"/>
  </si>
  <si>
    <t>获取途径</t>
  </si>
  <si>
    <t>战利品</t>
  </si>
  <si>
    <t>每日任务</t>
  </si>
  <si>
    <t>级别杯</t>
  </si>
  <si>
    <t>传奇商店</t>
  </si>
  <si>
    <t>寻车</t>
  </si>
  <si>
    <t>惊艳亮相</t>
  </si>
  <si>
    <t>经典多人</t>
  </si>
  <si>
    <t>1V1多人</t>
  </si>
  <si>
    <t>特殊赛事</t>
  </si>
  <si>
    <t>大奖赛</t>
  </si>
  <si>
    <t>联会赛事</t>
  </si>
  <si>
    <t>钥匙</t>
  </si>
  <si>
    <t>贴纸</t>
  </si>
  <si>
    <t>独占贴纸</t>
  </si>
  <si>
    <t>外观套件</t>
  </si>
  <si>
    <t>敞篷</t>
  </si>
  <si>
    <t>氮气特效</t>
  </si>
  <si>
    <t>商店金卡</t>
  </si>
  <si>
    <t>可开合</t>
  </si>
  <si>
    <t>无顶</t>
  </si>
  <si>
    <t>豹纹车贴</t>
  </si>
  <si>
    <t>老虎贴纸</t>
  </si>
  <si>
    <t>2021春节</t>
  </si>
  <si>
    <t>2.6</t>
  </si>
  <si>
    <t>恩佐</t>
  </si>
  <si>
    <t>2.6</t>
    <phoneticPr fontId="10" type="noConversion"/>
  </si>
  <si>
    <t>法拉利</t>
    <phoneticPr fontId="10" type="noConversion"/>
  </si>
  <si>
    <t>旧版寻车</t>
  </si>
  <si>
    <t>Volkswagen</t>
  </si>
  <si>
    <t>rs01</t>
  </si>
  <si>
    <t>雷诺RS</t>
  </si>
  <si>
    <t>Zenvo</t>
  </si>
  <si>
    <t>tsr-s</t>
  </si>
  <si>
    <t>TSR-S</t>
  </si>
  <si>
    <t>w12</t>
  </si>
  <si>
    <t>W12</t>
  </si>
  <si>
    <t>victor</t>
  </si>
  <si>
    <t>valkyrie</t>
  </si>
  <si>
    <t>女武神</t>
  </si>
  <si>
    <t>2.7</t>
  </si>
  <si>
    <t>2.7</t>
    <phoneticPr fontId="10" type="noConversion"/>
  </si>
  <si>
    <t>全力冲刺</t>
    <phoneticPr fontId="10" type="noConversion"/>
  </si>
  <si>
    <t>速度加成</t>
  </si>
  <si>
    <t>氮速</t>
  </si>
  <si>
    <t>蓝速</t>
  </si>
  <si>
    <t>空速</t>
  </si>
  <si>
    <t>nitroSpeed</t>
    <phoneticPr fontId="10" type="noConversion"/>
  </si>
  <si>
    <t>blueSpeed</t>
    <phoneticPr fontId="10" type="noConversion"/>
  </si>
  <si>
    <t>airSpeed</t>
    <phoneticPr fontId="10" type="noConversion"/>
  </si>
  <si>
    <t>图纸数量</t>
  </si>
  <si>
    <t>原创（比国际服少）</t>
  </si>
  <si>
    <t>图纸不变，等级提升</t>
  </si>
  <si>
    <t>原创，比国际服B还多</t>
  </si>
  <si>
    <t>与国际服相同</t>
  </si>
  <si>
    <t>比国际服多，与腾风相同</t>
  </si>
  <si>
    <t>与国服F1相同</t>
  </si>
  <si>
    <t>图纸不变，提升等级</t>
  </si>
  <si>
    <t>原创</t>
  </si>
  <si>
    <t>与Jesko相同</t>
  </si>
  <si>
    <t>车库等级卡牌包</t>
  </si>
  <si>
    <t>v12</t>
  </si>
  <si>
    <t>V12</t>
  </si>
  <si>
    <t>elva</t>
  </si>
  <si>
    <t>Elva</t>
  </si>
  <si>
    <t>barchetta</t>
  </si>
  <si>
    <t>Barchetta</t>
  </si>
  <si>
    <t>svj</t>
  </si>
  <si>
    <t>SVJ</t>
  </si>
  <si>
    <t>sc20</t>
  </si>
  <si>
    <t>SC20</t>
  </si>
  <si>
    <t>veyron</t>
  </si>
  <si>
    <t>威龙</t>
  </si>
  <si>
    <t>venomf5</t>
  </si>
  <si>
    <t>毒液F5</t>
  </si>
  <si>
    <t>legosennagtr</t>
  </si>
  <si>
    <t>乐高塞纳GTR</t>
  </si>
  <si>
    <t>获取方式</t>
  </si>
  <si>
    <t>多人</t>
  </si>
  <si>
    <t>旧版会员</t>
  </si>
  <si>
    <t>旧版挑战</t>
  </si>
  <si>
    <t>旧版多人</t>
  </si>
  <si>
    <t>充值</t>
  </si>
  <si>
    <t>getMethod</t>
    <phoneticPr fontId="10" type="noConversion"/>
  </si>
  <si>
    <t>红币商店</t>
  </si>
  <si>
    <t>熔岩贴纸</t>
  </si>
  <si>
    <t>getClassCup</t>
    <phoneticPr fontId="10" type="noConversion"/>
  </si>
  <si>
    <t>getStore</t>
    <phoneticPr fontId="10" type="noConversion"/>
  </si>
  <si>
    <t>getExclusive</t>
    <phoneticPr fontId="10" type="noConversion"/>
  </si>
  <si>
    <t>getLegendPass</t>
    <phoneticPr fontId="10" type="noConversion"/>
  </si>
  <si>
    <t>getHunt</t>
    <phoneticPr fontId="10" type="noConversion"/>
  </si>
  <si>
    <t>getUnleash</t>
    <phoneticPr fontId="10" type="noConversion"/>
  </si>
  <si>
    <t>getClassicMP</t>
    <phoneticPr fontId="10" type="noConversion"/>
  </si>
  <si>
    <t>get1vs1</t>
    <phoneticPr fontId="10" type="noConversion"/>
  </si>
  <si>
    <t>getSpecialEvent</t>
    <phoneticPr fontId="10" type="noConversion"/>
  </si>
  <si>
    <t>getGrandPrix</t>
    <phoneticPr fontId="10" type="noConversion"/>
  </si>
  <si>
    <t>getDriveSyndicate</t>
    <phoneticPr fontId="10" type="noConversion"/>
  </si>
  <si>
    <t>keyCar</t>
    <phoneticPr fontId="10" type="noConversion"/>
  </si>
  <si>
    <t>openCar</t>
    <phoneticPr fontId="10" type="noConversion"/>
  </si>
  <si>
    <t>storeEpicPart</t>
    <phoneticPr fontId="10" type="noConversion"/>
  </si>
  <si>
    <t>getLoot</t>
    <phoneticPr fontId="10" type="noConversion"/>
  </si>
  <si>
    <t>getGoals</t>
    <phoneticPr fontId="10" type="noConversion"/>
  </si>
  <si>
    <t>decals</t>
    <phoneticPr fontId="10" type="noConversion"/>
  </si>
  <si>
    <t>decalsExclusive</t>
    <phoneticPr fontId="10" type="noConversion"/>
  </si>
  <si>
    <t>bodyParts</t>
    <phoneticPr fontId="10" type="noConversion"/>
  </si>
  <si>
    <t>特性</t>
  </si>
  <si>
    <t>国服2周年车贴</t>
  </si>
  <si>
    <t>nitroVisuals</t>
    <phoneticPr fontId="10" type="noConversion"/>
  </si>
  <si>
    <t>关键词</t>
  </si>
  <si>
    <t>keyWords</t>
    <phoneticPr fontId="10" type="noConversion"/>
  </si>
  <si>
    <t>2.8</t>
  </si>
  <si>
    <t>2.8</t>
    <phoneticPr fontId="10" type="noConversion"/>
  </si>
  <si>
    <t>电光火石</t>
    <phoneticPr fontId="10" type="noConversion"/>
  </si>
  <si>
    <t>天赐三菱</t>
  </si>
  <si>
    <t>宝马</t>
  </si>
  <si>
    <t>雪佛兰科迈罗</t>
  </si>
  <si>
    <t>屌丝龙</t>
  </si>
  <si>
    <t>保时捷</t>
  </si>
  <si>
    <t>阿斯顿马丁</t>
  </si>
  <si>
    <t>宾利</t>
  </si>
  <si>
    <t>er</t>
  </si>
  <si>
    <t>氢</t>
  </si>
  <si>
    <t>福特</t>
  </si>
  <si>
    <t>玛莎拉蒂</t>
  </si>
  <si>
    <t>法拉利</t>
  </si>
  <si>
    <t>迈凯伦</t>
  </si>
  <si>
    <t>波兰车</t>
  </si>
  <si>
    <t>雪铁龙</t>
  </si>
  <si>
    <t>自燃</t>
  </si>
  <si>
    <t>蔚来</t>
  </si>
  <si>
    <t>Mitsubishi</t>
  </si>
  <si>
    <t>Ginetta</t>
  </si>
  <si>
    <t>Infiniti</t>
  </si>
  <si>
    <t>Honda</t>
  </si>
  <si>
    <t>Rezvani</t>
  </si>
  <si>
    <t>Pininfarina</t>
  </si>
  <si>
    <t>Cadillac</t>
  </si>
  <si>
    <t>Maserati</t>
  </si>
  <si>
    <t>Vencer</t>
  </si>
  <si>
    <t>Mazda</t>
  </si>
  <si>
    <t>Arrinera</t>
  </si>
  <si>
    <t>Apex</t>
  </si>
  <si>
    <t>Sin</t>
  </si>
  <si>
    <t>TechRules</t>
  </si>
  <si>
    <t>Icona</t>
  </si>
  <si>
    <t>Genty</t>
  </si>
  <si>
    <t>Trion</t>
  </si>
  <si>
    <t>Nio</t>
  </si>
  <si>
    <t>Inferno</t>
  </si>
  <si>
    <t>Aspark</t>
  </si>
  <si>
    <t>Rimac</t>
  </si>
  <si>
    <t>SSC</t>
  </si>
  <si>
    <t>packLevel</t>
    <phoneticPr fontId="10" type="noConversion"/>
  </si>
  <si>
    <t>Renault</t>
  </si>
  <si>
    <t>trezor</t>
  </si>
  <si>
    <t>TreZor</t>
  </si>
  <si>
    <t>vwer</t>
  </si>
  <si>
    <t>大众电R</t>
  </si>
  <si>
    <t>Drako</t>
  </si>
  <si>
    <t>drakogte</t>
  </si>
  <si>
    <t>德拉科GTE</t>
  </si>
  <si>
    <t>c1</t>
  </si>
  <si>
    <t>C_One</t>
  </si>
  <si>
    <t>Raesr</t>
  </si>
  <si>
    <t>tachyon</t>
  </si>
  <si>
    <t>超光速</t>
  </si>
  <si>
    <t>Toroidion</t>
  </si>
  <si>
    <t>1mw</t>
  </si>
  <si>
    <t>1MW</t>
  </si>
  <si>
    <t>2款</t>
  </si>
  <si>
    <t>1款</t>
  </si>
  <si>
    <t>2.9</t>
  </si>
  <si>
    <t>兰博基尼</t>
  </si>
  <si>
    <t>马赞蒂</t>
  </si>
  <si>
    <t>Hennessey</t>
  </si>
  <si>
    <t>文艺复兴</t>
    <phoneticPr fontId="10" type="noConversion"/>
  </si>
  <si>
    <t>Saleen</t>
  </si>
  <si>
    <t>saleens1</t>
  </si>
  <si>
    <t>萨林S1</t>
  </si>
  <si>
    <t>赛麟</t>
  </si>
  <si>
    <t>Arash</t>
  </si>
  <si>
    <t>arashaf10</t>
  </si>
  <si>
    <t>阿拉什</t>
  </si>
  <si>
    <t>gtr-50</t>
  </si>
  <si>
    <t>GTR-50</t>
  </si>
  <si>
    <t>zondar</t>
  </si>
  <si>
    <t>风之子</t>
  </si>
  <si>
    <t>007s</t>
  </si>
  <si>
    <t>007S</t>
  </si>
  <si>
    <t>Naran</t>
  </si>
  <si>
    <t>纳兰</t>
  </si>
  <si>
    <t>gemera</t>
  </si>
  <si>
    <t>Gemera</t>
  </si>
  <si>
    <t>雷诺</t>
  </si>
  <si>
    <t>3.0</t>
    <phoneticPr fontId="10" type="noConversion"/>
  </si>
  <si>
    <t>虎啸凌云</t>
    <phoneticPr fontId="10" type="noConversion"/>
  </si>
  <si>
    <t>2022虎年春节</t>
  </si>
  <si>
    <t>猩红魅影</t>
  </si>
  <si>
    <t>3款</t>
  </si>
  <si>
    <t>emira</t>
  </si>
  <si>
    <t>Emira</t>
  </si>
  <si>
    <t>Bolwell</t>
  </si>
  <si>
    <t>mk500</t>
  </si>
  <si>
    <t>MK500</t>
  </si>
  <si>
    <t>Brabham</t>
  </si>
  <si>
    <t>bt62</t>
  </si>
  <si>
    <t>BT62</t>
  </si>
  <si>
    <t>mclarengt</t>
  </si>
  <si>
    <t>迈凯伦GT</t>
  </si>
  <si>
    <t>af8</t>
  </si>
  <si>
    <t>AF8</t>
  </si>
  <si>
    <t>one77</t>
  </si>
  <si>
    <t>One77</t>
  </si>
  <si>
    <t>Puritalia</t>
  </si>
  <si>
    <t>berlinetta</t>
  </si>
  <si>
    <t>Berlinetta</t>
  </si>
  <si>
    <t>sennagtr</t>
  </si>
  <si>
    <t>塞纳GTR</t>
  </si>
  <si>
    <t>xj220</t>
  </si>
  <si>
    <t>XJ220</t>
  </si>
  <si>
    <t>Vision</t>
  </si>
  <si>
    <t>1789</t>
  </si>
  <si>
    <t>Ultima</t>
  </si>
  <si>
    <t>ultimars</t>
  </si>
  <si>
    <t>Tushek</t>
  </si>
  <si>
    <t>ts900</t>
  </si>
  <si>
    <t>TS900</t>
  </si>
  <si>
    <t>3.1</t>
  </si>
  <si>
    <t>百万马力</t>
  </si>
  <si>
    <t>3.1</t>
    <phoneticPr fontId="10" type="noConversion"/>
  </si>
  <si>
    <t>星驰电掣</t>
    <phoneticPr fontId="10" type="noConversion"/>
  </si>
  <si>
    <t>3.2</t>
    <phoneticPr fontId="10" type="noConversion"/>
  </si>
  <si>
    <t>热浪</t>
    <phoneticPr fontId="10" type="noConversion"/>
  </si>
  <si>
    <t>3.2</t>
  </si>
  <si>
    <t>光子</t>
  </si>
  <si>
    <t>轩尼诗</t>
  </si>
  <si>
    <t>countach</t>
  </si>
  <si>
    <t>康塔什</t>
  </si>
  <si>
    <t>miura</t>
  </si>
  <si>
    <t>Miura</t>
  </si>
  <si>
    <t>diablo</t>
  </si>
  <si>
    <t>Diablo</t>
  </si>
  <si>
    <t>reventon</t>
  </si>
  <si>
    <t>雷文顿</t>
  </si>
  <si>
    <t>sesto</t>
  </si>
  <si>
    <t>第六元素</t>
  </si>
  <si>
    <t>lpi800</t>
  </si>
  <si>
    <t>新康塔什</t>
  </si>
  <si>
    <t>3.3</t>
  </si>
  <si>
    <t>3.3</t>
    <phoneticPr fontId="10" type="noConversion"/>
  </si>
  <si>
    <t>无限狂飙</t>
    <phoneticPr fontId="10" type="noConversion"/>
  </si>
  <si>
    <t>dezir</t>
  </si>
  <si>
    <t>Dezir</t>
  </si>
  <si>
    <t>monza</t>
  </si>
  <si>
    <t>Monza</t>
  </si>
  <si>
    <t>eb110</t>
  </si>
  <si>
    <t>EB110</t>
  </si>
  <si>
    <t>765lt</t>
  </si>
  <si>
    <t>765LT</t>
  </si>
  <si>
    <t>Security</t>
  </si>
  <si>
    <t>interceptor</t>
  </si>
  <si>
    <t>huayrar</t>
  </si>
  <si>
    <t>continentalgt</t>
  </si>
  <si>
    <t>欧陆</t>
  </si>
  <si>
    <t>日产</t>
  </si>
  <si>
    <t>3周年</t>
  </si>
  <si>
    <t>centodieci</t>
  </si>
  <si>
    <t>白龙</t>
  </si>
  <si>
    <t>lykansecurity</t>
  </si>
  <si>
    <t>naran</t>
  </si>
  <si>
    <t>3.4</t>
  </si>
  <si>
    <t>周末爆冲</t>
  </si>
  <si>
    <t>路特斯</t>
  </si>
  <si>
    <t>3款大奖赛贴纸</t>
  </si>
  <si>
    <t>迈凯伦塞纳</t>
  </si>
  <si>
    <t>奥特曼</t>
  </si>
  <si>
    <t>3.4</t>
    <phoneticPr fontId="10" type="noConversion"/>
  </si>
  <si>
    <t>皇家巡回</t>
    <phoneticPr fontId="10" type="noConversion"/>
  </si>
  <si>
    <t>3.5</t>
    <phoneticPr fontId="10" type="noConversion"/>
  </si>
  <si>
    <t>新世代：对决</t>
    <phoneticPr fontId="10" type="noConversion"/>
  </si>
  <si>
    <t>sr1</t>
  </si>
  <si>
    <t>SR1</t>
  </si>
  <si>
    <t>Glickenhaus</t>
  </si>
  <si>
    <t>004c</t>
  </si>
  <si>
    <t>004C</t>
  </si>
  <si>
    <t>3.5</t>
  </si>
  <si>
    <t>project8</t>
  </si>
  <si>
    <t>Project8</t>
  </si>
  <si>
    <t>r390</t>
  </si>
  <si>
    <t>R390</t>
  </si>
  <si>
    <t>Ajlani</t>
  </si>
  <si>
    <t>drakuma</t>
  </si>
  <si>
    <t>Drakuma</t>
  </si>
  <si>
    <t>agerars</t>
  </si>
  <si>
    <t>370zneon</t>
  </si>
  <si>
    <t>370霓虹</t>
  </si>
  <si>
    <t>3.6</t>
  </si>
  <si>
    <t>3.6</t>
    <phoneticPr fontId="10" type="noConversion"/>
  </si>
  <si>
    <t>兔飞猛进</t>
    <phoneticPr fontId="10" type="noConversion"/>
  </si>
  <si>
    <t>拦路虎</t>
  </si>
  <si>
    <t>帕加尼</t>
  </si>
  <si>
    <t>拦路狼</t>
  </si>
  <si>
    <t>3.7</t>
  </si>
  <si>
    <t>3.7</t>
    <phoneticPr fontId="10" type="noConversion"/>
  </si>
  <si>
    <t>牛转乾坤</t>
    <phoneticPr fontId="10" type="noConversion"/>
  </si>
  <si>
    <t>3.8</t>
    <phoneticPr fontId="10" type="noConversion"/>
  </si>
  <si>
    <t>环球飞驰</t>
    <phoneticPr fontId="10" type="noConversion"/>
  </si>
  <si>
    <t>3.8</t>
  </si>
  <si>
    <t>柯尼塞格</t>
  </si>
  <si>
    <t>精英赛</t>
  </si>
  <si>
    <t>4款</t>
  </si>
  <si>
    <t>boxster</t>
  </si>
  <si>
    <t>Boxster</t>
  </si>
  <si>
    <t>3.9</t>
  </si>
  <si>
    <t>Praga</t>
  </si>
  <si>
    <t>praga</t>
  </si>
  <si>
    <t>Ares</t>
  </si>
  <si>
    <t>ares</t>
  </si>
  <si>
    <t>战神</t>
  </si>
  <si>
    <t>9x8</t>
  </si>
  <si>
    <t>650s</t>
  </si>
  <si>
    <t>650S</t>
  </si>
  <si>
    <t>Chrysler</t>
  </si>
  <si>
    <t>me412</t>
  </si>
  <si>
    <t>ME412</t>
  </si>
  <si>
    <t>克莱斯勒</t>
  </si>
  <si>
    <t>lykanneon</t>
  </si>
  <si>
    <t>霓虹狼崽</t>
  </si>
  <si>
    <t>莱肯</t>
  </si>
  <si>
    <t>bolide</t>
  </si>
  <si>
    <t>玻璃龙</t>
  </si>
  <si>
    <t>3.9</t>
    <phoneticPr fontId="10" type="noConversion"/>
  </si>
  <si>
    <t>肆意狂飙</t>
    <phoneticPr fontId="10" type="noConversion"/>
  </si>
  <si>
    <t>R</t>
  </si>
  <si>
    <t>ruby</t>
    <phoneticPr fontId="10" type="noConversion"/>
  </si>
  <si>
    <t>F50</t>
  </si>
  <si>
    <t>f50</t>
  </si>
  <si>
    <t>4.0</t>
  </si>
  <si>
    <t>D8</t>
  </si>
  <si>
    <t>Donkervoort</t>
  </si>
  <si>
    <t>d8</t>
  </si>
  <si>
    <t>拖拉机</t>
  </si>
  <si>
    <t>梅奔BS</t>
  </si>
  <si>
    <t>mbbs</t>
  </si>
  <si>
    <t>600LT</t>
  </si>
  <si>
    <t>600lt</t>
  </si>
  <si>
    <t>Spano</t>
  </si>
  <si>
    <t>spano</t>
  </si>
  <si>
    <t>FF01</t>
  </si>
  <si>
    <t>ff01</t>
  </si>
  <si>
    <t>道路测试</t>
  </si>
  <si>
    <t>福特P1</t>
  </si>
  <si>
    <t>fordp1</t>
  </si>
  <si>
    <t>都灵</t>
  </si>
  <si>
    <t>torino</t>
  </si>
  <si>
    <t>都林</t>
  </si>
  <si>
    <t>4.0</t>
    <phoneticPr fontId="10" type="noConversion"/>
  </si>
  <si>
    <t>都市光华</t>
    <phoneticPr fontId="10" type="noConversion"/>
  </si>
  <si>
    <t>Victor</t>
  </si>
  <si>
    <t>GTX</t>
  </si>
  <si>
    <t>KTM</t>
  </si>
  <si>
    <t>gtx</t>
  </si>
  <si>
    <t>4.1</t>
  </si>
  <si>
    <t>MC12</t>
  </si>
  <si>
    <t>mc12</t>
  </si>
  <si>
    <t>开普勒</t>
  </si>
  <si>
    <t>Kepler</t>
  </si>
  <si>
    <t>motion</t>
  </si>
  <si>
    <t>R牛</t>
  </si>
  <si>
    <t>revuelto</t>
  </si>
  <si>
    <t>狂飙寻宝</t>
  </si>
  <si>
    <t>XJR-9</t>
  </si>
  <si>
    <t>xjr</t>
  </si>
  <si>
    <t>FV</t>
  </si>
  <si>
    <t>sorpasso</t>
  </si>
  <si>
    <t>废物</t>
  </si>
  <si>
    <t>CCXR</t>
  </si>
  <si>
    <t>ccxr</t>
  </si>
  <si>
    <t>传奇</t>
  </si>
  <si>
    <t>杰皇</t>
  </si>
  <si>
    <t>jkab</t>
  </si>
  <si>
    <t>擂台挑战</t>
  </si>
  <si>
    <t>传奇</t>
    <phoneticPr fontId="10" type="noConversion"/>
  </si>
  <si>
    <t>4.1</t>
    <phoneticPr fontId="10" type="noConversion"/>
  </si>
  <si>
    <t>扬帆起航</t>
    <phoneticPr fontId="10" type="noConversion"/>
  </si>
  <si>
    <t>clk</t>
  </si>
  <si>
    <t>4.2</t>
  </si>
  <si>
    <t>梅赛德斯奔驰</t>
  </si>
  <si>
    <t>帕拉梅拉</t>
  </si>
  <si>
    <t>panamera</t>
  </si>
  <si>
    <t>m4gt3</t>
  </si>
  <si>
    <t>菠萝EVO</t>
  </si>
  <si>
    <t>apolloevo</t>
  </si>
  <si>
    <t>阿波罗</t>
  </si>
  <si>
    <t>935</t>
  </si>
  <si>
    <t>P72</t>
  </si>
  <si>
    <t>p72</t>
  </si>
  <si>
    <t>4.2</t>
    <phoneticPr fontId="10" type="noConversion"/>
  </si>
  <si>
    <t>寻梦漫游</t>
    <phoneticPr fontId="10" type="noConversion"/>
  </si>
  <si>
    <t>XJR-15</t>
  </si>
  <si>
    <t>xjr-15</t>
  </si>
  <si>
    <t>4.3</t>
  </si>
  <si>
    <t>vantage</t>
  </si>
  <si>
    <t>solus</t>
  </si>
  <si>
    <t>霓虹GTR</t>
  </si>
  <si>
    <t>gtrneon</t>
  </si>
  <si>
    <t>M600</t>
  </si>
  <si>
    <t>Noble</t>
  </si>
  <si>
    <t>m600</t>
  </si>
  <si>
    <t>萨林S7</t>
  </si>
  <si>
    <t>saleens7</t>
  </si>
  <si>
    <t>CC850</t>
  </si>
  <si>
    <t>cc850</t>
  </si>
  <si>
    <t>诺贝尔</t>
  </si>
  <si>
    <t>4.3</t>
    <phoneticPr fontId="10" type="noConversion"/>
  </si>
  <si>
    <t>龙腾万里</t>
    <phoneticPr fontId="10" type="noConversion"/>
  </si>
  <si>
    <t>Vantage</t>
  </si>
  <si>
    <t>电马</t>
  </si>
  <si>
    <t>e1400</t>
  </si>
  <si>
    <t>4.4</t>
  </si>
  <si>
    <t>DSP</t>
  </si>
  <si>
    <t>dsp</t>
  </si>
  <si>
    <t>Artura</t>
  </si>
  <si>
    <t>MC20</t>
  </si>
  <si>
    <t>mc20</t>
  </si>
  <si>
    <t>CS</t>
  </si>
  <si>
    <t>cs</t>
  </si>
  <si>
    <t>Vayanne</t>
  </si>
  <si>
    <t>Deus</t>
  </si>
  <si>
    <t>vayanne</t>
  </si>
  <si>
    <t>300+</t>
  </si>
  <si>
    <t>狂野大师</t>
  </si>
  <si>
    <t>4.4</t>
    <phoneticPr fontId="10" type="noConversion"/>
  </si>
  <si>
    <t>科技觉醒</t>
    <phoneticPr fontId="10" type="noConversion"/>
  </si>
  <si>
    <t>artura</t>
  </si>
  <si>
    <t>hommage</t>
  </si>
  <si>
    <t>chiron300</t>
  </si>
  <si>
    <t>uncommonPartCost</t>
    <phoneticPr fontId="10" type="noConversion"/>
  </si>
  <si>
    <t>大师条件</t>
  </si>
  <si>
    <t>Giulia</t>
  </si>
  <si>
    <t>giulia</t>
  </si>
  <si>
    <t>4.5</t>
  </si>
  <si>
    <t>阿尔法罗密欧</t>
  </si>
  <si>
    <t>戴通纳SP3</t>
  </si>
  <si>
    <t>daytonasp3</t>
  </si>
  <si>
    <t>法拉利戴通纳</t>
  </si>
  <si>
    <t>STO</t>
  </si>
  <si>
    <t>huracansto</t>
  </si>
  <si>
    <t>兰博基尼飓风小牛</t>
  </si>
  <si>
    <t>小小牛</t>
  </si>
  <si>
    <t>fegen2</t>
  </si>
  <si>
    <t>电方电动方程式</t>
  </si>
  <si>
    <t>乌托邦</t>
  </si>
  <si>
    <t>utopia</t>
  </si>
  <si>
    <t>帕加尼乌托邦</t>
  </si>
  <si>
    <t>atsgt</t>
  </si>
  <si>
    <t>4.5</t>
    <phoneticPr fontId="10" type="noConversion"/>
  </si>
  <si>
    <t>速度进化</t>
    <phoneticPr fontId="10" type="noConversion"/>
  </si>
  <si>
    <t>VisionAMG</t>
  </si>
  <si>
    <t>visionamg</t>
  </si>
  <si>
    <t>4.6</t>
  </si>
  <si>
    <t>296GTB</t>
  </si>
  <si>
    <t>296</t>
  </si>
  <si>
    <t>无敌牛</t>
  </si>
  <si>
    <t>invencible</t>
  </si>
  <si>
    <t>Zagato</t>
  </si>
  <si>
    <t>zagato</t>
  </si>
  <si>
    <t>Mistral</t>
  </si>
  <si>
    <t>mistral</t>
  </si>
  <si>
    <t>狂飙赏金</t>
  </si>
  <si>
    <t>恶魔</t>
  </si>
  <si>
    <t>Devel</t>
  </si>
  <si>
    <t>sixteen</t>
  </si>
  <si>
    <t>4.6</t>
    <phoneticPr fontId="10" type="noConversion"/>
  </si>
  <si>
    <t>无限超越</t>
    <phoneticPr fontId="10" type="noConversion"/>
  </si>
  <si>
    <t>日产 尼桑</t>
  </si>
  <si>
    <t>道奇 挑战者 送人头 e霸</t>
  </si>
  <si>
    <t>KTM X-Bow GTX</t>
  </si>
  <si>
    <t>BMW 3.0 CSL Hommage</t>
  </si>
  <si>
    <t>雪佛兰 科迈罗</t>
  </si>
  <si>
    <t>DS Automobiles</t>
  </si>
  <si>
    <t>Porsche Boxster 25th</t>
  </si>
  <si>
    <t>日产 尼桑 聆风</t>
  </si>
  <si>
    <t>BMW i8 Roadster</t>
  </si>
  <si>
    <t>Italdesign Davinci</t>
  </si>
  <si>
    <t>达芬奇 id</t>
  </si>
  <si>
    <t>Renault Dezir</t>
  </si>
  <si>
    <t>Peugeot SR1</t>
  </si>
  <si>
    <t>Infiniti Project Black S</t>
  </si>
  <si>
    <t>Lotus Emira</t>
  </si>
  <si>
    <t>Lamborghini Countach 25th Anniversary</t>
  </si>
  <si>
    <t>Praga R1</t>
  </si>
  <si>
    <t>Glickenhaus 004C🔑</t>
  </si>
  <si>
    <t>Alfa Romeo Giulia GTAm🔑</t>
  </si>
  <si>
    <t>Alfa Romeo</t>
  </si>
  <si>
    <t>Ford Mustang Mach-E1400🔑</t>
  </si>
  <si>
    <t>福特 野马</t>
  </si>
  <si>
    <t>路特斯 大莲花</t>
  </si>
  <si>
    <t>道奇 挑战者</t>
  </si>
  <si>
    <t>Aston Martin</t>
  </si>
  <si>
    <t>路特斯 小莲花</t>
  </si>
  <si>
    <t>Jaguar F-Type SVR</t>
  </si>
  <si>
    <t>野马 福特</t>
  </si>
  <si>
    <t>思域 宏达 本田</t>
  </si>
  <si>
    <t>大野马 福特 阿巴</t>
  </si>
  <si>
    <t>Renault TreZor</t>
  </si>
  <si>
    <t>雷诺 红头盔</t>
  </si>
  <si>
    <t>Aston Martin V12 Speedster</t>
  </si>
  <si>
    <t>Chevrolet Corvette</t>
  </si>
  <si>
    <t>雪佛兰 克尔维特</t>
  </si>
  <si>
    <t>Ferrari F50</t>
  </si>
  <si>
    <t>Bolwell MK X Nagari 500</t>
  </si>
  <si>
    <t>Donkervoort D8 GTO Individual Series</t>
  </si>
  <si>
    <t>Volkswagen Electric R🔑</t>
  </si>
  <si>
    <t>Mercedes-Benz CLK-GTR</t>
  </si>
  <si>
    <t>CLK GTR</t>
  </si>
  <si>
    <t>Maserati MC12🔑</t>
  </si>
  <si>
    <t>Arash AF10</t>
  </si>
  <si>
    <t>Nissan 370Z Nismo Neon Edition🔑</t>
  </si>
  <si>
    <t>日产 霓虹 花栗鼠</t>
  </si>
  <si>
    <t>Saleen S1</t>
  </si>
  <si>
    <t>Jaguar XJR-15</t>
  </si>
  <si>
    <t>Mercedes-Benz 2022 Showcar Vision AMG</t>
  </si>
  <si>
    <t>Arash AF8 Falcon Edition🔑</t>
  </si>
  <si>
    <t>Jaguar XE SV Project 8</t>
  </si>
  <si>
    <t>Ferrari Monza SP1</t>
  </si>
  <si>
    <t>Ares S1🔑</t>
  </si>
  <si>
    <t>Porsche Panamera Turbo S</t>
  </si>
  <si>
    <t>DS Automobiles DS E-Tense Performance</t>
  </si>
  <si>
    <t>Mercedes-Benz Mercedes-AMG GT Black Series🔑</t>
  </si>
  <si>
    <t>梅赛德斯 奔驰</t>
  </si>
  <si>
    <t>Ferrari 296 GTB🔑</t>
  </si>
  <si>
    <t>Ferrari Daytona SP3🔑</t>
  </si>
  <si>
    <t>Exotic Rides</t>
  </si>
  <si>
    <t>Top Speed</t>
  </si>
  <si>
    <t>福特 极速是爹</t>
  </si>
  <si>
    <t>道奇 蝰蛇 C蛇</t>
  </si>
  <si>
    <t>蓝牛 牛A 牛B 兰博基尼</t>
  </si>
  <si>
    <t>阿斯顿马丁 火山</t>
  </si>
  <si>
    <t>Ferrari Roma</t>
  </si>
  <si>
    <t>法拉利 罗马</t>
  </si>
  <si>
    <t>ass 斯卡洛</t>
  </si>
  <si>
    <t>GTR 日产 尼桑</t>
  </si>
  <si>
    <t>凯迪拉克 棺材 塞恩</t>
  </si>
  <si>
    <t>法拉利 勾</t>
  </si>
  <si>
    <t>Lamborghini Huracan STO</t>
  </si>
  <si>
    <t>Lamborghini Huracan Super Trofeo Evo🔑</t>
  </si>
  <si>
    <t>兰博基尼 飓风 小小牛</t>
  </si>
  <si>
    <t>McLaren Artura</t>
  </si>
  <si>
    <t>假牛 id</t>
  </si>
  <si>
    <t>蝰蛇 紫蛇 道奇 A蛇 B蛇</t>
  </si>
  <si>
    <t>Bentley Continental GT Speed</t>
  </si>
  <si>
    <t>宾利 欧陆</t>
  </si>
  <si>
    <t>ATS Automobili Corsa RRTurbo🔑</t>
  </si>
  <si>
    <t>ATS Automobili</t>
  </si>
  <si>
    <t>Kepler Motion</t>
  </si>
  <si>
    <t>马自达 风籁 B霸</t>
  </si>
  <si>
    <t>大鼻屎 阿斯顿马丁</t>
  </si>
  <si>
    <t>McLaren GT🔑</t>
  </si>
  <si>
    <t>Drako GTE</t>
  </si>
  <si>
    <t>Brabham BT62🔑</t>
  </si>
  <si>
    <t>McLaren Elva</t>
  </si>
  <si>
    <t>Renault R.S. 01🔑</t>
  </si>
  <si>
    <t>Acura NSX GT3 EVO🔑</t>
  </si>
  <si>
    <t>NSX GT3</t>
  </si>
  <si>
    <t>Nissan R390 GT1🔑</t>
  </si>
  <si>
    <t>McLaren 765LT</t>
  </si>
  <si>
    <t>BMW M4 GT3</t>
  </si>
  <si>
    <t>M4 GT3</t>
  </si>
  <si>
    <t>Lamborghini Miura Concept🔑</t>
  </si>
  <si>
    <t>Bugatti EB110🔑</t>
  </si>
  <si>
    <t>Aston Martin One77</t>
  </si>
  <si>
    <t>Maserati MC20🔑</t>
  </si>
  <si>
    <t>雪佛兰 克尔维特 黄貂鱼 C8</t>
  </si>
  <si>
    <t>Lamborghini Diablo GT</t>
  </si>
  <si>
    <t>Lamborghini Reventon Roadster🔑</t>
  </si>
  <si>
    <t>Formula E Gen 2 Asphalt Edition</t>
  </si>
  <si>
    <t>Formula E</t>
  </si>
  <si>
    <t>Aston Martin V12 Vantage 2022</t>
  </si>
  <si>
    <t>McLaren 600LT Spider</t>
  </si>
  <si>
    <t>Mclaren Solus GT🔑</t>
  </si>
  <si>
    <t>Solus GT</t>
  </si>
  <si>
    <t>Lamborghini Invencible</t>
  </si>
  <si>
    <t>4109 是人都有 飓风 小牛 胡乱砍</t>
  </si>
  <si>
    <t>Lamborghini Sesto Elemento</t>
  </si>
  <si>
    <t>兰博基尼 第六元素</t>
  </si>
  <si>
    <t>Apollo EVO</t>
  </si>
  <si>
    <t>Lamborghini Revuelto</t>
  </si>
  <si>
    <t>兰博基尼 大牛 橙牛</t>
  </si>
  <si>
    <t>法拉利 拉法</t>
  </si>
  <si>
    <t>Glickenhaus 003S</t>
  </si>
  <si>
    <t>阿波罗 菠萝</t>
  </si>
  <si>
    <t>Pagani Zonda HP Barchetta🔑</t>
  </si>
  <si>
    <t>帕加尼 惠普</t>
  </si>
  <si>
    <t>兰博基尼 百年牛</t>
  </si>
  <si>
    <t>法拉利 掏大粪 土豆粉</t>
  </si>
  <si>
    <t>兰博基尼 盖拉多</t>
  </si>
  <si>
    <t>兰博基尼 大牛</t>
  </si>
  <si>
    <t>法拉利 马王</t>
  </si>
  <si>
    <t>LEGO Technic</t>
  </si>
  <si>
    <t>大捷豹 cx75</t>
  </si>
  <si>
    <t>cgs 雪佛兰 克尔维特 五菱</t>
  </si>
  <si>
    <t>Lamborghini Murcielago LP 640 Roadster</t>
  </si>
  <si>
    <t>兰博基尼 蝙蝠</t>
  </si>
  <si>
    <t>叶问 1v10 甄子丹</t>
  </si>
  <si>
    <t>法拉利 超级快 超快 超速</t>
  </si>
  <si>
    <t>Apollo IE</t>
  </si>
  <si>
    <t>兰博基尼 红牛</t>
  </si>
  <si>
    <t>保时捷 卡雷拉 cgt</t>
  </si>
  <si>
    <t>法拉利 恩佐</t>
  </si>
  <si>
    <t>保时捷 绿蛙</t>
  </si>
  <si>
    <t>腾风 泰克鲁斯</t>
  </si>
  <si>
    <t>McLaren Senna GTR</t>
  </si>
  <si>
    <t>Peugeot Onyx</t>
  </si>
  <si>
    <t>标致 大狮子</t>
  </si>
  <si>
    <t>Lamborghini Essenza SCV12🔑</t>
  </si>
  <si>
    <t>Puritalia Berlinetta</t>
  </si>
  <si>
    <t>兰博基尼 四川</t>
  </si>
  <si>
    <t>Lamborghini Aventador SVJ Roadster</t>
  </si>
  <si>
    <t>Raesr Tachyon Speed🔑</t>
  </si>
  <si>
    <t>Aston Martin DBS GT Zagato</t>
  </si>
  <si>
    <t>Nissan GTR-50 Italdesign</t>
  </si>
  <si>
    <t>Pagani Zonda R🔑</t>
  </si>
  <si>
    <t>帕加尼 风之子</t>
  </si>
  <si>
    <t>Peugeot 9x8</t>
  </si>
  <si>
    <t>Glickenhaus 007S🔑</t>
  </si>
  <si>
    <t>Nissan GT-R Neon Edition</t>
  </si>
  <si>
    <t>Porsche 935(2019)🔑</t>
  </si>
  <si>
    <t>Aston Martin Victor</t>
  </si>
  <si>
    <t>阿斯顿马丁 维克多</t>
  </si>
  <si>
    <t>Pagani Huayra R</t>
  </si>
  <si>
    <t>Huayra R</t>
  </si>
  <si>
    <t>Mclaren 650S GT3</t>
  </si>
  <si>
    <t>Security Interceptor</t>
  </si>
  <si>
    <t>Pagani Utopia Coupe🔑</t>
  </si>
  <si>
    <t>Jaguar XJR-9</t>
  </si>
  <si>
    <t>Noble M600 Speedster</t>
  </si>
  <si>
    <t>阿斯顿马丁 英灵殿 瓦</t>
  </si>
  <si>
    <t>De Tomaso P72🔑</t>
  </si>
  <si>
    <t>De Tomaso</t>
  </si>
  <si>
    <t>W Motors</t>
  </si>
  <si>
    <t>狼崽 莱肯</t>
  </si>
  <si>
    <t>Vanda Electrics</t>
  </si>
  <si>
    <t>兰博基尼 毒药</t>
  </si>
  <si>
    <t>ATS Automobili GT</t>
  </si>
  <si>
    <t>ATS GT</t>
  </si>
  <si>
    <t>Jaguar XJ220 TWR🔑</t>
  </si>
  <si>
    <t>兰博基尼 自私</t>
  </si>
  <si>
    <t>Chrysler ME412</t>
  </si>
  <si>
    <t>帕加尼 风神</t>
  </si>
  <si>
    <t>法拉利 敞篷拉法 黑拉法</t>
  </si>
  <si>
    <t>Zenvo TSR-S🔑</t>
  </si>
  <si>
    <t>小自燃 摇摆</t>
  </si>
  <si>
    <t>Lamborghini SC20🔑</t>
  </si>
  <si>
    <t>Volkswagen W12 Coupe🔑</t>
  </si>
  <si>
    <t>Spania GTA 2015 GTA Spano</t>
  </si>
  <si>
    <t>Spania GTA</t>
  </si>
  <si>
    <t>FV Frangivento Sorpasso GT3🔑</t>
  </si>
  <si>
    <t>FV Frangivento</t>
  </si>
  <si>
    <t>电牛 兰博基尼 千年牛</t>
  </si>
  <si>
    <t>迈凯伦 塞纳</t>
  </si>
  <si>
    <t>Bugatti Veyron 16.4 Grand Sport Vitesse</t>
  </si>
  <si>
    <t>布加迪 威航</t>
  </si>
  <si>
    <t>电莲花 路特斯</t>
  </si>
  <si>
    <t>Vision 1789</t>
  </si>
  <si>
    <t>狼王 芬尼尔</t>
  </si>
  <si>
    <t>Aston Martin Valkyrie</t>
  </si>
  <si>
    <t>Rimac Concept_One</t>
  </si>
  <si>
    <t>Rimac Concept S</t>
  </si>
  <si>
    <t>法拉利 顺丰</t>
  </si>
  <si>
    <t>Automobili Pininfarina</t>
  </si>
  <si>
    <t>巴蒂斯塔 秋王</t>
  </si>
  <si>
    <t>Pagani Imola</t>
  </si>
  <si>
    <t>帕加尼 伊莫拉</t>
  </si>
  <si>
    <t>Naran Hyper Coupe</t>
  </si>
  <si>
    <t>Lamborghini Countach LPI 800-4🔑</t>
  </si>
  <si>
    <t>Nio EP9</t>
  </si>
  <si>
    <t>迈凯伦 速尾 速度尾巴</t>
  </si>
  <si>
    <t>Faraday Future FFZero1</t>
  </si>
  <si>
    <t>Faraday Future</t>
  </si>
  <si>
    <t>法拉第未来 贾跃亭 假药停</t>
  </si>
  <si>
    <t>Bugatti Divo</t>
  </si>
  <si>
    <t>布加迪 老大爷</t>
  </si>
  <si>
    <t>统治 柯尼塞格 雷旮旯</t>
  </si>
  <si>
    <t>Saleen S7 twin Turbo</t>
  </si>
  <si>
    <t>Ultima RS🔑</t>
  </si>
  <si>
    <t>Ultima RS</t>
  </si>
  <si>
    <t>Ajlani Drakuma</t>
  </si>
  <si>
    <t>Ford Team FordZilla P1</t>
  </si>
  <si>
    <t>Inferno Automobili Inferno</t>
  </si>
  <si>
    <t>地狱火 QQ飞车</t>
  </si>
  <si>
    <t>Torino Design Super Sport🔑</t>
  </si>
  <si>
    <t>Torino Design</t>
  </si>
  <si>
    <t>布加迪 奇龙 肥龙 胖龙 凯龙</t>
  </si>
  <si>
    <t>鞋拔子 鼻息肉</t>
  </si>
  <si>
    <t>Tushek TS 900 Racer Pro</t>
  </si>
  <si>
    <t>Mazzanti Evantra Millecavalli</t>
  </si>
  <si>
    <t>Toroidion 1MW</t>
  </si>
  <si>
    <t>杰哥 柯尼塞格</t>
  </si>
  <si>
    <t>Bugatti Centodieci🔑</t>
  </si>
  <si>
    <t>Lamborghini Sian FKP 37🔑</t>
  </si>
  <si>
    <t>兰博基尼 西安</t>
  </si>
  <si>
    <t>Aspark Owl</t>
  </si>
  <si>
    <t>Rimac Nevera🔑</t>
  </si>
  <si>
    <t>兔子 c2</t>
  </si>
  <si>
    <t>SSC Tuatara</t>
  </si>
  <si>
    <t>Koenigsegg Agera RS</t>
  </si>
  <si>
    <t>Agera RS</t>
  </si>
  <si>
    <t>W Motors Lykan Security</t>
  </si>
  <si>
    <t>Koenigsegg CCXR🔑</t>
  </si>
  <si>
    <t>Bugatti LA Voiture Noire🔑</t>
  </si>
  <si>
    <t>Deus Vayanne</t>
  </si>
  <si>
    <t>Koenigsegg Gemera🔑</t>
  </si>
  <si>
    <t>杰弟 柯尼塞格</t>
  </si>
  <si>
    <t>Hennessey Venom F5</t>
  </si>
  <si>
    <t>Koenigsegg CC850🔑</t>
  </si>
  <si>
    <t>Devel Sixteen🔑</t>
  </si>
  <si>
    <t>十六 16</t>
  </si>
  <si>
    <t>Bugatti Bolide🔑</t>
  </si>
  <si>
    <t>Bugatti Chiron Super Sport 300+🔑</t>
  </si>
  <si>
    <t>Koenigsegg Jesko Absolut</t>
  </si>
  <si>
    <t>Porsche 911 Carrera RS 3.8</t>
  </si>
  <si>
    <t>Carrera RS</t>
  </si>
  <si>
    <t>carrerars</t>
  </si>
  <si>
    <t>De Tomaso P900</t>
  </si>
  <si>
    <t>P900</t>
  </si>
  <si>
    <t>p900</t>
  </si>
  <si>
    <t>Lamborghini SC63🔑</t>
  </si>
  <si>
    <t>SC63</t>
  </si>
  <si>
    <t>sc63</t>
  </si>
  <si>
    <t>Asfane</t>
  </si>
  <si>
    <t>asfane</t>
  </si>
  <si>
    <t>Zenvo Aurora Tur</t>
  </si>
  <si>
    <t>极光</t>
  </si>
  <si>
    <t>tur</t>
  </si>
  <si>
    <t>飞跃之旅</t>
    <phoneticPr fontId="10" type="noConversion"/>
  </si>
  <si>
    <t>Ferrari 488 Challenge EVO🔑</t>
  </si>
  <si>
    <t>FV Frangivento Asfane🔑</t>
  </si>
  <si>
    <t>4.8</t>
  </si>
  <si>
    <t>德托马索</t>
  </si>
  <si>
    <t>Maserati MC20 GT2🔑</t>
  </si>
  <si>
    <t>MC20GT2</t>
  </si>
  <si>
    <t>mc20gt2</t>
  </si>
  <si>
    <t>4.9</t>
  </si>
  <si>
    <t>Aston Martin DB12</t>
  </si>
  <si>
    <t>DB12</t>
  </si>
  <si>
    <t>db12</t>
  </si>
  <si>
    <t>ER9</t>
  </si>
  <si>
    <t>er9</t>
  </si>
  <si>
    <t>Mcmurtry Speirling</t>
  </si>
  <si>
    <t>Speirling</t>
  </si>
  <si>
    <t>Mcmurtry</t>
  </si>
  <si>
    <t>speirling</t>
  </si>
  <si>
    <t>4.8</t>
    <phoneticPr fontId="10" type="noConversion"/>
  </si>
  <si>
    <t>4.9</t>
    <phoneticPr fontId="10" type="noConversion"/>
  </si>
  <si>
    <t>超能增压</t>
    <phoneticPr fontId="10" type="noConversion"/>
  </si>
  <si>
    <t>Lotus E-R9🔑</t>
  </si>
  <si>
    <t>Bugatti Mistral🔑</t>
  </si>
  <si>
    <t>5.0</t>
    <phoneticPr fontId="10" type="noConversion"/>
  </si>
  <si>
    <t>瑞蛇迎春</t>
    <phoneticPr fontId="10" type="noConversion"/>
  </si>
  <si>
    <t>Porsche Mission R</t>
  </si>
  <si>
    <t>Mission R</t>
  </si>
  <si>
    <t>missionr</t>
  </si>
  <si>
    <t>5.0</t>
  </si>
  <si>
    <t>保时捷 任务</t>
  </si>
  <si>
    <t>Ford Mustang RTR Spec 5 10th Anniv.</t>
  </si>
  <si>
    <t>野马RTR</t>
  </si>
  <si>
    <t>rtr</t>
  </si>
  <si>
    <t>Lamborghini Autentica🔑</t>
  </si>
  <si>
    <t>Autentica</t>
  </si>
  <si>
    <t>autentica</t>
  </si>
  <si>
    <t>Ford GT CNY Edition</t>
  </si>
  <si>
    <t>GT春节版</t>
  </si>
  <si>
    <t>gtcny</t>
  </si>
  <si>
    <t>限时赛事</t>
  </si>
  <si>
    <t>福特 极速是爹 人民币</t>
  </si>
  <si>
    <t>Ferrari SF90 XX Stradale</t>
  </si>
  <si>
    <t>SF90XX</t>
  </si>
  <si>
    <t>sf90xx</t>
  </si>
  <si>
    <t>PS龙</t>
  </si>
  <si>
    <t>pursport</t>
  </si>
  <si>
    <t>Mercedes-Benz Silver Lightning🔑</t>
  </si>
  <si>
    <t>银电</t>
  </si>
  <si>
    <t>silver</t>
  </si>
  <si>
    <t>银色闪电 梅赛德斯奔驰</t>
  </si>
  <si>
    <t>W Motors Lykan HyperSport Neon Edition</t>
  </si>
  <si>
    <t>Bugatti Chiron Pur Sport🔑</t>
  </si>
  <si>
    <t>史诗零件</t>
  </si>
  <si>
    <t>LEGO Technic Chevrolet Corvette Stingray</t>
  </si>
  <si>
    <t>乐高C8R</t>
  </si>
  <si>
    <t>legostingray</t>
  </si>
  <si>
    <t>黄貂鱼 雪佛兰 克尔维特</t>
  </si>
  <si>
    <t>TVR Sagaris</t>
  </si>
  <si>
    <t>Sagaris</t>
  </si>
  <si>
    <t>sagaris</t>
  </si>
  <si>
    <t>5.1</t>
  </si>
  <si>
    <t>Valour</t>
  </si>
  <si>
    <t>valour</t>
  </si>
  <si>
    <t>Lamborghini Temerario</t>
  </si>
  <si>
    <t>Temerario</t>
  </si>
  <si>
    <t>temerario</t>
  </si>
  <si>
    <t>Vision 111</t>
  </si>
  <si>
    <t>vision111</t>
  </si>
  <si>
    <t>Imperium</t>
  </si>
  <si>
    <t>imperium</t>
  </si>
  <si>
    <t>Czinger 21C</t>
  </si>
  <si>
    <t>21C</t>
  </si>
  <si>
    <t>Czinger</t>
  </si>
  <si>
    <t>21c</t>
  </si>
  <si>
    <t>速度巡游</t>
    <phoneticPr fontId="10" type="noConversion"/>
  </si>
  <si>
    <t>5.1</t>
    <phoneticPr fontId="10" type="noConversion"/>
  </si>
  <si>
    <t>Aston Martin Valour🔑</t>
  </si>
  <si>
    <t>紫蛇</t>
  </si>
  <si>
    <t>5.2</t>
  </si>
  <si>
    <t>5.2</t>
    <phoneticPr fontId="10" type="noConversion"/>
  </si>
  <si>
    <t>极速狂欢</t>
    <phoneticPr fontId="10" type="noConversion"/>
  </si>
  <si>
    <t>Kimera EVO37🔑</t>
  </si>
  <si>
    <t>EVO37</t>
  </si>
  <si>
    <t>Kimera</t>
  </si>
  <si>
    <t>evo37</t>
  </si>
  <si>
    <t>Porsche 911 50 Years Porsche Design</t>
  </si>
  <si>
    <t>911 50周年</t>
  </si>
  <si>
    <t>91150</t>
  </si>
  <si>
    <t>Praga Bohema</t>
  </si>
  <si>
    <t>Bohema</t>
  </si>
  <si>
    <t>bohema</t>
  </si>
  <si>
    <t>FE Gen 2</t>
  </si>
  <si>
    <t>FV Frangivento GT65🔑</t>
  </si>
  <si>
    <t>GT65</t>
  </si>
  <si>
    <t>gt65</t>
  </si>
  <si>
    <t>LEGO Technic Mclaren Senna GTR</t>
  </si>
  <si>
    <t>FE Gen3</t>
  </si>
  <si>
    <t>fegen3</t>
  </si>
  <si>
    <t>专属赛事</t>
  </si>
  <si>
    <t>电动方程式 电方</t>
  </si>
  <si>
    <t>499P</t>
  </si>
  <si>
    <t>499p</t>
  </si>
  <si>
    <t>腾风龙舟</t>
  </si>
  <si>
    <t>at96db</t>
  </si>
  <si>
    <t>泰克鲁斯</t>
  </si>
  <si>
    <t>HTT Locus Plethore LC750</t>
  </si>
  <si>
    <t>HTT</t>
  </si>
  <si>
    <t>htt</t>
  </si>
  <si>
    <t>红彤彤</t>
  </si>
  <si>
    <t>LEGO Technic Aston Martin Valkyrie</t>
  </si>
  <si>
    <t>乐高女武神</t>
  </si>
  <si>
    <t>legovalkyrie</t>
  </si>
  <si>
    <t>Formula E Gen 3 EVO Championship Edition🔑</t>
  </si>
  <si>
    <t>Ferrari 499P Modificata🔑</t>
  </si>
  <si>
    <t>Mercedes-Benz Vision One-Eleven🔑</t>
  </si>
  <si>
    <t>Arash Imperium🔑</t>
  </si>
  <si>
    <t>肥龙</t>
  </si>
  <si>
    <t>布加迪奇龙 肥龙 胖龙 凯龙</t>
  </si>
  <si>
    <t>布加迪 白龙</t>
  </si>
  <si>
    <t>布加迪 黑龙 lvn</t>
  </si>
  <si>
    <t>布加迪 风龙</t>
  </si>
  <si>
    <t>TechRules AT96 Dragon Boat Edition🔑</t>
  </si>
  <si>
    <t>史诗大奖赛</t>
  </si>
  <si>
    <t>Jaguar XKR-S GT</t>
  </si>
  <si>
    <t>XKR</t>
  </si>
  <si>
    <t>xkr-s</t>
  </si>
  <si>
    <t>5.3</t>
  </si>
  <si>
    <t>Porsche 911 Turbo 50 Years</t>
  </si>
  <si>
    <t>911 Turbo</t>
  </si>
  <si>
    <t>911turbo</t>
  </si>
  <si>
    <t>寻车赛事</t>
  </si>
  <si>
    <t>保时捷 992</t>
  </si>
  <si>
    <t>LEGO Technic Lamborghini Revuelto</t>
  </si>
  <si>
    <t>乐高R牛</t>
  </si>
  <si>
    <t>legorevuelto</t>
  </si>
  <si>
    <t>联动赛事</t>
  </si>
  <si>
    <t>兰博基尼 橙牛</t>
  </si>
  <si>
    <t>LEGO Technic Ferrari FXX K</t>
  </si>
  <si>
    <t>乐高FXX K</t>
  </si>
  <si>
    <t>legofxxk</t>
  </si>
  <si>
    <t>Pagani Zonda Cinque</t>
  </si>
  <si>
    <t>cinque</t>
  </si>
  <si>
    <t>至尊通行证</t>
  </si>
  <si>
    <t>McLaren Sabre</t>
  </si>
  <si>
    <t>Sabre</t>
  </si>
  <si>
    <t>sabre</t>
  </si>
  <si>
    <t>迈凯轮</t>
  </si>
  <si>
    <t>Ford Shelby Super Snake</t>
  </si>
  <si>
    <t>超级蛇</t>
  </si>
  <si>
    <t>supersnake</t>
  </si>
  <si>
    <t>福特 谢尔比</t>
  </si>
  <si>
    <t>Pininfarina Teorema</t>
  </si>
  <si>
    <t>Teorema</t>
  </si>
  <si>
    <t>teorema</t>
  </si>
  <si>
    <t>Raesr Tartarus</t>
  </si>
  <si>
    <t>Tartarus</t>
  </si>
  <si>
    <t>tartarus</t>
  </si>
  <si>
    <t>超光孙</t>
  </si>
  <si>
    <t>Rimac Nevera R🔑</t>
  </si>
  <si>
    <t>Nevera R</t>
  </si>
  <si>
    <t>neverar</t>
  </si>
  <si>
    <t>C2 兔子</t>
  </si>
  <si>
    <t>5.3</t>
    <phoneticPr fontId="10" type="noConversion"/>
  </si>
  <si>
    <t>燃情驰陆</t>
    <phoneticPr fontId="10" type="noConversion"/>
  </si>
  <si>
    <t>5.4</t>
  </si>
  <si>
    <t>5.4</t>
    <phoneticPr fontId="10" type="noConversion"/>
  </si>
  <si>
    <t>极境狂飙</t>
    <phoneticPr fontId="10" type="noConversion"/>
  </si>
  <si>
    <t>Toyota GR Supra Racing Concept</t>
  </si>
  <si>
    <t>Supra</t>
  </si>
  <si>
    <t>Toyota</t>
  </si>
  <si>
    <t>supraracing</t>
  </si>
  <si>
    <t>Nissan Z GT4</t>
  </si>
  <si>
    <t>Z GT4</t>
  </si>
  <si>
    <t>zgt4</t>
  </si>
  <si>
    <t>Ford GT MK IV🔑</t>
  </si>
  <si>
    <t>MK4🔑</t>
  </si>
  <si>
    <t>mk4</t>
  </si>
  <si>
    <t>Cinque</t>
  </si>
  <si>
    <t>Mercedes-Benz Merceds-AMG One🔑</t>
  </si>
  <si>
    <t>AMG One</t>
  </si>
  <si>
    <t>amgone</t>
  </si>
  <si>
    <t>SSC Ultimate Aero TT</t>
  </si>
  <si>
    <t>Aero TT</t>
  </si>
  <si>
    <t>aero</t>
  </si>
  <si>
    <t>Hennessey Venom GT</t>
  </si>
  <si>
    <t>毒液GT</t>
  </si>
  <si>
    <t>venomgt</t>
  </si>
  <si>
    <t>Lotus Emeya</t>
  </si>
  <si>
    <t>Emeya</t>
  </si>
  <si>
    <t>emeya</t>
  </si>
  <si>
    <t>5.6</t>
  </si>
  <si>
    <t>繁花 路特斯 莲花</t>
  </si>
  <si>
    <t>Hyundai Ioniq 5 N</t>
  </si>
  <si>
    <t>5N</t>
  </si>
  <si>
    <t>Hyundai</t>
  </si>
  <si>
    <t>ioniq</t>
  </si>
  <si>
    <t>5.5</t>
  </si>
  <si>
    <t>现代</t>
  </si>
  <si>
    <t>Citroën DS Survolt</t>
  </si>
  <si>
    <t>DS龙</t>
  </si>
  <si>
    <t>Citroën</t>
  </si>
  <si>
    <t>citroën_ds_survolt</t>
  </si>
  <si>
    <t>5.7</t>
  </si>
  <si>
    <t>Toyota GR Supra 2023</t>
  </si>
  <si>
    <t>Supra2023</t>
  </si>
  <si>
    <t>supra</t>
  </si>
  <si>
    <t>丰田</t>
  </si>
  <si>
    <t>Aston Martin DBS 770 Ultimate🔑</t>
  </si>
  <si>
    <t>DBS 770</t>
  </si>
  <si>
    <t>770</t>
  </si>
  <si>
    <t>Lamborghini Huracan Sterrato</t>
  </si>
  <si>
    <t>飓风 Sterrato</t>
  </si>
  <si>
    <t>lamborghini_huracan_sterrato</t>
  </si>
  <si>
    <t>LEGO Technic BMW M4 GT3 EVO</t>
  </si>
  <si>
    <t>乐高 M4</t>
  </si>
  <si>
    <t>lego_technic_bmw_m4_gt3_evo</t>
  </si>
  <si>
    <t>Ferrari F12 Berlinetta</t>
  </si>
  <si>
    <t>ferrari_f12_berlinetta</t>
  </si>
  <si>
    <t>BMW M Hybrid V8🔑</t>
  </si>
  <si>
    <t>M Hybrid</t>
  </si>
  <si>
    <t>mhybrid</t>
  </si>
  <si>
    <t>勒芒 宝马勒芒</t>
  </si>
  <si>
    <t>Toyota GR Super Sport Concept🔑</t>
  </si>
  <si>
    <t>GR concept</t>
  </si>
  <si>
    <t>grssc</t>
  </si>
  <si>
    <t>Citroen GT by Citroen</t>
  </si>
  <si>
    <t>Chevrolet Corvette Grand Sport Halloween Edition</t>
  </si>
  <si>
    <t>五菱万圣版</t>
  </si>
  <si>
    <t>ccgshe</t>
  </si>
  <si>
    <t>雪佛兰克尔维特</t>
  </si>
  <si>
    <t>Automobili Pininfarina Battista Edizione Nino Farina</t>
  </si>
  <si>
    <t>automobili_pininfarina_battista_edizione_nino_farina</t>
  </si>
  <si>
    <t>巴蒂</t>
  </si>
  <si>
    <t>Lexus Electrified Sport Concept</t>
  </si>
  <si>
    <t>lexus concept</t>
  </si>
  <si>
    <t>Lexus</t>
  </si>
  <si>
    <t>bev</t>
  </si>
  <si>
    <t>雷克萨斯</t>
  </si>
  <si>
    <t>Automobili Pininfarina B95</t>
  </si>
  <si>
    <t>B95</t>
  </si>
  <si>
    <t>b95</t>
  </si>
  <si>
    <t>Hyundai N Vision 74🔑</t>
  </si>
  <si>
    <t>N74</t>
  </si>
  <si>
    <t>nvision74</t>
  </si>
  <si>
    <t>Porsche GT3 RS 2023🔑</t>
  </si>
  <si>
    <t>GT3 2023</t>
  </si>
  <si>
    <t>gt32023</t>
  </si>
  <si>
    <t>W Motors Fenyr Super Sport CNY Edition</t>
  </si>
  <si>
    <t>狼王春节版</t>
  </si>
  <si>
    <t>w_motors_fenyr_super_sport_cny_edition</t>
  </si>
  <si>
    <t>芬尼尔</t>
  </si>
  <si>
    <t>Ford Mustang RTR Spec 5-FD</t>
  </si>
  <si>
    <t>rtr 5-fd</t>
  </si>
  <si>
    <t>5fd</t>
  </si>
  <si>
    <t>LEGO Technic Bugatti Chiron Pur Sport</t>
  </si>
  <si>
    <t>乐高 PS龙</t>
  </si>
  <si>
    <t>legochiron</t>
  </si>
  <si>
    <t>Raesr Aglaia🔑</t>
  </si>
  <si>
    <t>Aglaia</t>
  </si>
  <si>
    <t>aglaia</t>
  </si>
  <si>
    <t>Koenigsegg One:1🔑</t>
  </si>
  <si>
    <t>旺旺</t>
  </si>
  <si>
    <t>one1</t>
  </si>
  <si>
    <t>一比一 金龙鱼</t>
  </si>
  <si>
    <t>Mosler Super GT</t>
  </si>
  <si>
    <t>莫斯勒 SuperGT</t>
  </si>
  <si>
    <t>Mosler</t>
  </si>
  <si>
    <t>mosler_super_gt</t>
  </si>
  <si>
    <t>SSC Tuatara Striker🔑</t>
  </si>
  <si>
    <t>SSC Striker</t>
  </si>
  <si>
    <t>tuatarastriker</t>
  </si>
  <si>
    <t>Hennessey Venom F5 Revolution</t>
  </si>
  <si>
    <t>毒液 F5 R</t>
  </si>
  <si>
    <t>hennessey_venom_f5_evolution</t>
  </si>
  <si>
    <t>5.5</t>
    <phoneticPr fontId="10" type="noConversion"/>
  </si>
  <si>
    <t>5.6</t>
    <phoneticPr fontId="10" type="noConversion"/>
  </si>
  <si>
    <t>5.7</t>
    <phoneticPr fontId="10" type="noConversion"/>
  </si>
  <si>
    <t>神驹驭风</t>
    <phoneticPr fontId="10" type="noConversion"/>
  </si>
  <si>
    <t>幻影疾驰</t>
    <phoneticPr fontId="10" type="noConversion"/>
  </si>
  <si>
    <t>双锋竞逐</t>
    <phoneticPr fontId="10" type="noConversion"/>
  </si>
  <si>
    <t>秋王特别版</t>
  </si>
  <si>
    <t>5.8</t>
  </si>
  <si>
    <t>5.8</t>
    <phoneticPr fontId="10" type="noConversion"/>
  </si>
  <si>
    <t>锐意争锋</t>
    <phoneticPr fontId="10" type="noConversion"/>
  </si>
  <si>
    <t>Dodge Charger SRT Hellcat Redeye Widebody</t>
  </si>
  <si>
    <t>地狱猫</t>
  </si>
  <si>
    <t>dodge_charger_srt_hellcat_redeye_widebody</t>
  </si>
  <si>
    <t>道奇 充电器</t>
  </si>
  <si>
    <t>Mercedes-Benz C 63 AMG DTM</t>
  </si>
  <si>
    <t>C63</t>
  </si>
  <si>
    <t>mercedes_benz_c_63_amg_dtm</t>
  </si>
  <si>
    <t>McLaren 750S Coupe</t>
  </si>
  <si>
    <t>750S</t>
  </si>
  <si>
    <t>mclaren_750s_coupe</t>
  </si>
  <si>
    <t>Zenvo Aurora Agil</t>
  </si>
  <si>
    <t>Agil</t>
  </si>
  <si>
    <t>zenvo_aurora_agil</t>
  </si>
  <si>
    <t>Icona Vulcano Spyder</t>
  </si>
  <si>
    <t>火山 Spyder</t>
  </si>
  <si>
    <t>icona_vulcano_spyder</t>
  </si>
  <si>
    <t>Tushek Aeon E</t>
  </si>
  <si>
    <t>Aeon E</t>
  </si>
  <si>
    <t>tushek_aeon_e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</si>
</sst>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0.00_);[Red]\(0.00\)"/>
    <numFmt numFmtId="177" formatCode="0_);[Red]\(0\)"/>
    <numFmt numFmtId="178" formatCode="0_ "/>
    <numFmt numFmtId="179" formatCode="0.0_ "/>
    <numFmt numFmtId="180" formatCode="0.00_ "/>
  </numFmts>
  <fonts count="29">
    <font>
      <sz val="12"/>
      <color theme="1"/>
      <name val="宋体"/>
      <charset val="134"/>
      <scheme val="minor"/>
    </font>
    <font>
      <sz val="12"/>
      <color theme="1"/>
      <name val="微软雅黑"/>
      <family val="2"/>
      <charset val="134"/>
    </font>
    <font>
      <sz val="10"/>
      <color rgb="FF000000"/>
      <name val="Microsoft YaHei"/>
      <family val="2"/>
      <charset val="134"/>
    </font>
    <font>
      <sz val="10"/>
      <color rgb="FF000000"/>
      <name val="微软雅黑"/>
      <family val="2"/>
      <charset val="134"/>
    </font>
    <font>
      <sz val="14"/>
      <color rgb="FF000000"/>
      <name val="Microsoft YaHei"/>
      <family val="2"/>
      <charset val="134"/>
    </font>
    <font>
      <b/>
      <sz val="10"/>
      <color rgb="FFFF0000"/>
      <name val="Microsoft YaHei"/>
      <family val="2"/>
      <charset val="134"/>
    </font>
    <font>
      <b/>
      <sz val="10"/>
      <color rgb="FFFFB700"/>
      <name val="Microsoft YaHei"/>
      <family val="2"/>
      <charset val="134"/>
    </font>
    <font>
      <b/>
      <sz val="10"/>
      <color rgb="FF87C120"/>
      <name val="Microsoft YaHei"/>
      <family val="2"/>
      <charset val="134"/>
    </font>
    <font>
      <sz val="10"/>
      <color rgb="FF4CC2EE"/>
      <name val="Microsoft YaHei"/>
      <family val="2"/>
      <charset val="134"/>
    </font>
    <font>
      <b/>
      <sz val="10"/>
      <color rgb="FF4CC2EE"/>
      <name val="Microsoft YaHei"/>
      <family val="2"/>
      <charset val="134"/>
    </font>
    <font>
      <sz val="9"/>
      <name val="宋体"/>
      <family val="3"/>
      <charset val="134"/>
      <scheme val="minor"/>
    </font>
    <font>
      <sz val="12"/>
      <color theme="1"/>
      <name val="宋体"/>
      <family val="3"/>
      <charset val="134"/>
      <scheme val="minor"/>
    </font>
    <font>
      <sz val="9"/>
      <name val="宋体"/>
      <family val="3"/>
      <charset val="134"/>
    </font>
    <font>
      <b/>
      <sz val="12"/>
      <color rgb="FF000000"/>
      <name val="Microsoft YaHei"/>
      <family val="2"/>
      <charset val="134"/>
    </font>
    <font>
      <sz val="12"/>
      <color rgb="FF000000"/>
      <name val="Microsoft YaHei"/>
      <family val="2"/>
      <charset val="134"/>
    </font>
    <font>
      <sz val="12"/>
      <color rgb="FF2B2B2B"/>
      <name val="Microsoft YaHei"/>
      <family val="2"/>
      <charset val="134"/>
    </font>
    <font>
      <sz val="12"/>
      <color rgb="FF000000"/>
      <name val="微软雅黑"/>
      <family val="2"/>
      <charset val="134"/>
    </font>
    <font>
      <b/>
      <sz val="12"/>
      <color rgb="FF000000"/>
      <name val="微软雅黑"/>
      <family val="2"/>
      <charset val="134"/>
    </font>
    <font>
      <sz val="12"/>
      <color theme="1" tint="0.249977111117893"/>
      <name val="微软雅黑"/>
      <family val="2"/>
      <charset val="134"/>
    </font>
    <font>
      <b/>
      <sz val="12"/>
      <color theme="1"/>
      <name val="微软雅黑"/>
      <family val="2"/>
      <charset val="134"/>
    </font>
    <font>
      <sz val="16"/>
      <color theme="1"/>
      <name val="宋体"/>
      <family val="3"/>
      <charset val="134"/>
      <scheme val="minor"/>
    </font>
    <font>
      <sz val="10"/>
      <color rgb="FF000000"/>
      <name val="Arial"/>
      <family val="2"/>
    </font>
    <font>
      <sz val="12"/>
      <color rgb="FF000000"/>
      <name val="宋体"/>
      <family val="3"/>
      <charset val="134"/>
      <scheme val="minor"/>
    </font>
    <font>
      <sz val="12"/>
      <name val="微软雅黑"/>
      <family val="2"/>
      <charset val="134"/>
    </font>
    <font>
      <sz val="12"/>
      <color rgb="FFFFFFFF"/>
      <name val="Microsoft YaHei"/>
      <family val="2"/>
      <charset val="134"/>
    </font>
    <font>
      <sz val="12"/>
      <color rgb="FF000000"/>
      <name val="Arial"/>
      <family val="2"/>
    </font>
    <font>
      <sz val="12"/>
      <color rgb="FFDE3C36"/>
      <name val="Microsoft YaHei"/>
      <family val="2"/>
      <charset val="134"/>
    </font>
    <font>
      <sz val="10"/>
      <color rgb="FF000000"/>
      <name val="宋体"/>
      <family val="3"/>
      <charset val="134"/>
      <scheme val="minor"/>
    </font>
    <font>
      <sz val="12"/>
      <color rgb="FF000000"/>
      <name val="阿里巴巴普惠体 Medium"/>
      <charset val="134"/>
    </font>
  </fonts>
  <fills count="37">
    <fill>
      <patternFill patternType="none"/>
    </fill>
    <fill>
      <patternFill patternType="gray125"/>
    </fill>
    <fill>
      <patternFill patternType="solid">
        <fgColor rgb="FFC4C4C4"/>
        <bgColor indexed="64"/>
      </patternFill>
    </fill>
    <fill>
      <patternFill patternType="solid">
        <fgColor rgb="FFFFF000"/>
        <bgColor indexed="64"/>
      </patternFill>
    </fill>
    <fill>
      <patternFill patternType="solid">
        <fgColor rgb="FF87C120"/>
        <bgColor indexed="64"/>
      </patternFill>
    </fill>
    <fill>
      <patternFill patternType="solid">
        <fgColor rgb="FFFFBD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4CC2EE"/>
        <bgColor indexed="64"/>
      </patternFill>
    </fill>
    <fill>
      <patternFill patternType="solid">
        <fgColor rgb="FFACDB7E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B700"/>
        <bgColor indexed="64"/>
      </patternFill>
    </fill>
    <fill>
      <patternFill patternType="solid">
        <fgColor rgb="FFFF6C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36EFF"/>
        <bgColor indexed="64"/>
      </patternFill>
    </fill>
    <fill>
      <patternFill patternType="solid">
        <fgColor rgb="FFFFD966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FB8D00"/>
        <bgColor indexed="64"/>
      </patternFill>
    </fill>
    <fill>
      <patternFill patternType="solid">
        <fgColor rgb="FFDFF8FF"/>
        <bgColor indexed="64"/>
      </patternFill>
    </fill>
    <fill>
      <patternFill patternType="solid">
        <fgColor rgb="FFFFB84D"/>
        <bgColor indexed="64"/>
      </patternFill>
    </fill>
    <fill>
      <patternFill patternType="solid">
        <fgColor rgb="FFD9EAD3"/>
        <bgColor indexed="64"/>
      </patternFill>
    </fill>
    <fill>
      <patternFill patternType="solid">
        <fgColor rgb="FF8CDDFA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C7ECFF"/>
        <bgColor indexed="64"/>
      </patternFill>
    </fill>
    <fill>
      <patternFill patternType="solid">
        <fgColor rgb="FFF2C7FF"/>
        <bgColor indexed="64"/>
      </patternFill>
    </fill>
    <fill>
      <patternFill patternType="solid">
        <fgColor rgb="FFFFEEAD"/>
        <bgColor indexed="64"/>
      </patternFill>
    </fill>
    <fill>
      <patternFill patternType="solid">
        <fgColor rgb="FFFF9C99"/>
        <bgColor indexed="64"/>
      </patternFill>
    </fill>
    <fill>
      <patternFill patternType="solid">
        <fgColor rgb="FFDE3C36"/>
        <bgColor indexed="64"/>
      </patternFill>
    </fill>
    <fill>
      <patternFill patternType="solid">
        <fgColor rgb="FFFDEBFF"/>
        <bgColor indexed="64"/>
      </patternFill>
    </fill>
    <fill>
      <patternFill patternType="solid">
        <fgColor rgb="FF98D7B6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rgb="FFFFC9C7"/>
        <bgColor indexed="64"/>
      </patternFill>
    </fill>
    <fill>
      <patternFill patternType="solid">
        <fgColor rgb="FFC3EAD5"/>
        <bgColor indexed="64"/>
      </patternFill>
    </fill>
    <fill>
      <patternFill patternType="solid">
        <fgColor rgb="FFFFBA84"/>
        <bgColor indexed="64"/>
      </patternFill>
    </fill>
    <fill>
      <patternFill patternType="solid">
        <fgColor rgb="FFD58EFF"/>
        <bgColor indexed="64"/>
      </patternFill>
    </fill>
  </fills>
  <borders count="18">
    <border>
      <left/>
      <right/>
      <top/>
      <bottom/>
      <diagonal/>
    </border>
    <border>
      <left style="thin">
        <color rgb="FF5C5C5C"/>
      </left>
      <right style="thin">
        <color rgb="FF5C5C5C"/>
      </right>
      <top style="thin">
        <color rgb="FF5C5C5C"/>
      </top>
      <bottom style="thin">
        <color rgb="FF5C5C5C"/>
      </bottom>
      <diagonal/>
    </border>
    <border>
      <left/>
      <right/>
      <top style="thin">
        <color rgb="FF5C5C5C"/>
      </top>
      <bottom style="thin">
        <color rgb="FF5C5C5C"/>
      </bottom>
      <diagonal/>
    </border>
    <border>
      <left style="thin">
        <color rgb="FF5C5C5C"/>
      </left>
      <right/>
      <top style="thin">
        <color rgb="FF5C5C5C"/>
      </top>
      <bottom style="thin">
        <color rgb="FF5C5C5C"/>
      </bottom>
      <diagonal/>
    </border>
    <border>
      <left/>
      <right style="thin">
        <color rgb="FF5C5C5C"/>
      </right>
      <top style="thin">
        <color rgb="FF5C5C5C"/>
      </top>
      <bottom style="thin">
        <color rgb="FF5C5C5C"/>
      </bottom>
      <diagonal/>
    </border>
    <border>
      <left style="thin">
        <color rgb="FF5C5C5C"/>
      </left>
      <right/>
      <top/>
      <bottom style="thin">
        <color rgb="FF5C5C5C"/>
      </bottom>
      <diagonal/>
    </border>
    <border>
      <left/>
      <right/>
      <top/>
      <bottom style="thin">
        <color rgb="FF5C5C5C"/>
      </bottom>
      <diagonal/>
    </border>
    <border>
      <left/>
      <right style="thin">
        <color rgb="FF5C5C5C"/>
      </right>
      <top/>
      <bottom style="thin">
        <color rgb="FF5C5C5C"/>
      </bottom>
      <diagonal/>
    </border>
    <border>
      <left style="thin">
        <color rgb="FF5C5C5C"/>
      </left>
      <right style="thin">
        <color rgb="FF5C5C5C"/>
      </right>
      <top style="thin">
        <color rgb="FF5C5C5C"/>
      </top>
      <bottom/>
      <diagonal/>
    </border>
    <border>
      <left style="thin">
        <color rgb="FF5C5C5C"/>
      </left>
      <right style="thin">
        <color rgb="FF5C5C5C"/>
      </right>
      <top/>
      <bottom/>
      <diagonal/>
    </border>
    <border>
      <left style="thin">
        <color rgb="FF5C5C5C"/>
      </left>
      <right style="thin">
        <color rgb="FF5C5C5C"/>
      </right>
      <top/>
      <bottom style="thin">
        <color rgb="FF5C5C5C"/>
      </bottom>
      <diagonal/>
    </border>
    <border>
      <left/>
      <right/>
      <top style="thin">
        <color rgb="FF5C5C5C"/>
      </top>
      <bottom/>
      <diagonal/>
    </border>
    <border>
      <left style="thin">
        <color rgb="FF5C5C5C"/>
      </left>
      <right/>
      <top style="thin">
        <color rgb="FF5C5C5C"/>
      </top>
      <bottom/>
      <diagonal/>
    </border>
    <border>
      <left style="thin">
        <color rgb="FF5C5C5C"/>
      </left>
      <right/>
      <top/>
      <bottom/>
      <diagonal/>
    </border>
    <border>
      <left/>
      <right style="thin">
        <color rgb="FF5C5C5C"/>
      </right>
      <top/>
      <bottom/>
      <diagonal/>
    </border>
    <border>
      <left style="thin">
        <color rgb="FF485368"/>
      </left>
      <right style="thin">
        <color rgb="FF485368"/>
      </right>
      <top style="thin">
        <color rgb="FF485368"/>
      </top>
      <bottom style="thin">
        <color rgb="FF485368"/>
      </bottom>
      <diagonal/>
    </border>
    <border>
      <left style="thin">
        <color rgb="FF485368"/>
      </left>
      <right/>
      <top style="thin">
        <color rgb="FF485368"/>
      </top>
      <bottom style="thin">
        <color rgb="FF485368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>
      <alignment vertical="center"/>
    </xf>
  </cellStyleXfs>
  <cellXfs count="181">
    <xf numFmtId="0" fontId="0" fillId="0" borderId="0" xfId="0">
      <alignment vertical="center"/>
    </xf>
    <xf numFmtId="0" fontId="2" fillId="0" borderId="0" xfId="0" applyFont="1" applyAlignment="1">
      <alignment horizontal="left" vertical="top" wrapText="1"/>
    </xf>
    <xf numFmtId="0" fontId="3" fillId="0" borderId="0" xfId="0" applyFont="1">
      <alignment vertical="center"/>
    </xf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right" vertical="center"/>
    </xf>
    <xf numFmtId="0" fontId="3" fillId="0" borderId="0" xfId="0" applyFont="1" applyAlignment="1">
      <alignment horizontal="right" vertical="center"/>
    </xf>
    <xf numFmtId="177" fontId="3" fillId="0" borderId="0" xfId="0" applyNumberFormat="1" applyFont="1" applyAlignment="1">
      <alignment horizontal="center" vertical="center"/>
    </xf>
    <xf numFmtId="49" fontId="0" fillId="0" borderId="0" xfId="0" applyNumberFormat="1">
      <alignment vertical="center"/>
    </xf>
    <xf numFmtId="0" fontId="13" fillId="2" borderId="1" xfId="0" applyFont="1" applyFill="1" applyBorder="1" applyAlignment="1">
      <alignment horizontal="center" vertical="center"/>
    </xf>
    <xf numFmtId="176" fontId="13" fillId="2" borderId="1" xfId="0" applyNumberFormat="1" applyFont="1" applyFill="1" applyBorder="1" applyAlignment="1">
      <alignment horizontal="center" vertical="center"/>
    </xf>
    <xf numFmtId="49" fontId="13" fillId="2" borderId="1" xfId="0" applyNumberFormat="1" applyFont="1" applyFill="1" applyBorder="1" applyAlignment="1">
      <alignment horizontal="center" vertical="center"/>
    </xf>
    <xf numFmtId="0" fontId="13" fillId="3" borderId="0" xfId="0" applyFont="1" applyFill="1" applyAlignment="1">
      <alignment horizontal="center" vertical="center"/>
    </xf>
    <xf numFmtId="177" fontId="14" fillId="0" borderId="0" xfId="0" applyNumberFormat="1" applyFont="1" applyAlignment="1">
      <alignment horizontal="center" vertical="center"/>
    </xf>
    <xf numFmtId="177" fontId="14" fillId="4" borderId="0" xfId="0" applyNumberFormat="1" applyFont="1" applyFill="1" applyAlignment="1">
      <alignment horizontal="center" vertical="center"/>
    </xf>
    <xf numFmtId="176" fontId="14" fillId="0" borderId="0" xfId="0" applyNumberFormat="1" applyFont="1" applyAlignment="1">
      <alignment horizontal="center" vertical="center"/>
    </xf>
    <xf numFmtId="0" fontId="14" fillId="4" borderId="1" xfId="0" applyFont="1" applyFill="1" applyBorder="1" applyAlignment="1">
      <alignment horizontal="center" vertical="center"/>
    </xf>
    <xf numFmtId="0" fontId="14" fillId="4" borderId="0" xfId="0" applyFont="1" applyFill="1" applyAlignment="1">
      <alignment horizontal="center" vertical="center"/>
    </xf>
    <xf numFmtId="0" fontId="13" fillId="5" borderId="0" xfId="0" applyFont="1" applyFill="1" applyAlignment="1">
      <alignment horizontal="center" vertical="center"/>
    </xf>
    <xf numFmtId="177" fontId="14" fillId="7" borderId="0" xfId="0" applyNumberFormat="1" applyFont="1" applyFill="1" applyAlignment="1">
      <alignment horizontal="center" vertical="center"/>
    </xf>
    <xf numFmtId="176" fontId="14" fillId="7" borderId="0" xfId="0" applyNumberFormat="1" applyFont="1" applyFill="1" applyAlignment="1">
      <alignment horizontal="center" vertical="center"/>
    </xf>
    <xf numFmtId="0" fontId="14" fillId="7" borderId="1" xfId="0" applyFont="1" applyFill="1" applyBorder="1" applyAlignment="1">
      <alignment horizontal="center" vertical="center"/>
    </xf>
    <xf numFmtId="0" fontId="14" fillId="7" borderId="0" xfId="0" applyFont="1" applyFill="1" applyAlignment="1">
      <alignment horizontal="center" vertical="center"/>
    </xf>
    <xf numFmtId="0" fontId="13" fillId="8" borderId="0" xfId="0" applyFont="1" applyFill="1" applyAlignment="1">
      <alignment horizontal="center" vertical="center"/>
    </xf>
    <xf numFmtId="0" fontId="13" fillId="11" borderId="0" xfId="0" applyFont="1" applyFill="1" applyAlignment="1">
      <alignment horizontal="center" vertical="center"/>
    </xf>
    <xf numFmtId="0" fontId="14" fillId="10" borderId="1" xfId="0" applyFont="1" applyFill="1" applyBorder="1" applyAlignment="1">
      <alignment horizontal="center" vertical="center"/>
    </xf>
    <xf numFmtId="0" fontId="13" fillId="6" borderId="0" xfId="0" applyFont="1" applyFill="1" applyAlignment="1">
      <alignment horizontal="center" vertical="center"/>
    </xf>
    <xf numFmtId="0" fontId="15" fillId="4" borderId="0" xfId="0" applyFont="1" applyFill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0" fontId="13" fillId="0" borderId="1" xfId="0" applyFont="1" applyBorder="1" applyAlignment="1">
      <alignment horizontal="center" vertical="center"/>
    </xf>
    <xf numFmtId="49" fontId="13" fillId="0" borderId="1" xfId="0" applyNumberFormat="1" applyFont="1" applyBorder="1" applyAlignment="1">
      <alignment horizontal="center" vertical="center"/>
    </xf>
    <xf numFmtId="176" fontId="14" fillId="0" borderId="1" xfId="0" applyNumberFormat="1" applyFont="1" applyBorder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49" fontId="13" fillId="0" borderId="0" xfId="0" applyNumberFormat="1" applyFont="1" applyAlignment="1">
      <alignment horizontal="center" vertical="center"/>
    </xf>
    <xf numFmtId="49" fontId="14" fillId="0" borderId="0" xfId="0" applyNumberFormat="1" applyFont="1" applyAlignment="1">
      <alignment horizontal="center" vertical="center"/>
    </xf>
    <xf numFmtId="176" fontId="14" fillId="4" borderId="0" xfId="0" applyNumberFormat="1" applyFont="1" applyFill="1" applyAlignment="1">
      <alignment horizontal="center" vertical="center"/>
    </xf>
    <xf numFmtId="0" fontId="14" fillId="9" borderId="1" xfId="0" applyFont="1" applyFill="1" applyBorder="1" applyAlignment="1">
      <alignment horizontal="center" vertical="center"/>
    </xf>
    <xf numFmtId="177" fontId="14" fillId="9" borderId="0" xfId="0" applyNumberFormat="1" applyFont="1" applyFill="1" applyAlignment="1">
      <alignment horizontal="center" vertical="center"/>
    </xf>
    <xf numFmtId="176" fontId="14" fillId="9" borderId="0" xfId="0" applyNumberFormat="1" applyFont="1" applyFill="1" applyAlignment="1">
      <alignment horizontal="center" vertical="center"/>
    </xf>
    <xf numFmtId="49" fontId="14" fillId="0" borderId="1" xfId="0" applyNumberFormat="1" applyFont="1" applyBorder="1" applyAlignment="1">
      <alignment horizontal="center" vertical="center"/>
    </xf>
    <xf numFmtId="0" fontId="14" fillId="13" borderId="0" xfId="0" applyFont="1" applyFill="1" applyAlignment="1">
      <alignment horizontal="center" vertical="center"/>
    </xf>
    <xf numFmtId="0" fontId="14" fillId="14" borderId="0" xfId="0" applyFont="1" applyFill="1" applyAlignment="1">
      <alignment horizontal="center" vertical="center"/>
    </xf>
    <xf numFmtId="0" fontId="11" fillId="0" borderId="0" xfId="0" applyFont="1">
      <alignment vertical="center"/>
    </xf>
    <xf numFmtId="0" fontId="17" fillId="2" borderId="3" xfId="0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7" fillId="2" borderId="1" xfId="0" applyFont="1" applyFill="1" applyBorder="1" applyAlignment="1">
      <alignment horizontal="center" vertical="center"/>
    </xf>
    <xf numFmtId="49" fontId="17" fillId="2" borderId="1" xfId="0" applyNumberFormat="1" applyFont="1" applyFill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49" fontId="17" fillId="0" borderId="0" xfId="0" applyNumberFormat="1" applyFont="1" applyAlignment="1">
      <alignment horizontal="center" vertical="center"/>
    </xf>
    <xf numFmtId="49" fontId="16" fillId="0" borderId="0" xfId="0" applyNumberFormat="1" applyFont="1" applyAlignment="1">
      <alignment horizontal="center" vertical="center"/>
    </xf>
    <xf numFmtId="177" fontId="16" fillId="4" borderId="0" xfId="0" applyNumberFormat="1" applyFont="1" applyFill="1" applyAlignment="1">
      <alignment horizontal="center" vertical="center"/>
    </xf>
    <xf numFmtId="0" fontId="17" fillId="8" borderId="0" xfId="0" applyFont="1" applyFill="1" applyAlignment="1">
      <alignment horizontal="center" vertical="center"/>
    </xf>
    <xf numFmtId="0" fontId="17" fillId="9" borderId="0" xfId="0" applyFont="1" applyFill="1" applyAlignment="1">
      <alignment horizontal="center" vertical="center"/>
    </xf>
    <xf numFmtId="177" fontId="16" fillId="9" borderId="0" xfId="0" applyNumberFormat="1" applyFont="1" applyFill="1" applyAlignment="1">
      <alignment horizontal="center" vertical="center"/>
    </xf>
    <xf numFmtId="177" fontId="16" fillId="7" borderId="0" xfId="0" applyNumberFormat="1" applyFont="1" applyFill="1" applyAlignment="1">
      <alignment horizontal="center" vertical="center"/>
    </xf>
    <xf numFmtId="0" fontId="16" fillId="0" borderId="1" xfId="0" applyFont="1" applyBorder="1" applyAlignment="1">
      <alignment horizontal="center" vertical="center"/>
    </xf>
    <xf numFmtId="0" fontId="16" fillId="0" borderId="0" xfId="0" applyFont="1" applyAlignment="1">
      <alignment horizontal="center" vertical="center" wrapText="1"/>
    </xf>
    <xf numFmtId="0" fontId="16" fillId="0" borderId="1" xfId="0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/>
    </xf>
    <xf numFmtId="49" fontId="17" fillId="0" borderId="1" xfId="0" applyNumberFormat="1" applyFont="1" applyBorder="1" applyAlignment="1">
      <alignment horizontal="center" vertical="center"/>
    </xf>
    <xf numFmtId="49" fontId="16" fillId="0" borderId="1" xfId="0" applyNumberFormat="1" applyFont="1" applyBorder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1" fillId="12" borderId="0" xfId="0" applyFont="1" applyFill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1" fillId="15" borderId="0" xfId="0" applyFont="1" applyFill="1" applyAlignment="1">
      <alignment horizontal="center" vertical="center"/>
    </xf>
    <xf numFmtId="0" fontId="1" fillId="16" borderId="0" xfId="0" applyFont="1" applyFill="1" applyAlignment="1">
      <alignment horizontal="center" vertical="center"/>
    </xf>
    <xf numFmtId="0" fontId="1" fillId="17" borderId="0" xfId="0" applyFont="1" applyFill="1" applyAlignment="1">
      <alignment horizontal="center" vertical="center"/>
    </xf>
    <xf numFmtId="0" fontId="1" fillId="18" borderId="0" xfId="0" applyFont="1" applyFill="1" applyAlignment="1">
      <alignment horizontal="center" vertical="center"/>
    </xf>
    <xf numFmtId="0" fontId="19" fillId="0" borderId="0" xfId="0" applyFont="1" applyAlignment="1">
      <alignment horizontal="center" vertical="center"/>
    </xf>
    <xf numFmtId="49" fontId="20" fillId="0" borderId="0" xfId="0" applyNumberFormat="1" applyFont="1" applyAlignment="1">
      <alignment horizontal="center" vertical="center"/>
    </xf>
    <xf numFmtId="178" fontId="20" fillId="0" borderId="0" xfId="0" applyNumberFormat="1" applyFont="1" applyAlignment="1">
      <alignment horizontal="center" vertical="center"/>
    </xf>
    <xf numFmtId="0" fontId="20" fillId="0" borderId="0" xfId="0" applyFont="1" applyAlignment="1">
      <alignment horizontal="center" vertical="center"/>
    </xf>
    <xf numFmtId="0" fontId="14" fillId="8" borderId="0" xfId="0" applyFont="1" applyFill="1" applyAlignment="1">
      <alignment horizontal="center" vertical="center"/>
    </xf>
    <xf numFmtId="0" fontId="14" fillId="19" borderId="1" xfId="0" applyFont="1" applyFill="1" applyBorder="1" applyAlignment="1">
      <alignment horizontal="center" vertical="center"/>
    </xf>
    <xf numFmtId="0" fontId="14" fillId="9" borderId="0" xfId="0" applyFont="1" applyFill="1" applyAlignment="1">
      <alignment horizontal="center" vertical="center"/>
    </xf>
    <xf numFmtId="0" fontId="21" fillId="0" borderId="0" xfId="0" applyFont="1" applyAlignment="1">
      <alignment horizontal="left" vertical="center"/>
    </xf>
    <xf numFmtId="0" fontId="14" fillId="20" borderId="0" xfId="0" applyFont="1" applyFill="1" applyAlignment="1">
      <alignment horizontal="center" vertical="center"/>
    </xf>
    <xf numFmtId="0" fontId="14" fillId="21" borderId="0" xfId="0" applyFont="1" applyFill="1" applyAlignment="1">
      <alignment horizontal="center" vertical="center"/>
    </xf>
    <xf numFmtId="0" fontId="13" fillId="2" borderId="0" xfId="0" applyFont="1" applyFill="1" applyAlignment="1">
      <alignment horizontal="center" vertical="center"/>
    </xf>
    <xf numFmtId="0" fontId="13" fillId="2" borderId="0" xfId="0" applyFont="1" applyFill="1">
      <alignment vertical="center"/>
    </xf>
    <xf numFmtId="0" fontId="14" fillId="22" borderId="0" xfId="0" applyFont="1" applyFill="1" applyAlignment="1">
      <alignment horizontal="center" vertical="center"/>
    </xf>
    <xf numFmtId="0" fontId="14" fillId="23" borderId="0" xfId="0" applyFont="1" applyFill="1" applyAlignment="1">
      <alignment horizontal="center" vertical="center"/>
    </xf>
    <xf numFmtId="0" fontId="13" fillId="2" borderId="2" xfId="0" applyFont="1" applyFill="1" applyBorder="1" applyAlignment="1">
      <alignment horizontal="center" vertical="center"/>
    </xf>
    <xf numFmtId="0" fontId="22" fillId="0" borderId="0" xfId="0" applyFont="1" applyAlignment="1">
      <alignment horizontal="center" vertical="center"/>
    </xf>
    <xf numFmtId="0" fontId="23" fillId="0" borderId="0" xfId="0" applyFont="1">
      <alignment vertical="center"/>
    </xf>
    <xf numFmtId="0" fontId="23" fillId="12" borderId="0" xfId="0" applyFont="1" applyFill="1">
      <alignment vertical="center"/>
    </xf>
    <xf numFmtId="49" fontId="23" fillId="0" borderId="0" xfId="0" applyNumberFormat="1" applyFont="1">
      <alignment vertical="center"/>
    </xf>
    <xf numFmtId="0" fontId="1" fillId="0" borderId="0" xfId="0" applyFont="1">
      <alignment vertical="center"/>
    </xf>
    <xf numFmtId="49" fontId="1" fillId="0" borderId="0" xfId="0" applyNumberFormat="1" applyFont="1">
      <alignment vertical="center"/>
    </xf>
    <xf numFmtId="0" fontId="23" fillId="24" borderId="0" xfId="0" applyFont="1" applyFill="1">
      <alignment vertical="center"/>
    </xf>
    <xf numFmtId="0" fontId="1" fillId="24" borderId="0" xfId="0" applyFont="1" applyFill="1">
      <alignment vertical="center"/>
    </xf>
    <xf numFmtId="0" fontId="24" fillId="6" borderId="0" xfId="0" applyFont="1" applyFill="1" applyAlignment="1">
      <alignment horizontal="center" vertical="center"/>
    </xf>
    <xf numFmtId="0" fontId="25" fillId="0" borderId="0" xfId="0" applyFont="1">
      <alignment vertical="center"/>
    </xf>
    <xf numFmtId="0" fontId="14" fillId="0" borderId="15" xfId="0" applyFont="1" applyBorder="1" applyAlignment="1">
      <alignment horizontal="center" vertical="center"/>
    </xf>
    <xf numFmtId="0" fontId="14" fillId="25" borderId="15" xfId="0" applyFont="1" applyFill="1" applyBorder="1" applyAlignment="1">
      <alignment horizontal="center" vertical="center"/>
    </xf>
    <xf numFmtId="0" fontId="14" fillId="26" borderId="15" xfId="0" applyFont="1" applyFill="1" applyBorder="1" applyAlignment="1">
      <alignment horizontal="center" vertical="center"/>
    </xf>
    <xf numFmtId="0" fontId="14" fillId="27" borderId="15" xfId="0" applyFont="1" applyFill="1" applyBorder="1" applyAlignment="1">
      <alignment horizontal="center" vertical="center"/>
    </xf>
    <xf numFmtId="0" fontId="26" fillId="0" borderId="15" xfId="0" applyFont="1" applyBorder="1" applyAlignment="1">
      <alignment horizontal="center" vertical="center"/>
    </xf>
    <xf numFmtId="0" fontId="14" fillId="25" borderId="0" xfId="0" applyFont="1" applyFill="1" applyAlignment="1">
      <alignment horizontal="center" vertical="center"/>
    </xf>
    <xf numFmtId="0" fontId="14" fillId="26" borderId="0" xfId="0" applyFont="1" applyFill="1" applyAlignment="1">
      <alignment horizontal="center" vertical="center"/>
    </xf>
    <xf numFmtId="0" fontId="14" fillId="27" borderId="0" xfId="0" applyFont="1" applyFill="1" applyAlignment="1">
      <alignment horizontal="center" vertical="center"/>
    </xf>
    <xf numFmtId="0" fontId="14" fillId="28" borderId="15" xfId="0" applyFont="1" applyFill="1" applyBorder="1" applyAlignment="1">
      <alignment horizontal="center" vertical="center"/>
    </xf>
    <xf numFmtId="0" fontId="14" fillId="26" borderId="1" xfId="0" applyFont="1" applyFill="1" applyBorder="1" applyAlignment="1">
      <alignment horizontal="center" vertical="center"/>
    </xf>
    <xf numFmtId="0" fontId="14" fillId="29" borderId="1" xfId="0" applyFont="1" applyFill="1" applyBorder="1" applyAlignment="1">
      <alignment horizontal="center" vertical="center"/>
    </xf>
    <xf numFmtId="0" fontId="14" fillId="30" borderId="15" xfId="0" applyFont="1" applyFill="1" applyBorder="1" applyAlignment="1">
      <alignment horizontal="center" vertical="center"/>
    </xf>
    <xf numFmtId="0" fontId="14" fillId="30" borderId="0" xfId="0" applyFont="1" applyFill="1" applyAlignment="1">
      <alignment horizontal="center" vertical="center"/>
    </xf>
    <xf numFmtId="0" fontId="14" fillId="31" borderId="1" xfId="0" applyFont="1" applyFill="1" applyBorder="1" applyAlignment="1">
      <alignment horizontal="center" vertical="center"/>
    </xf>
    <xf numFmtId="0" fontId="14" fillId="30" borderId="1" xfId="0" applyFont="1" applyFill="1" applyBorder="1" applyAlignment="1">
      <alignment horizontal="center" vertical="center"/>
    </xf>
    <xf numFmtId="0" fontId="14" fillId="32" borderId="1" xfId="0" applyFont="1" applyFill="1" applyBorder="1" applyAlignment="1">
      <alignment horizontal="center" vertical="center"/>
    </xf>
    <xf numFmtId="0" fontId="13" fillId="32" borderId="0" xfId="0" applyFont="1" applyFill="1" applyAlignment="1">
      <alignment horizontal="center" vertical="center"/>
    </xf>
    <xf numFmtId="49" fontId="13" fillId="32" borderId="0" xfId="0" applyNumberFormat="1" applyFont="1" applyFill="1" applyAlignment="1">
      <alignment horizontal="center" vertical="center"/>
    </xf>
    <xf numFmtId="49" fontId="14" fillId="32" borderId="0" xfId="0" applyNumberFormat="1" applyFont="1" applyFill="1" applyAlignment="1">
      <alignment horizontal="center" vertical="center"/>
    </xf>
    <xf numFmtId="0" fontId="14" fillId="32" borderId="0" xfId="0" applyFont="1" applyFill="1" applyAlignment="1">
      <alignment horizontal="center" vertical="center"/>
    </xf>
    <xf numFmtId="176" fontId="14" fillId="32" borderId="0" xfId="0" applyNumberFormat="1" applyFont="1" applyFill="1" applyAlignment="1">
      <alignment horizontal="center" vertical="center"/>
    </xf>
    <xf numFmtId="49" fontId="22" fillId="32" borderId="0" xfId="0" applyNumberFormat="1" applyFont="1" applyFill="1" applyAlignment="1">
      <alignment horizontal="center" vertical="center"/>
    </xf>
    <xf numFmtId="0" fontId="14" fillId="4" borderId="15" xfId="0" applyFont="1" applyFill="1" applyBorder="1" applyAlignment="1">
      <alignment horizontal="center" vertical="center"/>
    </xf>
    <xf numFmtId="0" fontId="22" fillId="0" borderId="0" xfId="0" applyFont="1">
      <alignment vertical="center"/>
    </xf>
    <xf numFmtId="179" fontId="13" fillId="2" borderId="1" xfId="0" applyNumberFormat="1" applyFont="1" applyFill="1" applyBorder="1" applyAlignment="1">
      <alignment horizontal="center" vertical="center"/>
    </xf>
    <xf numFmtId="180" fontId="13" fillId="2" borderId="1" xfId="0" applyNumberFormat="1" applyFont="1" applyFill="1" applyBorder="1" applyAlignment="1">
      <alignment horizontal="center" vertical="center"/>
    </xf>
    <xf numFmtId="179" fontId="14" fillId="0" borderId="0" xfId="0" applyNumberFormat="1" applyFont="1" applyAlignment="1">
      <alignment horizontal="center" vertical="center"/>
    </xf>
    <xf numFmtId="180" fontId="14" fillId="0" borderId="0" xfId="0" applyNumberFormat="1" applyFont="1" applyAlignment="1">
      <alignment horizontal="center" vertical="center"/>
    </xf>
    <xf numFmtId="179" fontId="14" fillId="32" borderId="0" xfId="0" applyNumberFormat="1" applyFont="1" applyFill="1" applyAlignment="1">
      <alignment horizontal="center" vertical="center"/>
    </xf>
    <xf numFmtId="180" fontId="14" fillId="32" borderId="0" xfId="0" applyNumberFormat="1" applyFont="1" applyFill="1" applyAlignment="1">
      <alignment horizontal="center" vertical="center"/>
    </xf>
    <xf numFmtId="179" fontId="14" fillId="7" borderId="0" xfId="0" applyNumberFormat="1" applyFont="1" applyFill="1" applyAlignment="1">
      <alignment horizontal="center" vertical="center"/>
    </xf>
    <xf numFmtId="180" fontId="14" fillId="7" borderId="0" xfId="0" applyNumberFormat="1" applyFont="1" applyFill="1" applyAlignment="1">
      <alignment horizontal="center" vertical="center"/>
    </xf>
    <xf numFmtId="179" fontId="14" fillId="4" borderId="0" xfId="0" applyNumberFormat="1" applyFont="1" applyFill="1" applyAlignment="1">
      <alignment horizontal="center" vertical="center"/>
    </xf>
    <xf numFmtId="180" fontId="14" fillId="4" borderId="0" xfId="0" applyNumberFormat="1" applyFont="1" applyFill="1" applyAlignment="1">
      <alignment horizontal="center" vertical="center"/>
    </xf>
    <xf numFmtId="179" fontId="14" fillId="8" borderId="0" xfId="0" applyNumberFormat="1" applyFont="1" applyFill="1" applyAlignment="1">
      <alignment horizontal="center" vertical="center"/>
    </xf>
    <xf numFmtId="180" fontId="14" fillId="8" borderId="0" xfId="0" applyNumberFormat="1" applyFont="1" applyFill="1" applyAlignment="1">
      <alignment horizontal="center" vertical="center"/>
    </xf>
    <xf numFmtId="179" fontId="14" fillId="9" borderId="0" xfId="0" applyNumberFormat="1" applyFont="1" applyFill="1" applyAlignment="1">
      <alignment horizontal="center" vertical="center"/>
    </xf>
    <xf numFmtId="180" fontId="14" fillId="9" borderId="0" xfId="0" applyNumberFormat="1" applyFont="1" applyFill="1" applyAlignment="1">
      <alignment horizontal="center" vertical="center"/>
    </xf>
    <xf numFmtId="179" fontId="14" fillId="0" borderId="1" xfId="0" applyNumberFormat="1" applyFont="1" applyBorder="1" applyAlignment="1">
      <alignment horizontal="center" vertical="center"/>
    </xf>
    <xf numFmtId="180" fontId="14" fillId="0" borderId="1" xfId="0" applyNumberFormat="1" applyFont="1" applyBorder="1" applyAlignment="1">
      <alignment horizontal="center" vertical="center"/>
    </xf>
    <xf numFmtId="0" fontId="14" fillId="27" borderId="16" xfId="0" applyFont="1" applyFill="1" applyBorder="1" applyAlignment="1">
      <alignment horizontal="center" vertical="center"/>
    </xf>
    <xf numFmtId="0" fontId="14" fillId="33" borderId="17" xfId="0" applyFont="1" applyFill="1" applyBorder="1" applyAlignment="1">
      <alignment horizontal="center" vertical="center"/>
    </xf>
    <xf numFmtId="0" fontId="26" fillId="0" borderId="0" xfId="0" applyFont="1" applyAlignment="1">
      <alignment horizontal="center" vertical="center"/>
    </xf>
    <xf numFmtId="0" fontId="14" fillId="28" borderId="0" xfId="0" applyFont="1" applyFill="1" applyAlignment="1">
      <alignment horizontal="center" vertical="center"/>
    </xf>
    <xf numFmtId="0" fontId="13" fillId="34" borderId="0" xfId="0" applyFont="1" applyFill="1" applyAlignment="1">
      <alignment horizontal="center" vertical="center"/>
    </xf>
    <xf numFmtId="49" fontId="13" fillId="34" borderId="0" xfId="0" applyNumberFormat="1" applyFont="1" applyFill="1" applyAlignment="1">
      <alignment horizontal="center" vertical="center"/>
    </xf>
    <xf numFmtId="0" fontId="13" fillId="34" borderId="1" xfId="0" applyFont="1" applyFill="1" applyBorder="1" applyAlignment="1">
      <alignment horizontal="center" vertical="center"/>
    </xf>
    <xf numFmtId="49" fontId="13" fillId="34" borderId="1" xfId="0" applyNumberFormat="1" applyFont="1" applyFill="1" applyBorder="1" applyAlignment="1">
      <alignment horizontal="center" vertical="center"/>
    </xf>
    <xf numFmtId="0" fontId="14" fillId="34" borderId="15" xfId="0" applyFont="1" applyFill="1" applyBorder="1" applyAlignment="1">
      <alignment horizontal="center" vertical="center"/>
    </xf>
    <xf numFmtId="179" fontId="14" fillId="35" borderId="0" xfId="0" applyNumberFormat="1" applyFont="1" applyFill="1" applyAlignment="1">
      <alignment horizontal="center" vertical="center"/>
    </xf>
    <xf numFmtId="0" fontId="13" fillId="31" borderId="0" xfId="0" applyFont="1" applyFill="1" applyAlignment="1">
      <alignment horizontal="center" vertical="center"/>
    </xf>
    <xf numFmtId="0" fontId="14" fillId="29" borderId="15" xfId="0" applyFont="1" applyFill="1" applyBorder="1" applyAlignment="1">
      <alignment horizontal="center" vertical="center"/>
    </xf>
    <xf numFmtId="0" fontId="14" fillId="29" borderId="0" xfId="0" applyFont="1" applyFill="1" applyAlignment="1">
      <alignment horizontal="center" vertical="center"/>
    </xf>
    <xf numFmtId="0" fontId="14" fillId="36" borderId="1" xfId="0" applyFont="1" applyFill="1" applyBorder="1" applyAlignment="1">
      <alignment horizontal="center" vertical="center"/>
    </xf>
    <xf numFmtId="49" fontId="28" fillId="0" borderId="0" xfId="0" applyNumberFormat="1" applyFont="1" applyAlignment="1">
      <alignment horizontal="center" vertical="center"/>
    </xf>
    <xf numFmtId="49" fontId="27" fillId="32" borderId="0" xfId="0" applyNumberFormat="1" applyFont="1" applyFill="1" applyAlignment="1">
      <alignment horizontal="center" vertical="center"/>
    </xf>
    <xf numFmtId="0" fontId="27" fillId="32" borderId="0" xfId="0" applyFont="1" applyFill="1" applyAlignment="1">
      <alignment horizontal="center" vertical="center"/>
    </xf>
    <xf numFmtId="0" fontId="27" fillId="20" borderId="0" xfId="0" applyFont="1" applyFill="1" applyAlignment="1">
      <alignment horizontal="center" vertical="center"/>
    </xf>
    <xf numFmtId="0" fontId="13" fillId="2" borderId="0" xfId="0" applyFont="1" applyFill="1" applyAlignment="1">
      <alignment horizontal="center" vertical="center"/>
    </xf>
    <xf numFmtId="176" fontId="13" fillId="2" borderId="3" xfId="0" applyNumberFormat="1" applyFont="1" applyFill="1" applyBorder="1" applyAlignment="1">
      <alignment horizontal="center" vertical="center"/>
    </xf>
    <xf numFmtId="176" fontId="13" fillId="2" borderId="2" xfId="0" applyNumberFormat="1" applyFont="1" applyFill="1" applyBorder="1" applyAlignment="1">
      <alignment horizontal="center" vertical="center"/>
    </xf>
    <xf numFmtId="176" fontId="13" fillId="2" borderId="4" xfId="0" applyNumberFormat="1" applyFont="1" applyFill="1" applyBorder="1" applyAlignment="1">
      <alignment horizontal="center" vertical="center"/>
    </xf>
    <xf numFmtId="0" fontId="13" fillId="2" borderId="3" xfId="0" applyFont="1" applyFill="1" applyBorder="1" applyAlignment="1">
      <alignment horizontal="center" vertical="center"/>
    </xf>
    <xf numFmtId="0" fontId="13" fillId="2" borderId="2" xfId="0" applyFont="1" applyFill="1" applyBorder="1" applyAlignment="1">
      <alignment horizontal="center" vertical="center"/>
    </xf>
    <xf numFmtId="0" fontId="13" fillId="2" borderId="4" xfId="0" applyFont="1" applyFill="1" applyBorder="1" applyAlignment="1">
      <alignment horizontal="center" vertical="center"/>
    </xf>
    <xf numFmtId="0" fontId="13" fillId="2" borderId="5" xfId="0" applyFont="1" applyFill="1" applyBorder="1" applyAlignment="1">
      <alignment horizontal="center" vertical="center"/>
    </xf>
    <xf numFmtId="0" fontId="13" fillId="2" borderId="6" xfId="0" applyFont="1" applyFill="1" applyBorder="1" applyAlignment="1">
      <alignment horizontal="center" vertical="center"/>
    </xf>
    <xf numFmtId="0" fontId="13" fillId="2" borderId="7" xfId="0" applyFont="1" applyFill="1" applyBorder="1" applyAlignment="1">
      <alignment horizontal="center" vertical="center"/>
    </xf>
    <xf numFmtId="0" fontId="13" fillId="2" borderId="14" xfId="0" applyFont="1" applyFill="1" applyBorder="1" applyAlignment="1">
      <alignment horizontal="center" vertical="center"/>
    </xf>
    <xf numFmtId="0" fontId="16" fillId="0" borderId="12" xfId="0" applyFont="1" applyBorder="1" applyAlignment="1">
      <alignment horizontal="center" vertical="center" wrapText="1"/>
    </xf>
    <xf numFmtId="0" fontId="16" fillId="0" borderId="13" xfId="0" applyFont="1" applyBorder="1" applyAlignment="1">
      <alignment horizontal="center" vertical="center" wrapText="1"/>
    </xf>
    <xf numFmtId="0" fontId="16" fillId="0" borderId="5" xfId="0" applyFont="1" applyBorder="1" applyAlignment="1">
      <alignment horizontal="center" vertical="center" wrapText="1"/>
    </xf>
    <xf numFmtId="0" fontId="17" fillId="2" borderId="8" xfId="0" applyFont="1" applyFill="1" applyBorder="1" applyAlignment="1">
      <alignment horizontal="center" vertical="center" wrapText="1"/>
    </xf>
    <xf numFmtId="0" fontId="17" fillId="2" borderId="10" xfId="0" applyFont="1" applyFill="1" applyBorder="1" applyAlignment="1">
      <alignment horizontal="center" vertical="center" wrapText="1"/>
    </xf>
    <xf numFmtId="0" fontId="17" fillId="0" borderId="0" xfId="0" applyFont="1" applyAlignment="1">
      <alignment horizontal="center" vertical="center"/>
    </xf>
    <xf numFmtId="0" fontId="16" fillId="0" borderId="0" xfId="0" applyFont="1" applyAlignment="1">
      <alignment horizontal="center" vertical="center" wrapText="1"/>
    </xf>
    <xf numFmtId="0" fontId="17" fillId="0" borderId="8" xfId="0" applyFont="1" applyBorder="1" applyAlignment="1">
      <alignment horizontal="center" vertical="center"/>
    </xf>
    <xf numFmtId="0" fontId="17" fillId="0" borderId="9" xfId="0" applyFont="1" applyBorder="1" applyAlignment="1">
      <alignment horizontal="center" vertical="center"/>
    </xf>
    <xf numFmtId="0" fontId="17" fillId="0" borderId="10" xfId="0" applyFont="1" applyBorder="1" applyAlignment="1">
      <alignment horizontal="center" vertical="center"/>
    </xf>
    <xf numFmtId="0" fontId="17" fillId="0" borderId="6" xfId="0" applyFont="1" applyBorder="1" applyAlignment="1">
      <alignment horizontal="center" vertical="center"/>
    </xf>
    <xf numFmtId="0" fontId="17" fillId="2" borderId="3" xfId="0" applyFont="1" applyFill="1" applyBorder="1" applyAlignment="1">
      <alignment horizontal="center" vertical="center"/>
    </xf>
    <xf numFmtId="0" fontId="17" fillId="2" borderId="2" xfId="0" applyFont="1" applyFill="1" applyBorder="1" applyAlignment="1">
      <alignment horizontal="center" vertical="center"/>
    </xf>
    <xf numFmtId="0" fontId="17" fillId="2" borderId="4" xfId="0" applyFont="1" applyFill="1" applyBorder="1" applyAlignment="1">
      <alignment horizontal="center" vertical="center"/>
    </xf>
    <xf numFmtId="0" fontId="17" fillId="2" borderId="8" xfId="0" applyFont="1" applyFill="1" applyBorder="1" applyAlignment="1">
      <alignment horizontal="center" vertical="center"/>
    </xf>
    <xf numFmtId="0" fontId="17" fillId="2" borderId="10" xfId="0" applyFont="1" applyFill="1" applyBorder="1" applyAlignment="1">
      <alignment horizontal="center" vertical="center"/>
    </xf>
    <xf numFmtId="0" fontId="17" fillId="0" borderId="11" xfId="0" applyFont="1" applyBorder="1" applyAlignment="1">
      <alignment horizontal="center" vertical="center"/>
    </xf>
    <xf numFmtId="0" fontId="16" fillId="0" borderId="11" xfId="0" applyFont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200"/>
  <sheetViews>
    <sheetView zoomScaleNormal="100" zoomScaleSheetLayoutView="100" workbookViewId="0"/>
  </sheetViews>
  <sheetFormatPr baseColWidth="10" defaultColWidth="8.6640625" defaultRowHeight="15"/>
  <cols>
    <col min="1" max="1" width="65" customWidth="1"/>
    <col min="2" max="2" width="12.1640625" customWidth="1"/>
    <col min="3" max="26" width="13" customWidth="1"/>
  </cols>
  <sheetData>
    <row r="1" spans="1:26" ht="380.25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2"/>
      <c r="T1" s="2"/>
      <c r="U1" s="2"/>
      <c r="V1" s="2"/>
      <c r="W1" s="2"/>
      <c r="X1" s="2"/>
      <c r="Y1" s="2"/>
      <c r="Z1" s="2"/>
    </row>
    <row r="2" spans="1:26" ht="16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2"/>
      <c r="T2" s="2"/>
      <c r="U2" s="2"/>
      <c r="V2" s="2"/>
      <c r="W2" s="2"/>
      <c r="X2" s="2"/>
      <c r="Y2" s="2"/>
      <c r="Z2" s="2"/>
    </row>
    <row r="3" spans="1:26" ht="16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2"/>
      <c r="T3" s="2"/>
      <c r="U3" s="2"/>
      <c r="V3" s="2"/>
      <c r="W3" s="2"/>
      <c r="X3" s="2"/>
      <c r="Y3" s="2"/>
      <c r="Z3" s="2"/>
    </row>
    <row r="4" spans="1:26" ht="16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2"/>
      <c r="T4" s="2"/>
      <c r="U4" s="2"/>
      <c r="V4" s="2"/>
      <c r="W4" s="2"/>
      <c r="X4" s="2"/>
      <c r="Y4" s="2"/>
      <c r="Z4" s="2"/>
    </row>
    <row r="5" spans="1:26" ht="16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2"/>
      <c r="T5" s="2"/>
      <c r="U5" s="2"/>
      <c r="V5" s="2"/>
      <c r="W5" s="2"/>
      <c r="X5" s="2"/>
      <c r="Y5" s="2"/>
      <c r="Z5" s="2"/>
    </row>
    <row r="6" spans="1:26" ht="16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2"/>
      <c r="T6" s="2"/>
      <c r="U6" s="2"/>
      <c r="V6" s="2"/>
      <c r="W6" s="2"/>
      <c r="X6" s="2"/>
      <c r="Y6" s="2"/>
      <c r="Z6" s="2"/>
    </row>
    <row r="7" spans="1:26" ht="16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2"/>
      <c r="T7" s="2"/>
      <c r="U7" s="2"/>
      <c r="V7" s="2"/>
      <c r="W7" s="2"/>
      <c r="X7" s="2"/>
      <c r="Y7" s="2"/>
      <c r="Z7" s="2"/>
    </row>
    <row r="8" spans="1:26" ht="16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2"/>
      <c r="T8" s="2"/>
      <c r="U8" s="2"/>
      <c r="V8" s="2"/>
      <c r="W8" s="2"/>
      <c r="X8" s="2"/>
      <c r="Y8" s="2"/>
      <c r="Z8" s="2"/>
    </row>
    <row r="9" spans="1:26" ht="16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2"/>
      <c r="T9" s="2"/>
      <c r="U9" s="2"/>
      <c r="V9" s="2"/>
      <c r="W9" s="2"/>
      <c r="X9" s="2"/>
      <c r="Y9" s="2"/>
      <c r="Z9" s="2"/>
    </row>
    <row r="10" spans="1:26" ht="16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2"/>
      <c r="T10" s="2"/>
      <c r="U10" s="2"/>
      <c r="V10" s="2"/>
      <c r="W10" s="2"/>
      <c r="X10" s="2"/>
      <c r="Y10" s="2"/>
      <c r="Z10" s="2"/>
    </row>
    <row r="11" spans="1:26" ht="16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2"/>
      <c r="T11" s="2"/>
      <c r="U11" s="2"/>
      <c r="V11" s="2"/>
      <c r="W11" s="2"/>
      <c r="X11" s="2"/>
      <c r="Y11" s="2"/>
      <c r="Z11" s="2"/>
    </row>
    <row r="12" spans="1:26" ht="16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2"/>
      <c r="T12" s="2"/>
      <c r="U12" s="2"/>
      <c r="V12" s="2"/>
      <c r="W12" s="2"/>
      <c r="X12" s="2"/>
      <c r="Y12" s="2"/>
      <c r="Z12" s="2"/>
    </row>
    <row r="13" spans="1:26" ht="16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2"/>
      <c r="T13" s="2"/>
      <c r="U13" s="2"/>
      <c r="V13" s="2"/>
      <c r="W13" s="2"/>
      <c r="X13" s="2"/>
      <c r="Y13" s="2"/>
      <c r="Z13" s="2"/>
    </row>
    <row r="14" spans="1:26" ht="16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2"/>
      <c r="T14" s="2"/>
      <c r="U14" s="2"/>
      <c r="V14" s="2"/>
      <c r="W14" s="2"/>
      <c r="X14" s="2"/>
      <c r="Y14" s="2"/>
      <c r="Z14" s="2"/>
    </row>
    <row r="15" spans="1:26" ht="16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2"/>
      <c r="T15" s="2"/>
      <c r="U15" s="2"/>
      <c r="V15" s="2"/>
      <c r="W15" s="2"/>
      <c r="X15" s="2"/>
      <c r="Y15" s="2"/>
      <c r="Z15" s="2"/>
    </row>
    <row r="16" spans="1:26" ht="16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2"/>
      <c r="T16" s="2"/>
      <c r="U16" s="2"/>
      <c r="V16" s="2"/>
      <c r="W16" s="2"/>
      <c r="X16" s="2"/>
      <c r="Y16" s="2"/>
      <c r="Z16" s="2"/>
    </row>
    <row r="17" spans="1:26" ht="16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2"/>
      <c r="T17" s="2"/>
      <c r="U17" s="2"/>
      <c r="V17" s="2"/>
      <c r="W17" s="2"/>
      <c r="X17" s="2"/>
      <c r="Y17" s="2"/>
      <c r="Z17" s="2"/>
    </row>
    <row r="18" spans="1:26" ht="16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2"/>
      <c r="T18" s="2"/>
      <c r="U18" s="2"/>
      <c r="V18" s="2"/>
      <c r="W18" s="2"/>
      <c r="X18" s="2"/>
      <c r="Y18" s="2"/>
      <c r="Z18" s="2"/>
    </row>
    <row r="19" spans="1:26" ht="16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2"/>
      <c r="T19" s="2"/>
      <c r="U19" s="2"/>
      <c r="V19" s="2"/>
      <c r="W19" s="2"/>
      <c r="X19" s="2"/>
      <c r="Y19" s="2"/>
      <c r="Z19" s="2"/>
    </row>
    <row r="20" spans="1:26" ht="16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2"/>
      <c r="T20" s="2"/>
      <c r="U20" s="2"/>
      <c r="V20" s="2"/>
      <c r="W20" s="2"/>
      <c r="X20" s="2"/>
      <c r="Y20" s="2"/>
      <c r="Z20" s="2"/>
    </row>
    <row r="21" spans="1:26" ht="16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2"/>
      <c r="T21" s="2"/>
      <c r="U21" s="2"/>
      <c r="V21" s="2"/>
      <c r="W21" s="2"/>
      <c r="X21" s="2"/>
      <c r="Y21" s="2"/>
      <c r="Z21" s="2"/>
    </row>
    <row r="22" spans="1:26" ht="16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2"/>
      <c r="T22" s="2"/>
      <c r="U22" s="2"/>
      <c r="V22" s="2"/>
      <c r="W22" s="2"/>
      <c r="X22" s="2"/>
      <c r="Y22" s="2"/>
      <c r="Z22" s="2"/>
    </row>
    <row r="23" spans="1:26" ht="16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2"/>
      <c r="T23" s="2"/>
      <c r="U23" s="2"/>
      <c r="V23" s="2"/>
      <c r="W23" s="2"/>
      <c r="X23" s="2"/>
      <c r="Y23" s="2"/>
      <c r="Z23" s="2"/>
    </row>
    <row r="24" spans="1:26" ht="16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2"/>
      <c r="T24" s="2"/>
      <c r="U24" s="2"/>
      <c r="V24" s="2"/>
      <c r="W24" s="2"/>
      <c r="X24" s="2"/>
      <c r="Y24" s="2"/>
      <c r="Z24" s="2"/>
    </row>
    <row r="25" spans="1:26" ht="16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2"/>
      <c r="T25" s="2"/>
      <c r="U25" s="2"/>
      <c r="V25" s="2"/>
      <c r="W25" s="2"/>
      <c r="X25" s="2"/>
      <c r="Y25" s="2"/>
      <c r="Z25" s="2"/>
    </row>
    <row r="26" spans="1:26" ht="1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6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6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6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6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6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6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6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6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6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6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6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6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6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6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6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6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6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6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6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6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6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6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6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6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6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6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6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6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6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6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6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6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6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6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6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6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6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6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6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6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6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6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6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6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6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6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6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6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6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6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6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6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6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6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6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6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6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6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6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6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6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6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6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6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6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6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6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6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6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6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6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6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6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6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6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6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6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6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6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6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6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6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6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6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6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6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6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6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6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6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6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6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6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6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6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6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6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6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6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6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6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6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6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6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6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6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6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6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6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6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6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6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6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6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6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6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6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6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6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6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6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6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6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6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6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6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6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6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6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6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6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6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6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6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6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6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6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6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6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6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6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6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6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6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6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6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6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6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6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6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6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6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6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6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6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6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6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</sheetData>
  <phoneticPr fontId="10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N422"/>
  <sheetViews>
    <sheetView zoomScaleNormal="100" zoomScaleSheetLayoutView="100" workbookViewId="0">
      <pane xSplit="2" ySplit="2" topLeftCell="C247" activePane="bottomRight" state="frozen"/>
      <selection pane="topRight"/>
      <selection pane="bottomLeft"/>
      <selection pane="bottomRight" activeCell="M259" sqref="M259"/>
    </sheetView>
  </sheetViews>
  <sheetFormatPr baseColWidth="10" defaultColWidth="8.6640625" defaultRowHeight="15"/>
  <cols>
    <col min="1" max="1" width="9" customWidth="1"/>
    <col min="2" max="2" width="48.6640625" customWidth="1"/>
    <col min="3" max="3" width="23" customWidth="1"/>
    <col min="4" max="4" width="15" style="8" customWidth="1"/>
    <col min="5" max="5" width="11" customWidth="1"/>
    <col min="6" max="6" width="9.6640625" customWidth="1"/>
    <col min="7" max="7" width="13.1640625" customWidth="1"/>
    <col min="8" max="8" width="9" customWidth="1"/>
    <col min="9" max="10" width="9.5" customWidth="1"/>
    <col min="11" max="15" width="8.5" customWidth="1"/>
    <col min="16" max="16" width="9" customWidth="1"/>
    <col min="17" max="23" width="9.1640625" customWidth="1"/>
    <col min="24" max="39" width="13" customWidth="1"/>
    <col min="40" max="40" width="9.5" customWidth="1"/>
    <col min="41" max="41" width="13" customWidth="1"/>
    <col min="42" max="42" width="9.5" customWidth="1"/>
    <col min="43" max="43" width="13" customWidth="1"/>
    <col min="44" max="46" width="8.5" customWidth="1"/>
    <col min="47" max="47" width="13" customWidth="1"/>
    <col min="48" max="48" width="12.5" customWidth="1"/>
    <col min="53" max="53" width="8.6640625" style="8"/>
    <col min="69" max="69" width="20.5" customWidth="1"/>
  </cols>
  <sheetData>
    <row r="1" spans="1:92" ht="21" customHeight="1">
      <c r="A1" s="9"/>
      <c r="B1" s="156" t="s">
        <v>31</v>
      </c>
      <c r="C1" s="157"/>
      <c r="D1" s="157"/>
      <c r="E1" s="157"/>
      <c r="F1" s="157"/>
      <c r="G1" s="157"/>
      <c r="H1" s="158"/>
      <c r="I1" s="83" t="s">
        <v>32</v>
      </c>
      <c r="J1" s="156" t="s">
        <v>33</v>
      </c>
      <c r="K1" s="157"/>
      <c r="L1" s="157"/>
      <c r="M1" s="157"/>
      <c r="N1" s="158"/>
      <c r="O1" s="10" t="s">
        <v>34</v>
      </c>
      <c r="P1" s="159" t="s">
        <v>35</v>
      </c>
      <c r="Q1" s="160"/>
      <c r="R1" s="160"/>
      <c r="S1" s="160"/>
      <c r="T1" s="160"/>
      <c r="U1" s="160"/>
      <c r="V1" s="160"/>
      <c r="W1" s="161"/>
      <c r="X1" s="156" t="s">
        <v>36</v>
      </c>
      <c r="Y1" s="157"/>
      <c r="Z1" s="157"/>
      <c r="AA1" s="157"/>
      <c r="AB1" s="157"/>
      <c r="AC1" s="157"/>
      <c r="AD1" s="157"/>
      <c r="AE1" s="157"/>
      <c r="AF1" s="157"/>
      <c r="AG1" s="157"/>
      <c r="AH1" s="157"/>
      <c r="AI1" s="157"/>
      <c r="AJ1" s="157"/>
      <c r="AK1" s="157"/>
      <c r="AL1" s="157"/>
      <c r="AM1" s="152" t="s">
        <v>37</v>
      </c>
      <c r="AN1" s="152"/>
      <c r="AO1" s="152"/>
      <c r="AP1" s="152"/>
      <c r="AQ1" s="152"/>
      <c r="AR1" s="152"/>
      <c r="AS1" s="152"/>
      <c r="AT1" s="152"/>
      <c r="AU1" s="152"/>
      <c r="AV1" s="162"/>
      <c r="AW1" s="153" t="s">
        <v>673</v>
      </c>
      <c r="AX1" s="154"/>
      <c r="AY1" s="155"/>
      <c r="AZ1" s="79" t="s">
        <v>690</v>
      </c>
      <c r="BA1" s="79" t="s">
        <v>707</v>
      </c>
      <c r="BB1" s="152" t="s">
        <v>630</v>
      </c>
      <c r="BC1" s="152"/>
      <c r="BD1" s="152"/>
      <c r="BE1" s="152"/>
      <c r="BF1" s="152"/>
      <c r="BG1" s="152"/>
      <c r="BH1" s="152"/>
      <c r="BI1" s="152"/>
      <c r="BJ1" s="152"/>
      <c r="BK1" s="152"/>
      <c r="BL1" s="152"/>
      <c r="BM1" s="152"/>
      <c r="BN1" s="152"/>
      <c r="BO1" s="152" t="s">
        <v>735</v>
      </c>
      <c r="BP1" s="152"/>
      <c r="BQ1" s="152"/>
      <c r="BR1" s="152"/>
      <c r="BS1" s="152"/>
      <c r="BT1" s="152"/>
      <c r="BU1" s="152"/>
      <c r="BV1" s="79"/>
      <c r="BW1" s="93"/>
      <c r="BX1" s="93"/>
      <c r="BY1" s="93"/>
      <c r="BZ1" s="93"/>
      <c r="CA1" s="93"/>
      <c r="CB1" s="93"/>
      <c r="CC1" s="93"/>
      <c r="CD1" s="80"/>
      <c r="CE1" s="79"/>
      <c r="CF1" s="79"/>
      <c r="CG1" s="79"/>
      <c r="CH1" s="79"/>
      <c r="CI1" s="79"/>
      <c r="CJ1" s="79"/>
      <c r="CK1" s="79"/>
      <c r="CL1" s="76"/>
      <c r="CM1" s="76"/>
      <c r="CN1" s="76"/>
    </row>
    <row r="2" spans="1:92" ht="21" customHeight="1">
      <c r="A2" s="9" t="s">
        <v>38</v>
      </c>
      <c r="B2" s="9"/>
      <c r="C2" s="11" t="s">
        <v>41</v>
      </c>
      <c r="D2" s="9" t="s">
        <v>40</v>
      </c>
      <c r="E2" s="11" t="s">
        <v>307</v>
      </c>
      <c r="F2" s="11" t="s">
        <v>42</v>
      </c>
      <c r="G2" s="9" t="s">
        <v>43</v>
      </c>
      <c r="H2" s="11" t="s">
        <v>426</v>
      </c>
      <c r="I2" s="9" t="s">
        <v>44</v>
      </c>
      <c r="J2" s="9" t="s">
        <v>44</v>
      </c>
      <c r="K2" s="118" t="s">
        <v>45</v>
      </c>
      <c r="L2" s="119" t="s">
        <v>46</v>
      </c>
      <c r="M2" s="119" t="s">
        <v>47</v>
      </c>
      <c r="N2" s="119" t="s">
        <v>48</v>
      </c>
      <c r="O2" s="10" t="s">
        <v>49</v>
      </c>
      <c r="P2" s="9" t="s">
        <v>413</v>
      </c>
      <c r="Q2" s="9" t="s">
        <v>50</v>
      </c>
      <c r="R2" s="9" t="s">
        <v>51</v>
      </c>
      <c r="S2" s="9" t="s">
        <v>52</v>
      </c>
      <c r="T2" s="9" t="s">
        <v>53</v>
      </c>
      <c r="U2" s="9" t="s">
        <v>54</v>
      </c>
      <c r="V2" s="9" t="s">
        <v>55</v>
      </c>
      <c r="W2" s="9" t="s">
        <v>56</v>
      </c>
      <c r="X2" s="9">
        <v>1</v>
      </c>
      <c r="Y2" s="9">
        <v>2</v>
      </c>
      <c r="Z2" s="9">
        <v>3</v>
      </c>
      <c r="AA2" s="9">
        <v>4</v>
      </c>
      <c r="AB2" s="9">
        <v>5</v>
      </c>
      <c r="AC2" s="9">
        <v>6</v>
      </c>
      <c r="AD2" s="9">
        <v>7</v>
      </c>
      <c r="AE2" s="9">
        <v>8</v>
      </c>
      <c r="AF2" s="9">
        <v>9</v>
      </c>
      <c r="AG2" s="9">
        <v>10</v>
      </c>
      <c r="AH2" s="9">
        <v>11</v>
      </c>
      <c r="AI2" s="9">
        <v>12</v>
      </c>
      <c r="AJ2" s="9">
        <v>13</v>
      </c>
      <c r="AK2" s="79">
        <v>14</v>
      </c>
      <c r="AL2" s="79" t="s">
        <v>57</v>
      </c>
      <c r="AM2" s="79" t="s">
        <v>58</v>
      </c>
      <c r="AN2" s="79" t="s">
        <v>59</v>
      </c>
      <c r="AO2" s="79" t="s">
        <v>60</v>
      </c>
      <c r="AP2" s="79" t="s">
        <v>59</v>
      </c>
      <c r="AQ2" s="79" t="s">
        <v>61</v>
      </c>
      <c r="AR2" s="79" t="s">
        <v>59</v>
      </c>
      <c r="AS2" s="79" t="s">
        <v>1417</v>
      </c>
      <c r="AT2" s="79" t="s">
        <v>59</v>
      </c>
      <c r="AU2" s="79" t="s">
        <v>57</v>
      </c>
      <c r="AV2" s="79" t="s">
        <v>62</v>
      </c>
      <c r="AW2" s="79" t="s">
        <v>674</v>
      </c>
      <c r="AX2" s="79" t="s">
        <v>675</v>
      </c>
      <c r="AY2" s="79" t="s">
        <v>676</v>
      </c>
      <c r="AZ2" s="79"/>
      <c r="BA2" s="79"/>
      <c r="BB2" s="79" t="s">
        <v>631</v>
      </c>
      <c r="BC2" s="79" t="s">
        <v>632</v>
      </c>
      <c r="BD2" s="79" t="s">
        <v>633</v>
      </c>
      <c r="BE2" s="79" t="s">
        <v>634</v>
      </c>
      <c r="BF2" s="79" t="s">
        <v>604</v>
      </c>
      <c r="BG2" s="79" t="s">
        <v>635</v>
      </c>
      <c r="BH2" s="79" t="s">
        <v>605</v>
      </c>
      <c r="BI2" s="79" t="s">
        <v>636</v>
      </c>
      <c r="BJ2" s="79" t="s">
        <v>637</v>
      </c>
      <c r="BK2" s="79" t="s">
        <v>638</v>
      </c>
      <c r="BL2" s="79" t="s">
        <v>639</v>
      </c>
      <c r="BM2" s="79" t="s">
        <v>640</v>
      </c>
      <c r="BN2" s="79" t="s">
        <v>641</v>
      </c>
      <c r="BO2" s="79" t="s">
        <v>642</v>
      </c>
      <c r="BP2" s="79" t="s">
        <v>643</v>
      </c>
      <c r="BQ2" s="79" t="s">
        <v>644</v>
      </c>
      <c r="BR2" s="79" t="s">
        <v>645</v>
      </c>
      <c r="BS2" s="79" t="s">
        <v>646</v>
      </c>
      <c r="BT2" s="79" t="s">
        <v>647</v>
      </c>
      <c r="BU2" s="79" t="s">
        <v>648</v>
      </c>
      <c r="BV2" s="79" t="s">
        <v>738</v>
      </c>
      <c r="BW2" s="79" t="s">
        <v>680</v>
      </c>
      <c r="BX2" s="79" t="s">
        <v>939</v>
      </c>
      <c r="BY2" s="79" t="s">
        <v>1061</v>
      </c>
      <c r="BZ2" s="79" t="s">
        <v>1068</v>
      </c>
      <c r="CA2" s="79"/>
      <c r="CB2" s="79"/>
      <c r="CC2" s="79"/>
      <c r="CD2" s="79"/>
      <c r="CE2" s="79"/>
      <c r="CF2" s="79"/>
      <c r="CG2" s="79"/>
      <c r="CH2" s="79"/>
      <c r="CI2" s="79"/>
      <c r="CJ2" s="79"/>
      <c r="CK2" s="79"/>
      <c r="CL2" s="79"/>
      <c r="CM2" s="79"/>
      <c r="CN2" s="79"/>
    </row>
    <row r="3" spans="1:92" ht="21" customHeight="1">
      <c r="A3" s="109">
        <v>1</v>
      </c>
      <c r="B3" s="110" t="s">
        <v>63</v>
      </c>
      <c r="C3" s="111" t="s">
        <v>64</v>
      </c>
      <c r="D3" s="110" t="s">
        <v>760</v>
      </c>
      <c r="E3" s="111" t="s">
        <v>308</v>
      </c>
      <c r="F3" s="111" t="s">
        <v>65</v>
      </c>
      <c r="G3" s="12" t="s">
        <v>66</v>
      </c>
      <c r="H3" s="112" t="s">
        <v>296</v>
      </c>
      <c r="I3" s="13">
        <v>1381</v>
      </c>
      <c r="J3" s="14">
        <v>1381</v>
      </c>
      <c r="K3" s="120">
        <v>270.10000000000002</v>
      </c>
      <c r="L3" s="121">
        <v>55.03</v>
      </c>
      <c r="M3" s="121">
        <v>53.79</v>
      </c>
      <c r="N3" s="121">
        <v>68.19</v>
      </c>
      <c r="O3" s="32">
        <v>10.75</v>
      </c>
      <c r="P3" s="22" t="s">
        <v>414</v>
      </c>
      <c r="Q3" s="16">
        <v>5</v>
      </c>
      <c r="R3" s="16">
        <v>8</v>
      </c>
      <c r="S3" s="16">
        <v>30</v>
      </c>
      <c r="T3" s="109"/>
      <c r="U3" s="109"/>
      <c r="V3" s="109"/>
      <c r="W3" s="109">
        <v>43</v>
      </c>
      <c r="X3" s="94">
        <v>4850</v>
      </c>
      <c r="Y3" s="94">
        <v>5200</v>
      </c>
      <c r="Z3" s="94">
        <v>5600</v>
      </c>
      <c r="AA3" s="94">
        <v>6200</v>
      </c>
      <c r="AB3" s="94">
        <v>6900</v>
      </c>
      <c r="AC3" s="94">
        <v>10500</v>
      </c>
      <c r="AD3" s="94">
        <v>14500</v>
      </c>
      <c r="AE3" s="94">
        <v>22000</v>
      </c>
      <c r="AF3" s="94">
        <v>28000</v>
      </c>
      <c r="AG3" s="96">
        <v>36000</v>
      </c>
      <c r="AH3" s="94"/>
      <c r="AI3" s="94"/>
      <c r="AJ3" s="94"/>
      <c r="AK3" s="32"/>
      <c r="AL3" s="113">
        <v>559000</v>
      </c>
      <c r="AM3" s="95">
        <v>5000</v>
      </c>
      <c r="AN3" s="95">
        <v>5</v>
      </c>
      <c r="AO3" s="96">
        <v>10000</v>
      </c>
      <c r="AP3" s="96">
        <v>1</v>
      </c>
      <c r="AQ3" s="97"/>
      <c r="AR3" s="134"/>
      <c r="AS3" s="135"/>
      <c r="AT3" s="135"/>
      <c r="AU3" s="113">
        <v>140000</v>
      </c>
      <c r="AV3" s="113">
        <v>699000</v>
      </c>
      <c r="AW3" s="113">
        <v>282</v>
      </c>
      <c r="AX3" s="113"/>
      <c r="AY3" s="113">
        <v>363</v>
      </c>
      <c r="AZ3" s="113">
        <v>1</v>
      </c>
      <c r="BA3" s="113" t="s">
        <v>633</v>
      </c>
      <c r="BB3" s="32"/>
      <c r="BC3" s="32"/>
      <c r="BD3" s="32">
        <v>1</v>
      </c>
      <c r="BE3" s="32">
        <v>1</v>
      </c>
      <c r="BF3" s="32"/>
      <c r="BG3" s="32"/>
      <c r="BH3" s="32"/>
      <c r="BI3" s="32"/>
      <c r="BJ3" s="32"/>
      <c r="BK3" s="32"/>
      <c r="BL3" s="32"/>
      <c r="BM3" s="32"/>
      <c r="BN3" s="32"/>
      <c r="BO3" s="32"/>
      <c r="BP3" s="32"/>
      <c r="BQ3" s="32"/>
      <c r="BR3" s="32">
        <v>1</v>
      </c>
      <c r="BS3" s="32"/>
      <c r="BT3" s="32"/>
      <c r="BU3" s="32"/>
      <c r="BV3" s="81" t="s">
        <v>743</v>
      </c>
      <c r="BW3" s="113"/>
      <c r="BX3" s="113"/>
      <c r="BY3" s="113">
        <v>1</v>
      </c>
      <c r="BZ3" s="113">
        <v>4</v>
      </c>
      <c r="CA3" s="113"/>
      <c r="CB3" s="113"/>
      <c r="CC3" s="113"/>
      <c r="CD3" s="32"/>
      <c r="CE3" s="32"/>
      <c r="CF3" s="32"/>
      <c r="CG3" s="32"/>
      <c r="CH3" s="32"/>
      <c r="CI3" s="32"/>
      <c r="CJ3" s="32"/>
      <c r="CK3" s="32"/>
      <c r="CL3" s="32"/>
      <c r="CM3" s="32"/>
      <c r="CN3" s="32"/>
    </row>
    <row r="4" spans="1:92" ht="21" customHeight="1">
      <c r="A4" s="109">
        <v>2</v>
      </c>
      <c r="B4" s="110" t="s">
        <v>67</v>
      </c>
      <c r="C4" s="111" t="s">
        <v>583</v>
      </c>
      <c r="D4" s="110" t="s">
        <v>68</v>
      </c>
      <c r="E4" s="111" t="s">
        <v>69</v>
      </c>
      <c r="F4" s="111" t="s">
        <v>65</v>
      </c>
      <c r="G4" s="12" t="s">
        <v>66</v>
      </c>
      <c r="H4" s="112" t="s">
        <v>296</v>
      </c>
      <c r="I4" s="13">
        <v>1476</v>
      </c>
      <c r="J4" s="14">
        <v>1476</v>
      </c>
      <c r="K4" s="120">
        <v>266.8</v>
      </c>
      <c r="L4" s="121">
        <v>68.86</v>
      </c>
      <c r="M4" s="121">
        <v>47.43</v>
      </c>
      <c r="N4" s="121">
        <v>57.49</v>
      </c>
      <c r="O4" s="32">
        <v>7.4660000000000002</v>
      </c>
      <c r="P4" s="22" t="s">
        <v>414</v>
      </c>
      <c r="Q4" s="16">
        <v>5</v>
      </c>
      <c r="R4" s="16">
        <v>8</v>
      </c>
      <c r="S4" s="16">
        <v>45</v>
      </c>
      <c r="T4" s="109"/>
      <c r="U4" s="109"/>
      <c r="V4" s="109"/>
      <c r="W4" s="109">
        <v>58</v>
      </c>
      <c r="X4" s="94">
        <v>4850</v>
      </c>
      <c r="Y4" s="94">
        <v>5200</v>
      </c>
      <c r="Z4" s="94">
        <v>5600</v>
      </c>
      <c r="AA4" s="94">
        <v>6200</v>
      </c>
      <c r="AB4" s="94">
        <v>6900</v>
      </c>
      <c r="AC4" s="94">
        <v>10500</v>
      </c>
      <c r="AD4" s="94">
        <v>14500</v>
      </c>
      <c r="AE4" s="94">
        <v>22000</v>
      </c>
      <c r="AF4" s="94">
        <v>28000</v>
      </c>
      <c r="AG4" s="94">
        <v>35000</v>
      </c>
      <c r="AH4" s="94"/>
      <c r="AI4" s="94"/>
      <c r="AJ4" s="94"/>
      <c r="AK4" s="32"/>
      <c r="AL4" s="113">
        <v>555000</v>
      </c>
      <c r="AM4" s="95">
        <v>5000</v>
      </c>
      <c r="AN4" s="95">
        <v>5</v>
      </c>
      <c r="AO4" s="96">
        <v>10000</v>
      </c>
      <c r="AP4" s="96">
        <v>1</v>
      </c>
      <c r="AQ4" s="97"/>
      <c r="AR4" s="134"/>
      <c r="AS4" s="135"/>
      <c r="AT4" s="135"/>
      <c r="AU4" s="113">
        <v>140000</v>
      </c>
      <c r="AV4" s="113">
        <v>695000</v>
      </c>
      <c r="AW4" s="113">
        <v>278</v>
      </c>
      <c r="AX4" s="113"/>
      <c r="AY4" s="113">
        <v>359</v>
      </c>
      <c r="AZ4" s="113">
        <v>1</v>
      </c>
      <c r="BA4" s="113" t="s">
        <v>633</v>
      </c>
      <c r="BB4" s="32"/>
      <c r="BC4" s="32"/>
      <c r="BD4" s="32">
        <v>1</v>
      </c>
      <c r="BE4" s="32">
        <v>1</v>
      </c>
      <c r="BF4" s="32"/>
      <c r="BG4" s="32"/>
      <c r="BH4" s="32"/>
      <c r="BI4" s="32"/>
      <c r="BJ4" s="32"/>
      <c r="BK4" s="32"/>
      <c r="BL4" s="32"/>
      <c r="BM4" s="32"/>
      <c r="BN4" s="32"/>
      <c r="BO4" s="32"/>
      <c r="BP4" s="32"/>
      <c r="BQ4" s="32"/>
      <c r="BR4" s="32"/>
      <c r="BS4" s="32" t="s">
        <v>649</v>
      </c>
      <c r="BT4" s="32"/>
      <c r="BU4" s="32"/>
      <c r="BV4" s="81" t="s">
        <v>744</v>
      </c>
      <c r="BW4" s="113"/>
      <c r="BX4" s="113"/>
      <c r="BY4" s="113">
        <v>1</v>
      </c>
      <c r="BZ4" s="113">
        <v>4</v>
      </c>
      <c r="CA4" s="113"/>
      <c r="CB4" s="113"/>
      <c r="CC4" s="113"/>
      <c r="CD4" s="32"/>
      <c r="CE4" s="32"/>
      <c r="CF4" s="32"/>
      <c r="CG4" s="32"/>
      <c r="CH4" s="32"/>
      <c r="CI4" s="32"/>
      <c r="CJ4" s="32"/>
      <c r="CK4" s="32"/>
      <c r="CL4" s="32"/>
      <c r="CM4" s="32"/>
      <c r="CN4" s="32"/>
    </row>
    <row r="5" spans="1:92" ht="21" customHeight="1">
      <c r="A5" s="109">
        <v>3</v>
      </c>
      <c r="B5" s="110" t="s">
        <v>70</v>
      </c>
      <c r="C5" s="111" t="s">
        <v>72</v>
      </c>
      <c r="D5" s="110" t="s">
        <v>71</v>
      </c>
      <c r="E5" s="111" t="s">
        <v>309</v>
      </c>
      <c r="F5" s="111" t="s">
        <v>65</v>
      </c>
      <c r="G5" s="12" t="s">
        <v>66</v>
      </c>
      <c r="H5" s="112" t="s">
        <v>296</v>
      </c>
      <c r="I5" s="13">
        <v>1546</v>
      </c>
      <c r="J5" s="14">
        <v>1546</v>
      </c>
      <c r="K5" s="120">
        <v>284.10000000000002</v>
      </c>
      <c r="L5" s="121">
        <v>64.81</v>
      </c>
      <c r="M5" s="121">
        <v>48.39</v>
      </c>
      <c r="N5" s="121">
        <v>63.29</v>
      </c>
      <c r="O5" s="32">
        <v>8.2490000000000006</v>
      </c>
      <c r="P5" s="22" t="s">
        <v>414</v>
      </c>
      <c r="Q5" s="16">
        <v>5</v>
      </c>
      <c r="R5" s="16">
        <v>12</v>
      </c>
      <c r="S5" s="16">
        <v>30</v>
      </c>
      <c r="T5" s="109"/>
      <c r="U5" s="109"/>
      <c r="V5" s="109"/>
      <c r="W5" s="109">
        <v>47</v>
      </c>
      <c r="X5" s="94">
        <v>4850</v>
      </c>
      <c r="Y5" s="94">
        <v>5200</v>
      </c>
      <c r="Z5" s="94">
        <v>5600</v>
      </c>
      <c r="AA5" s="94">
        <v>6200</v>
      </c>
      <c r="AB5" s="94">
        <v>6900</v>
      </c>
      <c r="AC5" s="94">
        <v>10500</v>
      </c>
      <c r="AD5" s="94">
        <v>14500</v>
      </c>
      <c r="AE5" s="94">
        <v>22000</v>
      </c>
      <c r="AF5" s="94">
        <v>28000</v>
      </c>
      <c r="AG5" s="94">
        <v>35000</v>
      </c>
      <c r="AH5" s="94"/>
      <c r="AI5" s="94"/>
      <c r="AJ5" s="94"/>
      <c r="AK5" s="32"/>
      <c r="AL5" s="113">
        <v>555000</v>
      </c>
      <c r="AM5" s="95">
        <v>5000</v>
      </c>
      <c r="AN5" s="95">
        <v>5</v>
      </c>
      <c r="AO5" s="96">
        <v>10000</v>
      </c>
      <c r="AP5" s="96">
        <v>1</v>
      </c>
      <c r="AQ5" s="97"/>
      <c r="AR5" s="134"/>
      <c r="AS5" s="135"/>
      <c r="AT5" s="135"/>
      <c r="AU5" s="113">
        <v>140000</v>
      </c>
      <c r="AV5" s="113">
        <v>695000</v>
      </c>
      <c r="AW5" s="113">
        <v>296</v>
      </c>
      <c r="AX5" s="113"/>
      <c r="AY5" s="113">
        <v>380</v>
      </c>
      <c r="AZ5" s="113">
        <v>1</v>
      </c>
      <c r="BA5" s="113" t="s">
        <v>633</v>
      </c>
      <c r="BB5" s="32">
        <v>1</v>
      </c>
      <c r="BC5" s="32"/>
      <c r="BD5" s="32">
        <v>1</v>
      </c>
      <c r="BE5" s="32">
        <v>1</v>
      </c>
      <c r="BF5" s="32"/>
      <c r="BG5" s="32"/>
      <c r="BH5" s="32"/>
      <c r="BI5" s="32"/>
      <c r="BJ5" s="32"/>
      <c r="BK5" s="32"/>
      <c r="BL5" s="32"/>
      <c r="BM5" s="32"/>
      <c r="BN5" s="32"/>
      <c r="BO5" s="32"/>
      <c r="BP5" s="32"/>
      <c r="BQ5" s="32"/>
      <c r="BR5" s="32"/>
      <c r="BS5" s="32"/>
      <c r="BT5" s="32"/>
      <c r="BU5" s="32"/>
      <c r="BV5" s="81" t="s">
        <v>745</v>
      </c>
      <c r="BW5" s="113"/>
      <c r="BX5" s="113"/>
      <c r="BY5" s="113">
        <v>1</v>
      </c>
      <c r="BZ5" s="113">
        <v>4</v>
      </c>
      <c r="CA5" s="113"/>
      <c r="CB5" s="113"/>
      <c r="CC5" s="113"/>
      <c r="CD5" s="32"/>
      <c r="CE5" s="32"/>
      <c r="CF5" s="32"/>
      <c r="CG5" s="32"/>
      <c r="CH5" s="32"/>
      <c r="CI5" s="32"/>
      <c r="CJ5" s="32"/>
      <c r="CK5" s="32"/>
      <c r="CL5" s="32"/>
      <c r="CM5" s="32"/>
      <c r="CN5" s="32"/>
    </row>
    <row r="6" spans="1:92" ht="21" customHeight="1">
      <c r="A6" s="109">
        <v>4</v>
      </c>
      <c r="B6" s="110" t="s">
        <v>73</v>
      </c>
      <c r="C6" s="111" t="s">
        <v>75</v>
      </c>
      <c r="D6" s="110" t="s">
        <v>74</v>
      </c>
      <c r="E6" s="111" t="s">
        <v>75</v>
      </c>
      <c r="F6" s="111" t="s">
        <v>65</v>
      </c>
      <c r="G6" s="12" t="s">
        <v>66</v>
      </c>
      <c r="H6" s="112" t="s">
        <v>296</v>
      </c>
      <c r="I6" s="13">
        <v>1662</v>
      </c>
      <c r="J6" s="14">
        <v>1662</v>
      </c>
      <c r="K6" s="120">
        <v>268.5</v>
      </c>
      <c r="L6" s="121">
        <v>66.61</v>
      </c>
      <c r="M6" s="121">
        <v>81.83</v>
      </c>
      <c r="N6" s="121">
        <v>67.069999999999993</v>
      </c>
      <c r="O6" s="32">
        <v>10.35</v>
      </c>
      <c r="P6" s="22" t="s">
        <v>414</v>
      </c>
      <c r="Q6" s="16">
        <v>10</v>
      </c>
      <c r="R6" s="16">
        <v>12</v>
      </c>
      <c r="S6" s="16">
        <v>30</v>
      </c>
      <c r="T6" s="109"/>
      <c r="U6" s="109"/>
      <c r="V6" s="109"/>
      <c r="W6" s="109">
        <v>52</v>
      </c>
      <c r="X6" s="96">
        <v>4000</v>
      </c>
      <c r="Y6" s="96">
        <v>5000</v>
      </c>
      <c r="Z6" s="96">
        <v>5500</v>
      </c>
      <c r="AA6" s="96">
        <v>6000</v>
      </c>
      <c r="AB6" s="96">
        <v>7000</v>
      </c>
      <c r="AC6" s="96">
        <v>10000</v>
      </c>
      <c r="AD6" s="96">
        <v>15000</v>
      </c>
      <c r="AE6" s="96">
        <v>22000</v>
      </c>
      <c r="AF6" s="96">
        <v>28000</v>
      </c>
      <c r="AG6" s="96">
        <v>36000</v>
      </c>
      <c r="AH6" s="94"/>
      <c r="AI6" s="94"/>
      <c r="AJ6" s="94"/>
      <c r="AK6" s="32"/>
      <c r="AL6" s="113">
        <v>554000</v>
      </c>
      <c r="AM6" s="95">
        <v>5000</v>
      </c>
      <c r="AN6" s="95">
        <v>5</v>
      </c>
      <c r="AO6" s="96">
        <v>10000</v>
      </c>
      <c r="AP6" s="96">
        <v>1</v>
      </c>
      <c r="AQ6" s="97"/>
      <c r="AR6" s="134"/>
      <c r="AS6" s="135"/>
      <c r="AT6" s="135"/>
      <c r="AU6" s="113">
        <v>140000</v>
      </c>
      <c r="AV6" s="113">
        <v>694000</v>
      </c>
      <c r="AW6" s="113">
        <v>280</v>
      </c>
      <c r="AX6" s="113"/>
      <c r="AY6" s="113">
        <v>361</v>
      </c>
      <c r="AZ6" s="113">
        <v>1</v>
      </c>
      <c r="BA6" s="113" t="s">
        <v>633</v>
      </c>
      <c r="BB6" s="32">
        <v>1</v>
      </c>
      <c r="BC6" s="32"/>
      <c r="BD6" s="32">
        <v>1</v>
      </c>
      <c r="BE6" s="32">
        <v>1</v>
      </c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81" t="s">
        <v>1105</v>
      </c>
      <c r="BW6" s="113"/>
      <c r="BX6" s="113"/>
      <c r="BY6" s="113">
        <v>1</v>
      </c>
      <c r="BZ6" s="113">
        <v>4</v>
      </c>
      <c r="CA6" s="113"/>
      <c r="CB6" s="113"/>
      <c r="CC6" s="113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</row>
    <row r="7" spans="1:92" ht="21" customHeight="1">
      <c r="A7" s="109">
        <v>5</v>
      </c>
      <c r="B7" s="110" t="s">
        <v>76</v>
      </c>
      <c r="C7" s="111" t="s">
        <v>78</v>
      </c>
      <c r="D7" s="110" t="s">
        <v>77</v>
      </c>
      <c r="E7" s="111" t="s">
        <v>78</v>
      </c>
      <c r="F7" s="111" t="s">
        <v>65</v>
      </c>
      <c r="G7" s="12" t="s">
        <v>66</v>
      </c>
      <c r="H7" s="112" t="s">
        <v>296</v>
      </c>
      <c r="I7" s="13">
        <v>1687</v>
      </c>
      <c r="J7" s="14">
        <v>1683</v>
      </c>
      <c r="K7" s="120">
        <v>308.39999999999998</v>
      </c>
      <c r="L7" s="121">
        <v>71.92</v>
      </c>
      <c r="M7" s="121">
        <v>37.979999999999997</v>
      </c>
      <c r="N7" s="121">
        <v>45.41</v>
      </c>
      <c r="O7" s="32">
        <v>5.05</v>
      </c>
      <c r="P7" s="22" t="s">
        <v>414</v>
      </c>
      <c r="Q7" s="16">
        <v>15</v>
      </c>
      <c r="R7" s="16">
        <v>20</v>
      </c>
      <c r="S7" s="16">
        <v>30</v>
      </c>
      <c r="T7" s="109"/>
      <c r="U7" s="109"/>
      <c r="V7" s="109"/>
      <c r="W7" s="109">
        <v>65</v>
      </c>
      <c r="X7" s="96">
        <v>4000</v>
      </c>
      <c r="Y7" s="96">
        <v>5000</v>
      </c>
      <c r="Z7" s="96">
        <v>5500</v>
      </c>
      <c r="AA7" s="96">
        <v>6000</v>
      </c>
      <c r="AB7" s="96">
        <v>7000</v>
      </c>
      <c r="AC7" s="96">
        <v>10000</v>
      </c>
      <c r="AD7" s="96">
        <v>15000</v>
      </c>
      <c r="AE7" s="96">
        <v>22000</v>
      </c>
      <c r="AF7" s="96">
        <v>28000</v>
      </c>
      <c r="AG7" s="96">
        <v>36000</v>
      </c>
      <c r="AH7" s="94"/>
      <c r="AI7" s="94"/>
      <c r="AJ7" s="94"/>
      <c r="AK7" s="32"/>
      <c r="AL7" s="113">
        <v>554000</v>
      </c>
      <c r="AM7" s="95">
        <v>5000</v>
      </c>
      <c r="AN7" s="95">
        <v>5</v>
      </c>
      <c r="AO7" s="96">
        <v>10000</v>
      </c>
      <c r="AP7" s="96">
        <v>1</v>
      </c>
      <c r="AQ7" s="97"/>
      <c r="AR7" s="134"/>
      <c r="AS7" s="135"/>
      <c r="AT7" s="135"/>
      <c r="AU7" s="113">
        <v>140000</v>
      </c>
      <c r="AV7" s="113">
        <v>694000</v>
      </c>
      <c r="AW7" s="113">
        <v>321</v>
      </c>
      <c r="AX7" s="113"/>
      <c r="AY7" s="113">
        <v>410</v>
      </c>
      <c r="AZ7" s="113">
        <v>1</v>
      </c>
      <c r="BA7" s="113" t="s">
        <v>633</v>
      </c>
      <c r="BB7" s="32"/>
      <c r="BC7" s="32"/>
      <c r="BD7" s="32">
        <v>1</v>
      </c>
      <c r="BE7" s="32">
        <v>1</v>
      </c>
      <c r="BF7" s="32"/>
      <c r="BG7" s="32"/>
      <c r="BH7" s="32"/>
      <c r="BI7" s="32"/>
      <c r="BJ7" s="32"/>
      <c r="BK7" s="32"/>
      <c r="BL7" s="32"/>
      <c r="BM7" s="32"/>
      <c r="BN7" s="32"/>
      <c r="BO7" s="32"/>
      <c r="BP7" s="32"/>
      <c r="BQ7" s="32"/>
      <c r="BR7" s="32"/>
      <c r="BS7" s="32"/>
      <c r="BT7" s="32"/>
      <c r="BU7" s="32"/>
      <c r="BV7" s="81" t="s">
        <v>1106</v>
      </c>
      <c r="BW7" s="113"/>
      <c r="BX7" s="113"/>
      <c r="BY7" s="113">
        <v>1</v>
      </c>
      <c r="BZ7" s="113">
        <v>4</v>
      </c>
      <c r="CA7" s="113"/>
      <c r="CB7" s="113"/>
      <c r="CC7" s="113"/>
      <c r="CD7" s="32"/>
      <c r="CE7" s="32"/>
      <c r="CF7" s="32"/>
      <c r="CG7" s="32"/>
      <c r="CH7" s="32"/>
      <c r="CI7" s="32"/>
      <c r="CJ7" s="32"/>
      <c r="CK7" s="32"/>
      <c r="CL7" s="32"/>
      <c r="CM7" s="32"/>
      <c r="CN7" s="32"/>
    </row>
    <row r="8" spans="1:92" ht="21" customHeight="1">
      <c r="A8" s="109">
        <v>6</v>
      </c>
      <c r="B8" s="110" t="s">
        <v>1107</v>
      </c>
      <c r="C8" s="111" t="s">
        <v>989</v>
      </c>
      <c r="D8" s="110" t="s">
        <v>990</v>
      </c>
      <c r="E8" s="111" t="s">
        <v>991</v>
      </c>
      <c r="F8" s="111" t="s">
        <v>65</v>
      </c>
      <c r="G8" s="12" t="s">
        <v>66</v>
      </c>
      <c r="H8" s="112" t="s">
        <v>992</v>
      </c>
      <c r="I8" s="13">
        <v>1738</v>
      </c>
      <c r="J8" s="14">
        <v>1738</v>
      </c>
      <c r="K8" s="120">
        <v>247.5</v>
      </c>
      <c r="L8" s="121">
        <v>83.84</v>
      </c>
      <c r="M8" s="121">
        <v>64.989999999999995</v>
      </c>
      <c r="N8" s="121">
        <v>66.989999999999995</v>
      </c>
      <c r="O8" s="15"/>
      <c r="P8" s="22" t="s">
        <v>414</v>
      </c>
      <c r="Q8" s="16">
        <v>20</v>
      </c>
      <c r="R8" s="16">
        <v>25</v>
      </c>
      <c r="S8" s="16">
        <v>30</v>
      </c>
      <c r="T8" s="109"/>
      <c r="U8" s="109"/>
      <c r="V8" s="109"/>
      <c r="W8" s="109">
        <v>75</v>
      </c>
      <c r="X8" s="96">
        <v>6000</v>
      </c>
      <c r="Y8" s="96">
        <v>6500</v>
      </c>
      <c r="Z8" s="96">
        <v>7000</v>
      </c>
      <c r="AA8" s="96">
        <v>8000</v>
      </c>
      <c r="AB8" s="96">
        <v>9000</v>
      </c>
      <c r="AC8" s="96">
        <v>14000</v>
      </c>
      <c r="AD8" s="96">
        <v>19000</v>
      </c>
      <c r="AE8" s="96">
        <v>29000</v>
      </c>
      <c r="AF8" s="96">
        <v>36500</v>
      </c>
      <c r="AG8" s="96">
        <v>46000</v>
      </c>
      <c r="AH8" s="94"/>
      <c r="AI8" s="94"/>
      <c r="AJ8" s="94"/>
      <c r="AK8" s="32"/>
      <c r="AL8" s="113">
        <v>724000</v>
      </c>
      <c r="AM8" s="95">
        <v>6000</v>
      </c>
      <c r="AN8" s="95">
        <v>5</v>
      </c>
      <c r="AO8" s="96">
        <v>12000</v>
      </c>
      <c r="AP8" s="96">
        <v>1</v>
      </c>
      <c r="AQ8" s="97"/>
      <c r="AR8" s="134"/>
      <c r="AS8" s="135"/>
      <c r="AT8" s="135"/>
      <c r="AU8" s="113">
        <v>168000</v>
      </c>
      <c r="AV8" s="113">
        <v>892000</v>
      </c>
      <c r="AW8" s="113">
        <v>258</v>
      </c>
      <c r="AX8" s="113">
        <v>274</v>
      </c>
      <c r="AY8" s="113">
        <v>350</v>
      </c>
      <c r="AZ8" s="113"/>
      <c r="BA8" s="113" t="s">
        <v>901</v>
      </c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2"/>
      <c r="BP8" s="32"/>
      <c r="BQ8" s="32"/>
      <c r="BR8" s="32"/>
      <c r="BS8" s="32"/>
      <c r="BT8" s="32"/>
      <c r="BU8" s="32"/>
      <c r="BV8" s="81"/>
      <c r="BW8" s="113"/>
      <c r="BX8" s="113"/>
      <c r="BY8" s="113"/>
      <c r="BZ8" s="113"/>
      <c r="CA8" s="113"/>
      <c r="CB8" s="113"/>
      <c r="CC8" s="113"/>
      <c r="CD8" s="32"/>
      <c r="CE8" s="32"/>
      <c r="CF8" s="32"/>
      <c r="CG8" s="32"/>
      <c r="CH8" s="32"/>
      <c r="CI8" s="32"/>
      <c r="CJ8" s="32"/>
      <c r="CK8" s="32"/>
      <c r="CL8" s="32"/>
      <c r="CM8" s="32"/>
      <c r="CN8" s="32"/>
    </row>
    <row r="9" spans="1:92" ht="21" customHeight="1">
      <c r="A9" s="109">
        <v>7</v>
      </c>
      <c r="B9" s="110" t="s">
        <v>79</v>
      </c>
      <c r="C9" s="111" t="s">
        <v>80</v>
      </c>
      <c r="D9" s="110" t="s">
        <v>659</v>
      </c>
      <c r="E9" s="111" t="s">
        <v>310</v>
      </c>
      <c r="F9" s="111" t="s">
        <v>65</v>
      </c>
      <c r="G9" s="12" t="s">
        <v>66</v>
      </c>
      <c r="H9" s="112" t="s">
        <v>296</v>
      </c>
      <c r="I9" s="13">
        <v>1814</v>
      </c>
      <c r="J9" s="14">
        <v>1814</v>
      </c>
      <c r="K9" s="120">
        <v>291.2</v>
      </c>
      <c r="L9" s="121">
        <v>60.31</v>
      </c>
      <c r="M9" s="121">
        <v>62.02</v>
      </c>
      <c r="N9" s="121">
        <v>61.94</v>
      </c>
      <c r="O9" s="32">
        <v>7.65</v>
      </c>
      <c r="P9" s="22" t="s">
        <v>414</v>
      </c>
      <c r="Q9" s="16">
        <v>15</v>
      </c>
      <c r="R9" s="16">
        <v>20</v>
      </c>
      <c r="S9" s="16">
        <v>30</v>
      </c>
      <c r="T9" s="109"/>
      <c r="U9" s="109"/>
      <c r="V9" s="109"/>
      <c r="W9" s="109">
        <v>65</v>
      </c>
      <c r="X9" s="94">
        <v>6350</v>
      </c>
      <c r="Y9" s="94">
        <v>6800</v>
      </c>
      <c r="Z9" s="94">
        <v>7300</v>
      </c>
      <c r="AA9" s="94">
        <v>8200</v>
      </c>
      <c r="AB9" s="94">
        <v>9100</v>
      </c>
      <c r="AC9" s="94">
        <v>13500</v>
      </c>
      <c r="AD9" s="94">
        <v>19000</v>
      </c>
      <c r="AE9" s="94">
        <v>29000</v>
      </c>
      <c r="AF9" s="94">
        <v>36500</v>
      </c>
      <c r="AG9" s="94">
        <v>46000</v>
      </c>
      <c r="AH9" s="94"/>
      <c r="AI9" s="94"/>
      <c r="AJ9" s="94"/>
      <c r="AK9" s="32"/>
      <c r="AL9" s="113">
        <v>727000</v>
      </c>
      <c r="AM9" s="95">
        <v>7500</v>
      </c>
      <c r="AN9" s="95">
        <v>5</v>
      </c>
      <c r="AO9" s="96">
        <v>15000</v>
      </c>
      <c r="AP9" s="96">
        <v>1</v>
      </c>
      <c r="AQ9" s="97"/>
      <c r="AR9" s="134"/>
      <c r="AS9" s="135"/>
      <c r="AT9" s="135"/>
      <c r="AU9" s="113">
        <v>210000</v>
      </c>
      <c r="AV9" s="113">
        <v>937000</v>
      </c>
      <c r="AW9" s="113">
        <v>303</v>
      </c>
      <c r="AX9" s="113"/>
      <c r="AY9" s="113">
        <v>389</v>
      </c>
      <c r="AZ9" s="113">
        <v>1</v>
      </c>
      <c r="BA9" s="113" t="s">
        <v>633</v>
      </c>
      <c r="BB9" s="32"/>
      <c r="BC9" s="32"/>
      <c r="BD9" s="32">
        <v>1</v>
      </c>
      <c r="BE9" s="32">
        <v>1</v>
      </c>
      <c r="BF9" s="32"/>
      <c r="BG9" s="32"/>
      <c r="BH9" s="32"/>
      <c r="BI9" s="32"/>
      <c r="BJ9" s="32"/>
      <c r="BK9" s="32"/>
      <c r="BL9" s="32"/>
      <c r="BM9" s="32"/>
      <c r="BN9" s="32"/>
      <c r="BO9" s="32"/>
      <c r="BP9" s="32"/>
      <c r="BQ9" s="32"/>
      <c r="BR9" s="32"/>
      <c r="BS9" s="32"/>
      <c r="BT9" s="32"/>
      <c r="BU9" s="32"/>
      <c r="BV9" s="81" t="s">
        <v>80</v>
      </c>
      <c r="BW9" s="113"/>
      <c r="BX9" s="113"/>
      <c r="BY9" s="113"/>
      <c r="BZ9" s="113"/>
      <c r="CA9" s="113"/>
      <c r="CB9" s="113"/>
      <c r="CC9" s="113"/>
      <c r="CD9" s="32"/>
      <c r="CE9" s="32"/>
      <c r="CF9" s="32"/>
      <c r="CG9" s="32"/>
      <c r="CH9" s="32"/>
      <c r="CI9" s="32"/>
      <c r="CJ9" s="32"/>
      <c r="CK9" s="32"/>
      <c r="CL9" s="32"/>
      <c r="CM9" s="32"/>
      <c r="CN9" s="32"/>
    </row>
    <row r="10" spans="1:92" ht="21" customHeight="1">
      <c r="A10" s="109">
        <v>8</v>
      </c>
      <c r="B10" s="110" t="s">
        <v>1108</v>
      </c>
      <c r="C10" s="111" t="s">
        <v>82</v>
      </c>
      <c r="D10" s="110" t="s">
        <v>68</v>
      </c>
      <c r="E10" s="110" t="s">
        <v>1065</v>
      </c>
      <c r="F10" s="111" t="s">
        <v>65</v>
      </c>
      <c r="G10" s="12" t="s">
        <v>66</v>
      </c>
      <c r="H10" s="112" t="s">
        <v>296</v>
      </c>
      <c r="I10" s="13">
        <v>1826</v>
      </c>
      <c r="J10" s="14">
        <v>1827</v>
      </c>
      <c r="K10" s="120">
        <v>297.5</v>
      </c>
      <c r="L10" s="121">
        <v>73.39</v>
      </c>
      <c r="M10" s="121">
        <v>50.08</v>
      </c>
      <c r="N10" s="121">
        <v>51.2</v>
      </c>
      <c r="O10" s="32">
        <v>5.782</v>
      </c>
      <c r="P10" s="22" t="s">
        <v>414</v>
      </c>
      <c r="Q10" s="16">
        <v>20</v>
      </c>
      <c r="R10" s="16">
        <v>20</v>
      </c>
      <c r="S10" s="16">
        <v>30</v>
      </c>
      <c r="T10" s="109"/>
      <c r="U10" s="109"/>
      <c r="V10" s="109"/>
      <c r="W10" s="109">
        <v>70</v>
      </c>
      <c r="X10" s="94">
        <v>6350</v>
      </c>
      <c r="Y10" s="94">
        <v>6800</v>
      </c>
      <c r="Z10" s="94">
        <v>7300</v>
      </c>
      <c r="AA10" s="94">
        <v>8200</v>
      </c>
      <c r="AB10" s="94">
        <v>9100</v>
      </c>
      <c r="AC10" s="94">
        <v>13500</v>
      </c>
      <c r="AD10" s="94">
        <v>19000</v>
      </c>
      <c r="AE10" s="94">
        <v>29000</v>
      </c>
      <c r="AF10" s="94">
        <v>36500</v>
      </c>
      <c r="AG10" s="94">
        <v>46000</v>
      </c>
      <c r="AH10" s="94"/>
      <c r="AI10" s="94"/>
      <c r="AJ10" s="94"/>
      <c r="AK10" s="32"/>
      <c r="AL10" s="113">
        <v>727000</v>
      </c>
      <c r="AM10" s="95">
        <v>7500</v>
      </c>
      <c r="AN10" s="95">
        <v>5</v>
      </c>
      <c r="AO10" s="96">
        <v>15000</v>
      </c>
      <c r="AP10" s="96">
        <v>1</v>
      </c>
      <c r="AQ10" s="97"/>
      <c r="AR10" s="134"/>
      <c r="AS10" s="135"/>
      <c r="AT10" s="135"/>
      <c r="AU10" s="113">
        <v>210000</v>
      </c>
      <c r="AV10" s="113">
        <v>937000</v>
      </c>
      <c r="AW10" s="113">
        <v>310</v>
      </c>
      <c r="AX10" s="113"/>
      <c r="AY10" s="113">
        <v>396</v>
      </c>
      <c r="AZ10" s="113">
        <v>1</v>
      </c>
      <c r="BA10" s="113" t="s">
        <v>633</v>
      </c>
      <c r="BB10" s="32"/>
      <c r="BC10" s="32"/>
      <c r="BD10" s="32">
        <v>1</v>
      </c>
      <c r="BE10" s="32">
        <v>1</v>
      </c>
      <c r="BF10" s="32"/>
      <c r="BG10" s="32"/>
      <c r="BH10" s="32"/>
      <c r="BI10" s="32"/>
      <c r="BJ10" s="32"/>
      <c r="BK10" s="32"/>
      <c r="BL10" s="32"/>
      <c r="BM10" s="32"/>
      <c r="BN10" s="32"/>
      <c r="BO10" s="32"/>
      <c r="BP10" s="32"/>
      <c r="BQ10" s="32"/>
      <c r="BR10" s="32"/>
      <c r="BS10" s="32"/>
      <c r="BT10" s="32"/>
      <c r="BU10" s="32"/>
      <c r="BV10" s="81" t="s">
        <v>744</v>
      </c>
      <c r="BW10" s="113"/>
      <c r="BX10" s="113"/>
      <c r="BY10" s="113">
        <v>1</v>
      </c>
      <c r="BZ10" s="113">
        <v>4</v>
      </c>
      <c r="CA10" s="113"/>
      <c r="CB10" s="113"/>
      <c r="CC10" s="113"/>
      <c r="CD10" s="32"/>
      <c r="CE10" s="73"/>
      <c r="CF10" s="73"/>
      <c r="CG10" s="73"/>
      <c r="CH10" s="73"/>
      <c r="CI10" s="73"/>
      <c r="CJ10" s="73"/>
      <c r="CK10" s="73"/>
      <c r="CL10" s="32"/>
      <c r="CM10" s="32"/>
      <c r="CN10" s="32"/>
    </row>
    <row r="11" spans="1:92" ht="21" customHeight="1">
      <c r="A11" s="109">
        <v>9</v>
      </c>
      <c r="B11" s="110" t="s">
        <v>83</v>
      </c>
      <c r="C11" s="111" t="s">
        <v>84</v>
      </c>
      <c r="D11" s="110" t="s">
        <v>71</v>
      </c>
      <c r="E11" s="111" t="s">
        <v>84</v>
      </c>
      <c r="F11" s="111" t="s">
        <v>65</v>
      </c>
      <c r="G11" s="12" t="s">
        <v>66</v>
      </c>
      <c r="H11" s="112" t="s">
        <v>296</v>
      </c>
      <c r="I11" s="13">
        <v>1971</v>
      </c>
      <c r="J11" s="14">
        <v>1971</v>
      </c>
      <c r="K11" s="120">
        <v>272.10000000000002</v>
      </c>
      <c r="L11" s="121">
        <v>78.14</v>
      </c>
      <c r="M11" s="121">
        <v>83.14</v>
      </c>
      <c r="N11" s="121">
        <v>72.33</v>
      </c>
      <c r="O11" s="32">
        <v>13.016</v>
      </c>
      <c r="P11" s="22" t="s">
        <v>414</v>
      </c>
      <c r="Q11" s="16">
        <v>20</v>
      </c>
      <c r="R11" s="16">
        <v>20</v>
      </c>
      <c r="S11" s="16">
        <v>30</v>
      </c>
      <c r="T11" s="109"/>
      <c r="U11" s="109"/>
      <c r="V11" s="109"/>
      <c r="W11" s="109">
        <v>70</v>
      </c>
      <c r="X11" s="96">
        <v>7500</v>
      </c>
      <c r="Y11" s="96">
        <v>10000</v>
      </c>
      <c r="Z11" s="96">
        <v>11000</v>
      </c>
      <c r="AA11" s="96">
        <v>12000</v>
      </c>
      <c r="AB11" s="96">
        <v>15000</v>
      </c>
      <c r="AC11" s="96">
        <v>20000</v>
      </c>
      <c r="AD11" s="96">
        <v>28000</v>
      </c>
      <c r="AE11" s="96">
        <v>43000</v>
      </c>
      <c r="AF11" s="96">
        <v>55000</v>
      </c>
      <c r="AG11" s="96">
        <v>69000</v>
      </c>
      <c r="AH11" s="94"/>
      <c r="AI11" s="94"/>
      <c r="AJ11" s="94"/>
      <c r="AK11" s="32"/>
      <c r="AL11" s="113">
        <v>1082000</v>
      </c>
      <c r="AM11" s="95">
        <v>7500</v>
      </c>
      <c r="AN11" s="95">
        <v>5</v>
      </c>
      <c r="AO11" s="96">
        <v>15000</v>
      </c>
      <c r="AP11" s="96">
        <v>1</v>
      </c>
      <c r="AQ11" s="97"/>
      <c r="AR11" s="134"/>
      <c r="AS11" s="135"/>
      <c r="AT11" s="135"/>
      <c r="AU11" s="113">
        <v>210000</v>
      </c>
      <c r="AV11" s="113">
        <v>1292000</v>
      </c>
      <c r="AW11" s="113">
        <v>284</v>
      </c>
      <c r="AX11" s="113"/>
      <c r="AY11" s="113">
        <v>365</v>
      </c>
      <c r="AZ11" s="113">
        <v>8</v>
      </c>
      <c r="BA11" s="113" t="s">
        <v>634</v>
      </c>
      <c r="BB11" s="32"/>
      <c r="BC11" s="32"/>
      <c r="BD11" s="32"/>
      <c r="BE11" s="32">
        <v>1</v>
      </c>
      <c r="BF11" s="32"/>
      <c r="BG11" s="32"/>
      <c r="BH11" s="32"/>
      <c r="BI11" s="32"/>
      <c r="BJ11" s="32"/>
      <c r="BK11" s="32"/>
      <c r="BL11" s="32"/>
      <c r="BM11" s="32"/>
      <c r="BN11" s="32"/>
      <c r="BO11" s="32"/>
      <c r="BP11" s="32"/>
      <c r="BQ11" s="32" t="s">
        <v>800</v>
      </c>
      <c r="BR11" s="32">
        <v>1</v>
      </c>
      <c r="BS11" s="32"/>
      <c r="BT11" s="32"/>
      <c r="BU11" s="32"/>
      <c r="BV11" s="81" t="s">
        <v>1109</v>
      </c>
      <c r="BW11" s="113"/>
      <c r="BX11" s="113">
        <v>1</v>
      </c>
      <c r="BY11" s="113"/>
      <c r="BZ11" s="113"/>
      <c r="CA11" s="113"/>
      <c r="CB11" s="113"/>
      <c r="CC11" s="113"/>
      <c r="CD11" s="32"/>
      <c r="CE11" s="73"/>
      <c r="CF11" s="73"/>
      <c r="CG11" s="73"/>
      <c r="CH11" s="73"/>
      <c r="CI11" s="73"/>
      <c r="CJ11" s="73"/>
      <c r="CK11" s="73"/>
      <c r="CL11" s="32"/>
      <c r="CM11" s="32"/>
      <c r="CN11" s="32"/>
    </row>
    <row r="12" spans="1:92" ht="21" customHeight="1">
      <c r="A12" s="109">
        <v>10</v>
      </c>
      <c r="B12" s="110" t="s">
        <v>85</v>
      </c>
      <c r="C12" s="111" t="s">
        <v>86</v>
      </c>
      <c r="D12" s="33" t="s">
        <v>1110</v>
      </c>
      <c r="E12" s="111" t="s">
        <v>312</v>
      </c>
      <c r="F12" s="111" t="s">
        <v>65</v>
      </c>
      <c r="G12" s="12" t="s">
        <v>66</v>
      </c>
      <c r="H12" s="112" t="s">
        <v>296</v>
      </c>
      <c r="I12" s="13">
        <v>1976</v>
      </c>
      <c r="J12" s="14">
        <v>1976</v>
      </c>
      <c r="K12" s="120">
        <v>270.10000000000002</v>
      </c>
      <c r="L12" s="121">
        <v>76.069999999999993</v>
      </c>
      <c r="M12" s="121">
        <v>81.27</v>
      </c>
      <c r="N12" s="121">
        <v>72.3</v>
      </c>
      <c r="O12" s="32">
        <v>13.1</v>
      </c>
      <c r="P12" s="22" t="s">
        <v>414</v>
      </c>
      <c r="Q12" s="16">
        <v>20</v>
      </c>
      <c r="R12" s="16">
        <v>25</v>
      </c>
      <c r="S12" s="16">
        <v>30</v>
      </c>
      <c r="T12" s="109"/>
      <c r="U12" s="109"/>
      <c r="V12" s="109"/>
      <c r="W12" s="109">
        <v>75</v>
      </c>
      <c r="X12" s="94"/>
      <c r="Y12" s="94"/>
      <c r="Z12" s="94"/>
      <c r="AA12" s="94"/>
      <c r="AB12" s="94"/>
      <c r="AC12" s="94"/>
      <c r="AD12" s="94"/>
      <c r="AE12" s="94"/>
      <c r="AF12" s="94"/>
      <c r="AG12" s="94"/>
      <c r="AH12" s="94"/>
      <c r="AI12" s="94"/>
      <c r="AJ12" s="94"/>
      <c r="AK12" s="32"/>
      <c r="AL12" s="113"/>
      <c r="AM12" s="95">
        <v>7500</v>
      </c>
      <c r="AN12" s="95">
        <v>5</v>
      </c>
      <c r="AO12" s="96">
        <v>15000</v>
      </c>
      <c r="AP12" s="96">
        <v>1</v>
      </c>
      <c r="AQ12" s="97"/>
      <c r="AR12" s="134"/>
      <c r="AS12" s="135"/>
      <c r="AT12" s="135"/>
      <c r="AU12" s="113">
        <v>210000</v>
      </c>
      <c r="AV12" s="113"/>
      <c r="AW12" s="113">
        <v>282</v>
      </c>
      <c r="AX12" s="113"/>
      <c r="AY12" s="113">
        <v>363</v>
      </c>
      <c r="AZ12" s="113">
        <v>8</v>
      </c>
      <c r="BA12" s="113" t="s">
        <v>633</v>
      </c>
      <c r="BB12" s="32"/>
      <c r="BC12" s="32"/>
      <c r="BD12" s="32"/>
      <c r="BE12" s="32"/>
      <c r="BF12" s="32"/>
      <c r="BG12" s="32"/>
      <c r="BH12" s="32"/>
      <c r="BI12" s="32"/>
      <c r="BJ12" s="32"/>
      <c r="BK12" s="32"/>
      <c r="BL12" s="32"/>
      <c r="BM12" s="32"/>
      <c r="BN12" s="32"/>
      <c r="BO12" s="32"/>
      <c r="BP12" s="32"/>
      <c r="BQ12" s="32" t="s">
        <v>826</v>
      </c>
      <c r="BR12" s="32"/>
      <c r="BS12" s="32"/>
      <c r="BT12" s="32"/>
      <c r="BU12" s="32"/>
      <c r="BV12" s="81" t="s">
        <v>746</v>
      </c>
      <c r="BW12" s="113"/>
      <c r="BX12" s="113">
        <v>1</v>
      </c>
      <c r="BY12" s="113"/>
      <c r="BZ12" s="113"/>
      <c r="CA12" s="113"/>
      <c r="CB12" s="113"/>
      <c r="CC12" s="113"/>
      <c r="CD12" s="32"/>
      <c r="CE12" s="32"/>
      <c r="CF12" s="32"/>
      <c r="CG12" s="32"/>
      <c r="CH12" s="32"/>
      <c r="CI12" s="32"/>
      <c r="CJ12" s="32"/>
      <c r="CK12" s="32"/>
      <c r="CL12" s="32"/>
      <c r="CM12" s="32"/>
      <c r="CN12" s="32"/>
    </row>
    <row r="13" spans="1:92" ht="21" customHeight="1">
      <c r="A13" s="109">
        <v>11</v>
      </c>
      <c r="B13" s="110" t="s">
        <v>1111</v>
      </c>
      <c r="C13" s="111" t="s">
        <v>942</v>
      </c>
      <c r="D13" s="110" t="s">
        <v>99</v>
      </c>
      <c r="E13" s="111" t="s">
        <v>941</v>
      </c>
      <c r="F13" s="111" t="s">
        <v>65</v>
      </c>
      <c r="G13" s="18" t="s">
        <v>89</v>
      </c>
      <c r="H13" s="112" t="s">
        <v>943</v>
      </c>
      <c r="I13" s="13">
        <v>1844</v>
      </c>
      <c r="J13" s="14">
        <v>1985</v>
      </c>
      <c r="K13" s="122">
        <v>298.7</v>
      </c>
      <c r="L13" s="123">
        <v>72.12</v>
      </c>
      <c r="M13" s="123">
        <v>46.1</v>
      </c>
      <c r="N13" s="123">
        <v>54.35</v>
      </c>
      <c r="O13" s="114"/>
      <c r="P13" s="41" t="s">
        <v>415</v>
      </c>
      <c r="Q13" s="16">
        <v>20</v>
      </c>
      <c r="R13" s="16">
        <v>30</v>
      </c>
      <c r="S13" s="37">
        <v>41</v>
      </c>
      <c r="T13" s="37">
        <v>45</v>
      </c>
      <c r="U13" s="109"/>
      <c r="V13" s="109"/>
      <c r="W13" s="109">
        <v>136</v>
      </c>
      <c r="X13" s="96">
        <v>7500</v>
      </c>
      <c r="Y13" s="96">
        <v>10000</v>
      </c>
      <c r="Z13" s="96">
        <v>14000</v>
      </c>
      <c r="AA13" s="96">
        <v>18000</v>
      </c>
      <c r="AB13" s="96">
        <v>26000</v>
      </c>
      <c r="AC13" s="96">
        <v>35000</v>
      </c>
      <c r="AD13" s="96">
        <v>50000</v>
      </c>
      <c r="AE13" s="96">
        <v>61000</v>
      </c>
      <c r="AF13" s="96">
        <v>68000</v>
      </c>
      <c r="AG13" s="96">
        <v>73000</v>
      </c>
      <c r="AH13" s="96">
        <v>77000</v>
      </c>
      <c r="AI13" s="94"/>
      <c r="AJ13" s="94"/>
      <c r="AK13" s="32"/>
      <c r="AL13" s="113">
        <v>1758000</v>
      </c>
      <c r="AM13" s="95">
        <v>16500</v>
      </c>
      <c r="AN13" s="95">
        <v>7</v>
      </c>
      <c r="AO13" s="96">
        <v>33000</v>
      </c>
      <c r="AP13" s="96">
        <v>2</v>
      </c>
      <c r="AQ13" s="97">
        <v>99000</v>
      </c>
      <c r="AR13" s="134">
        <v>1</v>
      </c>
      <c r="AS13" s="135"/>
      <c r="AT13" s="135"/>
      <c r="AU13" s="113">
        <v>1122000</v>
      </c>
      <c r="AV13" s="113">
        <v>2880000</v>
      </c>
      <c r="AW13" s="113">
        <v>311</v>
      </c>
      <c r="AX13" s="113"/>
      <c r="AY13" s="113">
        <v>398</v>
      </c>
      <c r="AZ13" s="113"/>
      <c r="BA13" s="113" t="s">
        <v>901</v>
      </c>
      <c r="BB13" s="32"/>
      <c r="BC13" s="32"/>
      <c r="BD13" s="32"/>
      <c r="BE13" s="32"/>
      <c r="BF13" s="32"/>
      <c r="BG13" s="32">
        <v>1</v>
      </c>
      <c r="BH13" s="32"/>
      <c r="BI13" s="32"/>
      <c r="BJ13" s="32"/>
      <c r="BK13" s="32"/>
      <c r="BL13" s="32"/>
      <c r="BM13" s="32"/>
      <c r="BN13" s="32"/>
      <c r="BO13" s="32"/>
      <c r="BP13" s="32"/>
      <c r="BQ13" s="32"/>
      <c r="BR13" s="32"/>
      <c r="BS13" s="32"/>
      <c r="BT13" s="32"/>
      <c r="BU13" s="32"/>
      <c r="BV13" s="81" t="s">
        <v>747</v>
      </c>
      <c r="BW13" s="77"/>
      <c r="BX13" s="77"/>
      <c r="BY13" s="113">
        <v>1</v>
      </c>
      <c r="BZ13" s="113">
        <v>6</v>
      </c>
      <c r="CA13" s="113"/>
      <c r="CB13" s="113"/>
      <c r="CC13" s="113"/>
      <c r="CD13" s="32"/>
      <c r="CE13" s="32"/>
      <c r="CF13" s="32"/>
      <c r="CG13" s="32"/>
      <c r="CH13" s="32"/>
      <c r="CI13" s="32"/>
      <c r="CJ13" s="32"/>
      <c r="CK13" s="32"/>
      <c r="CL13" s="77"/>
      <c r="CM13" s="32"/>
      <c r="CN13" s="32"/>
    </row>
    <row r="14" spans="1:92" ht="21" customHeight="1">
      <c r="A14" s="109">
        <v>12</v>
      </c>
      <c r="B14" s="110" t="s">
        <v>90</v>
      </c>
      <c r="C14" s="111" t="s">
        <v>91</v>
      </c>
      <c r="D14" s="110" t="s">
        <v>74</v>
      </c>
      <c r="E14" s="111" t="s">
        <v>314</v>
      </c>
      <c r="F14" s="111" t="s">
        <v>65</v>
      </c>
      <c r="G14" s="18" t="s">
        <v>89</v>
      </c>
      <c r="H14" s="112" t="s">
        <v>298</v>
      </c>
      <c r="I14" s="13">
        <v>1569</v>
      </c>
      <c r="J14" s="14">
        <v>2101</v>
      </c>
      <c r="K14" s="122">
        <v>250.6</v>
      </c>
      <c r="L14" s="123">
        <v>78.87</v>
      </c>
      <c r="M14" s="123">
        <v>59.91</v>
      </c>
      <c r="N14" s="123">
        <v>65.03</v>
      </c>
      <c r="O14" s="113">
        <v>11.4</v>
      </c>
      <c r="P14" s="22" t="s">
        <v>414</v>
      </c>
      <c r="Q14" s="16">
        <v>30</v>
      </c>
      <c r="R14" s="16">
        <v>12</v>
      </c>
      <c r="S14" s="16">
        <v>18</v>
      </c>
      <c r="T14" s="16">
        <v>28</v>
      </c>
      <c r="U14" s="109"/>
      <c r="V14" s="109"/>
      <c r="W14" s="109">
        <v>88</v>
      </c>
      <c r="X14" s="96">
        <v>6000</v>
      </c>
      <c r="Y14" s="96">
        <v>6500</v>
      </c>
      <c r="Z14" s="96">
        <v>7000</v>
      </c>
      <c r="AA14" s="96">
        <v>8000</v>
      </c>
      <c r="AB14" s="96">
        <v>9000</v>
      </c>
      <c r="AC14" s="96">
        <v>14000</v>
      </c>
      <c r="AD14" s="96">
        <v>19000</v>
      </c>
      <c r="AE14" s="96">
        <v>29000</v>
      </c>
      <c r="AF14" s="96">
        <v>36500</v>
      </c>
      <c r="AG14" s="96">
        <v>46000</v>
      </c>
      <c r="AH14" s="96">
        <v>47000</v>
      </c>
      <c r="AI14" s="94"/>
      <c r="AJ14" s="94"/>
      <c r="AK14" s="32"/>
      <c r="AL14" s="113">
        <v>912000</v>
      </c>
      <c r="AM14" s="95">
        <v>9000</v>
      </c>
      <c r="AN14" s="95">
        <v>7</v>
      </c>
      <c r="AO14" s="96">
        <v>18000</v>
      </c>
      <c r="AP14" s="96">
        <v>2</v>
      </c>
      <c r="AQ14" s="97">
        <v>54000</v>
      </c>
      <c r="AR14" s="134">
        <v>1</v>
      </c>
      <c r="AS14" s="135"/>
      <c r="AT14" s="135"/>
      <c r="AU14" s="113">
        <v>612000</v>
      </c>
      <c r="AV14" s="113">
        <v>1524000</v>
      </c>
      <c r="AW14" s="113">
        <v>261</v>
      </c>
      <c r="AX14" s="113">
        <v>284</v>
      </c>
      <c r="AY14" s="113">
        <v>361</v>
      </c>
      <c r="AZ14" s="113">
        <v>1</v>
      </c>
      <c r="BA14" s="113" t="s">
        <v>635</v>
      </c>
      <c r="BB14" s="32"/>
      <c r="BC14" s="32"/>
      <c r="BD14" s="32">
        <v>1</v>
      </c>
      <c r="BE14" s="32"/>
      <c r="BF14" s="32"/>
      <c r="BG14" s="32">
        <v>1</v>
      </c>
      <c r="BH14" s="32"/>
      <c r="BI14" s="32"/>
      <c r="BJ14" s="32"/>
      <c r="BK14" s="32"/>
      <c r="BL14" s="32"/>
      <c r="BM14" s="32"/>
      <c r="BN14" s="32"/>
      <c r="BO14" s="32"/>
      <c r="BP14" s="32"/>
      <c r="BQ14" s="32"/>
      <c r="BR14" s="32"/>
      <c r="BS14" s="32"/>
      <c r="BT14" s="32"/>
      <c r="BU14" s="32"/>
      <c r="BV14" s="81" t="s">
        <v>1112</v>
      </c>
      <c r="BW14" s="77"/>
      <c r="BX14" s="77"/>
      <c r="BY14" s="77"/>
      <c r="BZ14" s="77"/>
      <c r="CA14" s="77"/>
      <c r="CB14" s="113"/>
      <c r="CC14" s="113"/>
      <c r="CD14" s="32"/>
      <c r="CE14" s="32"/>
      <c r="CF14" s="32"/>
      <c r="CG14" s="32"/>
      <c r="CH14" s="32"/>
      <c r="CI14" s="32"/>
      <c r="CJ14" s="32"/>
      <c r="CK14" s="32"/>
      <c r="CL14" s="32"/>
      <c r="CM14" s="32"/>
      <c r="CN14" s="32"/>
    </row>
    <row r="15" spans="1:92" ht="21" customHeight="1">
      <c r="A15" s="109">
        <v>13</v>
      </c>
      <c r="B15" s="110" t="s">
        <v>1113</v>
      </c>
      <c r="C15" s="111" t="s">
        <v>529</v>
      </c>
      <c r="D15" s="110" t="s">
        <v>68</v>
      </c>
      <c r="E15" s="111" t="s">
        <v>529</v>
      </c>
      <c r="F15" s="111" t="s">
        <v>65</v>
      </c>
      <c r="G15" s="18" t="s">
        <v>89</v>
      </c>
      <c r="H15" s="112" t="s">
        <v>670</v>
      </c>
      <c r="I15" s="13">
        <v>2247</v>
      </c>
      <c r="J15" s="14">
        <v>2122</v>
      </c>
      <c r="K15" s="124">
        <v>273.10000000000002</v>
      </c>
      <c r="L15" s="125">
        <v>79.73</v>
      </c>
      <c r="M15" s="125">
        <v>78.63</v>
      </c>
      <c r="N15" s="125">
        <v>66.87</v>
      </c>
      <c r="O15" s="20"/>
      <c r="P15" s="22" t="s">
        <v>414</v>
      </c>
      <c r="Q15" s="37">
        <v>20</v>
      </c>
      <c r="R15" s="37">
        <v>30</v>
      </c>
      <c r="S15" s="37">
        <v>41</v>
      </c>
      <c r="T15" s="37">
        <v>45</v>
      </c>
      <c r="U15" s="109"/>
      <c r="V15" s="109"/>
      <c r="W15" s="109">
        <v>136</v>
      </c>
      <c r="X15" s="105">
        <v>15000</v>
      </c>
      <c r="Y15" s="105">
        <v>19000</v>
      </c>
      <c r="Z15" s="105">
        <v>25000</v>
      </c>
      <c r="AA15" s="105">
        <v>33000</v>
      </c>
      <c r="AB15" s="94">
        <v>47000</v>
      </c>
      <c r="AC15" s="94">
        <v>63000</v>
      </c>
      <c r="AD15" s="94">
        <v>89000</v>
      </c>
      <c r="AE15" s="94">
        <v>108000</v>
      </c>
      <c r="AF15" s="94">
        <v>120000</v>
      </c>
      <c r="AG15" s="105">
        <v>130000</v>
      </c>
      <c r="AH15" s="105">
        <v>136000</v>
      </c>
      <c r="AI15" s="94"/>
      <c r="AJ15" s="94"/>
      <c r="AK15" s="32"/>
      <c r="AL15" s="113"/>
      <c r="AM15" s="95">
        <v>9000</v>
      </c>
      <c r="AN15" s="95">
        <v>7</v>
      </c>
      <c r="AO15" s="96">
        <v>18000</v>
      </c>
      <c r="AP15" s="96">
        <v>2</v>
      </c>
      <c r="AQ15" s="97">
        <v>54000</v>
      </c>
      <c r="AR15" s="134">
        <v>1</v>
      </c>
      <c r="AS15" s="135"/>
      <c r="AT15" s="135"/>
      <c r="AU15" s="113">
        <v>612000</v>
      </c>
      <c r="AV15" s="113"/>
      <c r="AW15" s="113">
        <v>285</v>
      </c>
      <c r="AX15" s="113">
        <v>294</v>
      </c>
      <c r="AY15" s="113">
        <v>375</v>
      </c>
      <c r="AZ15" s="113"/>
      <c r="BA15" s="113" t="s">
        <v>641</v>
      </c>
      <c r="BB15" s="32"/>
      <c r="BC15" s="32"/>
      <c r="BD15" s="32"/>
      <c r="BE15" s="32"/>
      <c r="BF15" s="32"/>
      <c r="BG15" s="32"/>
      <c r="BH15" s="32"/>
      <c r="BI15" s="32"/>
      <c r="BJ15" s="32"/>
      <c r="BK15" s="32"/>
      <c r="BL15" s="32"/>
      <c r="BM15" s="32"/>
      <c r="BN15" s="32">
        <v>1</v>
      </c>
      <c r="BO15" s="32"/>
      <c r="BP15" s="32"/>
      <c r="BQ15" s="32"/>
      <c r="BR15" s="32"/>
      <c r="BS15" s="32" t="s">
        <v>649</v>
      </c>
      <c r="BT15" s="32"/>
      <c r="BU15" s="32"/>
      <c r="BV15" s="81" t="s">
        <v>744</v>
      </c>
      <c r="BW15" s="113"/>
      <c r="BX15" s="113">
        <v>1</v>
      </c>
      <c r="BY15" s="113"/>
      <c r="BZ15" s="113"/>
      <c r="CA15" s="113"/>
      <c r="CB15" s="113"/>
      <c r="CC15" s="113"/>
      <c r="CD15" s="32"/>
      <c r="CE15" s="32"/>
      <c r="CF15" s="32"/>
      <c r="CG15" s="32"/>
      <c r="CH15" s="32"/>
      <c r="CI15" s="32"/>
      <c r="CJ15" s="32"/>
      <c r="CK15" s="32"/>
      <c r="CL15" s="32"/>
      <c r="CM15" s="32"/>
      <c r="CN15" s="32"/>
    </row>
    <row r="16" spans="1:92" ht="21" customHeight="1">
      <c r="A16" s="109">
        <v>14</v>
      </c>
      <c r="B16" s="110" t="s">
        <v>1114</v>
      </c>
      <c r="C16" s="111" t="s">
        <v>611</v>
      </c>
      <c r="D16" s="110" t="s">
        <v>609</v>
      </c>
      <c r="E16" s="111" t="s">
        <v>610</v>
      </c>
      <c r="F16" s="111" t="s">
        <v>65</v>
      </c>
      <c r="G16" s="18" t="s">
        <v>89</v>
      </c>
      <c r="H16" s="112" t="s">
        <v>801</v>
      </c>
      <c r="I16" s="13">
        <v>2217</v>
      </c>
      <c r="J16" s="14">
        <v>2210</v>
      </c>
      <c r="K16" s="124">
        <v>278</v>
      </c>
      <c r="L16" s="125">
        <v>83.52</v>
      </c>
      <c r="M16" s="125">
        <v>73.569999999999993</v>
      </c>
      <c r="N16" s="125">
        <v>55.34</v>
      </c>
      <c r="O16" s="20"/>
      <c r="P16" s="41" t="s">
        <v>415</v>
      </c>
      <c r="Q16" s="37">
        <v>20</v>
      </c>
      <c r="R16" s="37">
        <v>30</v>
      </c>
      <c r="S16" s="37">
        <v>41</v>
      </c>
      <c r="T16" s="37">
        <v>45</v>
      </c>
      <c r="U16" s="109"/>
      <c r="V16" s="109"/>
      <c r="W16" s="109">
        <v>136</v>
      </c>
      <c r="X16" s="96">
        <v>7500</v>
      </c>
      <c r="Y16" s="96">
        <v>10000</v>
      </c>
      <c r="Z16" s="96">
        <v>14000</v>
      </c>
      <c r="AA16" s="96">
        <v>18000</v>
      </c>
      <c r="AB16" s="96">
        <v>26000</v>
      </c>
      <c r="AC16" s="96">
        <v>35000</v>
      </c>
      <c r="AD16" s="96">
        <v>50000</v>
      </c>
      <c r="AE16" s="96">
        <v>61000</v>
      </c>
      <c r="AF16" s="96">
        <v>68000</v>
      </c>
      <c r="AG16" s="96">
        <v>73000</v>
      </c>
      <c r="AH16" s="96">
        <v>77000</v>
      </c>
      <c r="AI16" s="94"/>
      <c r="AJ16" s="94"/>
      <c r="AK16" s="32"/>
      <c r="AL16" s="113">
        <v>1758000</v>
      </c>
      <c r="AM16" s="95">
        <v>10000</v>
      </c>
      <c r="AN16" s="95">
        <v>7</v>
      </c>
      <c r="AO16" s="96">
        <v>20000</v>
      </c>
      <c r="AP16" s="96">
        <v>2</v>
      </c>
      <c r="AQ16" s="97">
        <v>60000</v>
      </c>
      <c r="AR16" s="134">
        <v>1</v>
      </c>
      <c r="AS16" s="135"/>
      <c r="AT16" s="135"/>
      <c r="AU16" s="113">
        <v>680000</v>
      </c>
      <c r="AV16" s="113">
        <v>2438000</v>
      </c>
      <c r="AW16" s="113">
        <v>290</v>
      </c>
      <c r="AX16" s="113"/>
      <c r="AY16" s="113">
        <v>372</v>
      </c>
      <c r="AZ16" s="113"/>
      <c r="BA16" s="113" t="s">
        <v>641</v>
      </c>
      <c r="BB16" s="32"/>
      <c r="BC16" s="32"/>
      <c r="BD16" s="32"/>
      <c r="BE16" s="32">
        <v>1</v>
      </c>
      <c r="BF16" s="32"/>
      <c r="BG16" s="32"/>
      <c r="BH16" s="32"/>
      <c r="BI16" s="32"/>
      <c r="BJ16" s="32"/>
      <c r="BK16" s="32"/>
      <c r="BL16" s="32"/>
      <c r="BM16" s="32"/>
      <c r="BN16" s="32">
        <v>1</v>
      </c>
      <c r="BO16" s="32"/>
      <c r="BP16" s="32"/>
      <c r="BQ16" s="32"/>
      <c r="BR16" s="32"/>
      <c r="BS16" s="32"/>
      <c r="BT16" s="32"/>
      <c r="BU16" s="32">
        <v>1</v>
      </c>
      <c r="BV16" s="81" t="s">
        <v>1115</v>
      </c>
      <c r="BW16" s="113"/>
      <c r="BX16" s="113"/>
      <c r="BY16" s="113"/>
      <c r="BZ16" s="113"/>
      <c r="CA16" s="113"/>
      <c r="CB16" s="113"/>
      <c r="CC16" s="113"/>
      <c r="CD16" s="32"/>
      <c r="CE16" s="32"/>
      <c r="CF16" s="32"/>
      <c r="CG16" s="32"/>
      <c r="CH16" s="32"/>
      <c r="CI16" s="32"/>
      <c r="CJ16" s="32"/>
      <c r="CK16" s="32"/>
      <c r="CL16" s="32"/>
      <c r="CM16" s="32"/>
      <c r="CN16" s="32"/>
    </row>
    <row r="17" spans="1:92" ht="21" customHeight="1">
      <c r="A17" s="109">
        <v>15</v>
      </c>
      <c r="B17" s="110" t="s">
        <v>1116</v>
      </c>
      <c r="C17" s="111" t="s">
        <v>882</v>
      </c>
      <c r="D17" s="110" t="s">
        <v>783</v>
      </c>
      <c r="E17" s="111" t="s">
        <v>881</v>
      </c>
      <c r="F17" s="111" t="s">
        <v>65</v>
      </c>
      <c r="G17" s="18" t="s">
        <v>89</v>
      </c>
      <c r="H17" s="112" t="s">
        <v>926</v>
      </c>
      <c r="I17" s="13">
        <v>2213</v>
      </c>
      <c r="J17" s="14">
        <v>2213</v>
      </c>
      <c r="K17" s="124">
        <v>293.2</v>
      </c>
      <c r="L17" s="125">
        <v>65.56</v>
      </c>
      <c r="M17" s="125">
        <v>69.430000000000007</v>
      </c>
      <c r="N17" s="125">
        <v>68.44</v>
      </c>
      <c r="O17" s="20"/>
      <c r="P17" s="41" t="s">
        <v>415</v>
      </c>
      <c r="Q17" s="16">
        <v>25</v>
      </c>
      <c r="R17" s="16">
        <v>32</v>
      </c>
      <c r="S17" s="16">
        <v>40</v>
      </c>
      <c r="T17" s="16">
        <v>48</v>
      </c>
      <c r="U17" s="109"/>
      <c r="V17" s="109"/>
      <c r="W17" s="109">
        <v>145</v>
      </c>
      <c r="X17" s="96">
        <v>7500</v>
      </c>
      <c r="Y17" s="96">
        <v>10000</v>
      </c>
      <c r="Z17" s="96">
        <v>14000</v>
      </c>
      <c r="AA17" s="96">
        <v>18000</v>
      </c>
      <c r="AB17" s="96">
        <v>26000</v>
      </c>
      <c r="AC17" s="96">
        <v>35000</v>
      </c>
      <c r="AD17" s="96">
        <v>50000</v>
      </c>
      <c r="AE17" s="96">
        <v>61000</v>
      </c>
      <c r="AF17" s="96">
        <v>68000</v>
      </c>
      <c r="AG17" s="96">
        <v>73000</v>
      </c>
      <c r="AH17" s="96">
        <v>77000</v>
      </c>
      <c r="AI17" s="94"/>
      <c r="AJ17" s="94"/>
      <c r="AK17" s="32"/>
      <c r="AL17" s="113">
        <v>1758000</v>
      </c>
      <c r="AM17" s="95">
        <v>10000</v>
      </c>
      <c r="AN17" s="95">
        <v>7</v>
      </c>
      <c r="AO17" s="96">
        <v>20000</v>
      </c>
      <c r="AP17" s="96">
        <v>2</v>
      </c>
      <c r="AQ17" s="97">
        <v>60000</v>
      </c>
      <c r="AR17" s="134">
        <v>1</v>
      </c>
      <c r="AS17" s="135"/>
      <c r="AT17" s="135"/>
      <c r="AU17" s="113">
        <v>680000</v>
      </c>
      <c r="AV17" s="113">
        <v>2438000</v>
      </c>
      <c r="AW17" s="113">
        <v>306</v>
      </c>
      <c r="AX17" s="113"/>
      <c r="AY17" s="113">
        <v>391</v>
      </c>
      <c r="AZ17" s="113"/>
      <c r="BA17" s="113" t="s">
        <v>641</v>
      </c>
      <c r="BB17" s="32"/>
      <c r="BC17" s="32"/>
      <c r="BD17" s="32"/>
      <c r="BE17" s="32"/>
      <c r="BF17" s="32"/>
      <c r="BG17" s="32"/>
      <c r="BH17" s="32"/>
      <c r="BI17" s="32"/>
      <c r="BJ17" s="32"/>
      <c r="BK17" s="32"/>
      <c r="BL17" s="32"/>
      <c r="BM17" s="32"/>
      <c r="BN17" s="32">
        <v>1</v>
      </c>
      <c r="BO17" s="32"/>
      <c r="BP17" s="32"/>
      <c r="BQ17" s="32"/>
      <c r="BR17" s="32"/>
      <c r="BS17" s="32"/>
      <c r="BT17" s="32"/>
      <c r="BU17" s="32"/>
      <c r="BV17" s="81" t="s">
        <v>823</v>
      </c>
      <c r="BW17" s="113"/>
      <c r="BX17" s="113">
        <v>1</v>
      </c>
      <c r="BY17" s="113"/>
      <c r="BZ17" s="113"/>
      <c r="CA17" s="113"/>
      <c r="CB17" s="113"/>
      <c r="CC17" s="113"/>
      <c r="CD17" s="32"/>
      <c r="CE17" s="73"/>
      <c r="CF17" s="73"/>
      <c r="CG17" s="73"/>
      <c r="CH17" s="73"/>
      <c r="CI17" s="73"/>
      <c r="CJ17" s="73"/>
      <c r="CK17" s="73"/>
      <c r="CL17" s="32"/>
      <c r="CM17" s="32"/>
      <c r="CN17" s="32"/>
    </row>
    <row r="18" spans="1:92" ht="21" customHeight="1">
      <c r="A18" s="109">
        <v>16</v>
      </c>
      <c r="B18" s="110" t="s">
        <v>1117</v>
      </c>
      <c r="C18" s="111" t="s">
        <v>911</v>
      </c>
      <c r="D18" s="110" t="s">
        <v>533</v>
      </c>
      <c r="E18" s="111" t="s">
        <v>910</v>
      </c>
      <c r="F18" s="111" t="s">
        <v>65</v>
      </c>
      <c r="G18" s="18" t="s">
        <v>89</v>
      </c>
      <c r="H18" s="112" t="s">
        <v>937</v>
      </c>
      <c r="I18" s="13">
        <v>2307</v>
      </c>
      <c r="J18" s="14">
        <v>2307</v>
      </c>
      <c r="K18" s="124">
        <v>310.5</v>
      </c>
      <c r="L18" s="125">
        <v>71.510000000000005</v>
      </c>
      <c r="M18" s="125">
        <v>52.39</v>
      </c>
      <c r="N18" s="125">
        <v>31.19</v>
      </c>
      <c r="O18" s="20"/>
      <c r="P18" s="41" t="s">
        <v>415</v>
      </c>
      <c r="Q18" s="16">
        <v>25</v>
      </c>
      <c r="R18" s="16">
        <v>32</v>
      </c>
      <c r="S18" s="16">
        <v>40</v>
      </c>
      <c r="T18" s="16">
        <v>48</v>
      </c>
      <c r="U18" s="28"/>
      <c r="V18" s="28"/>
      <c r="W18" s="28">
        <v>145</v>
      </c>
      <c r="X18" s="96">
        <v>7500</v>
      </c>
      <c r="Y18" s="96">
        <v>10000</v>
      </c>
      <c r="Z18" s="96">
        <v>14000</v>
      </c>
      <c r="AA18" s="96">
        <v>18000</v>
      </c>
      <c r="AB18" s="96">
        <v>26000</v>
      </c>
      <c r="AC18" s="96">
        <v>35000</v>
      </c>
      <c r="AD18" s="96">
        <v>50000</v>
      </c>
      <c r="AE18" s="96">
        <v>61000</v>
      </c>
      <c r="AF18" s="96">
        <v>68000</v>
      </c>
      <c r="AG18" s="96">
        <v>73000</v>
      </c>
      <c r="AH18" s="96">
        <v>77000</v>
      </c>
      <c r="AI18" s="94"/>
      <c r="AJ18" s="94"/>
      <c r="AK18" s="32"/>
      <c r="AL18" s="113">
        <v>1758000</v>
      </c>
      <c r="AM18" s="95">
        <v>20000</v>
      </c>
      <c r="AN18" s="95">
        <v>7</v>
      </c>
      <c r="AO18" s="96">
        <v>40000</v>
      </c>
      <c r="AP18" s="96">
        <v>2</v>
      </c>
      <c r="AQ18" s="97">
        <v>120000</v>
      </c>
      <c r="AR18" s="134">
        <v>1</v>
      </c>
      <c r="AS18" s="135"/>
      <c r="AT18" s="135"/>
      <c r="AU18" s="32">
        <v>1360000</v>
      </c>
      <c r="AV18" s="32">
        <v>3118000</v>
      </c>
      <c r="AW18" s="32">
        <v>323</v>
      </c>
      <c r="AX18" s="32"/>
      <c r="AY18" s="32">
        <v>412</v>
      </c>
      <c r="AZ18" s="113"/>
      <c r="BA18" s="82" t="s">
        <v>901</v>
      </c>
      <c r="BB18" s="32"/>
      <c r="BC18" s="32"/>
      <c r="BD18" s="32"/>
      <c r="BE18" s="32"/>
      <c r="BF18" s="32"/>
      <c r="BG18" s="32">
        <v>1</v>
      </c>
      <c r="BH18" s="32"/>
      <c r="BI18" s="32"/>
      <c r="BJ18" s="32"/>
      <c r="BK18" s="32"/>
      <c r="BL18" s="32"/>
      <c r="BM18" s="32"/>
      <c r="BN18" s="32"/>
      <c r="BO18" s="32"/>
      <c r="BP18" s="32"/>
      <c r="BQ18" s="32"/>
      <c r="BR18" s="32"/>
      <c r="BS18" s="32"/>
      <c r="BT18" s="32"/>
      <c r="BU18" s="32"/>
      <c r="BV18" s="81" t="s">
        <v>535</v>
      </c>
      <c r="BW18" s="113"/>
      <c r="BX18" s="113"/>
      <c r="BY18" s="113"/>
      <c r="BZ18" s="113"/>
      <c r="CA18" s="113"/>
      <c r="CB18" s="113"/>
      <c r="CC18" s="113"/>
      <c r="CD18" s="32"/>
      <c r="CE18" s="32"/>
      <c r="CF18" s="32"/>
      <c r="CG18" s="32"/>
      <c r="CH18" s="32"/>
      <c r="CI18" s="32"/>
      <c r="CJ18" s="73"/>
      <c r="CK18" s="73"/>
      <c r="CL18" s="32"/>
      <c r="CM18" s="32"/>
      <c r="CN18" s="32"/>
    </row>
    <row r="19" spans="1:92" ht="21" customHeight="1">
      <c r="A19" s="109">
        <v>17</v>
      </c>
      <c r="B19" s="110" t="s">
        <v>1118</v>
      </c>
      <c r="C19" s="111" t="s">
        <v>545</v>
      </c>
      <c r="D19" s="110" t="s">
        <v>762</v>
      </c>
      <c r="E19" s="111" t="s">
        <v>544</v>
      </c>
      <c r="F19" s="111" t="s">
        <v>65</v>
      </c>
      <c r="G19" s="18" t="s">
        <v>89</v>
      </c>
      <c r="H19" s="112" t="s">
        <v>740</v>
      </c>
      <c r="I19" s="13">
        <v>2368</v>
      </c>
      <c r="J19" s="14">
        <v>2371</v>
      </c>
      <c r="K19" s="124">
        <v>281.5</v>
      </c>
      <c r="L19" s="125">
        <v>76.19</v>
      </c>
      <c r="M19" s="125">
        <v>66.98</v>
      </c>
      <c r="N19" s="125">
        <v>64.67</v>
      </c>
      <c r="O19" s="20"/>
      <c r="P19" s="41" t="s">
        <v>415</v>
      </c>
      <c r="Q19" s="16">
        <v>30</v>
      </c>
      <c r="R19" s="16">
        <v>23</v>
      </c>
      <c r="S19" s="16">
        <v>33</v>
      </c>
      <c r="T19" s="74">
        <v>42</v>
      </c>
      <c r="U19" s="109"/>
      <c r="V19" s="109"/>
      <c r="W19" s="109">
        <v>128</v>
      </c>
      <c r="X19" s="96">
        <v>10000</v>
      </c>
      <c r="Y19" s="96">
        <v>15000</v>
      </c>
      <c r="Z19" s="96">
        <v>20000</v>
      </c>
      <c r="AA19" s="96">
        <v>25000</v>
      </c>
      <c r="AB19" s="105">
        <v>36000</v>
      </c>
      <c r="AC19" s="105">
        <v>48000</v>
      </c>
      <c r="AD19" s="105">
        <v>68000</v>
      </c>
      <c r="AE19" s="105">
        <v>82000</v>
      </c>
      <c r="AF19" s="105">
        <v>90000</v>
      </c>
      <c r="AG19" s="94">
        <v>99000</v>
      </c>
      <c r="AH19" s="94">
        <v>102000</v>
      </c>
      <c r="AI19" s="94"/>
      <c r="AJ19" s="94"/>
      <c r="AK19" s="32"/>
      <c r="AL19" s="113">
        <v>2380000</v>
      </c>
      <c r="AM19" s="95">
        <v>10000</v>
      </c>
      <c r="AN19" s="95">
        <v>7</v>
      </c>
      <c r="AO19" s="96">
        <v>20000</v>
      </c>
      <c r="AP19" s="96">
        <v>2</v>
      </c>
      <c r="AQ19" s="97">
        <v>60000</v>
      </c>
      <c r="AR19" s="134">
        <v>1</v>
      </c>
      <c r="AS19" s="135"/>
      <c r="AT19" s="135"/>
      <c r="AU19" s="113">
        <v>680000</v>
      </c>
      <c r="AV19" s="32">
        <v>3060000</v>
      </c>
      <c r="AW19" s="113">
        <v>293</v>
      </c>
      <c r="AX19" s="113"/>
      <c r="AY19" s="113">
        <v>377</v>
      </c>
      <c r="AZ19" s="113"/>
      <c r="BA19" s="113" t="s">
        <v>635</v>
      </c>
      <c r="BB19" s="32"/>
      <c r="BC19" s="32"/>
      <c r="BD19" s="32"/>
      <c r="BE19" s="32"/>
      <c r="BF19" s="32"/>
      <c r="BG19" s="32">
        <v>1</v>
      </c>
      <c r="BH19" s="32"/>
      <c r="BI19" s="32"/>
      <c r="BJ19" s="32"/>
      <c r="BK19" s="32"/>
      <c r="BL19" s="32"/>
      <c r="BM19" s="32"/>
      <c r="BN19" s="32"/>
      <c r="BO19" s="32"/>
      <c r="BP19" s="32"/>
      <c r="BQ19" s="32"/>
      <c r="BR19" s="32"/>
      <c r="BS19" s="32"/>
      <c r="BT19" s="32"/>
      <c r="BU19" s="32"/>
      <c r="BV19" s="81" t="s">
        <v>545</v>
      </c>
      <c r="BW19" s="113"/>
      <c r="BX19" s="113">
        <v>1</v>
      </c>
      <c r="BY19" s="113">
        <v>1</v>
      </c>
      <c r="BZ19" s="113">
        <v>5</v>
      </c>
      <c r="CA19" s="113"/>
      <c r="CB19" s="113"/>
      <c r="CC19" s="113"/>
      <c r="CD19" s="32"/>
      <c r="CE19" s="73"/>
      <c r="CF19" s="73"/>
      <c r="CG19" s="73"/>
      <c r="CH19" s="73"/>
      <c r="CI19" s="73"/>
      <c r="CJ19" s="73"/>
      <c r="CK19" s="73"/>
      <c r="CL19" s="32"/>
      <c r="CM19" s="32"/>
      <c r="CN19" s="32"/>
    </row>
    <row r="20" spans="1:92" ht="21" customHeight="1">
      <c r="A20" s="109">
        <v>18</v>
      </c>
      <c r="B20" s="110" t="s">
        <v>1552</v>
      </c>
      <c r="C20" s="111" t="s">
        <v>1553</v>
      </c>
      <c r="D20" s="110" t="s">
        <v>93</v>
      </c>
      <c r="E20" s="111" t="s">
        <v>1554</v>
      </c>
      <c r="F20" s="111" t="s">
        <v>65</v>
      </c>
      <c r="G20" s="18" t="s">
        <v>89</v>
      </c>
      <c r="H20" s="112" t="s">
        <v>1555</v>
      </c>
      <c r="I20" s="13"/>
      <c r="J20" s="19">
        <v>2402</v>
      </c>
      <c r="K20" s="124">
        <v>276.5</v>
      </c>
      <c r="L20" s="125">
        <v>81.790000000000006</v>
      </c>
      <c r="M20" s="125">
        <v>75.33</v>
      </c>
      <c r="N20" s="125">
        <v>67.23</v>
      </c>
      <c r="O20" s="20"/>
      <c r="P20" s="41" t="s">
        <v>415</v>
      </c>
      <c r="Q20" s="37">
        <v>30</v>
      </c>
      <c r="R20" s="37">
        <v>23</v>
      </c>
      <c r="S20" s="37">
        <v>33</v>
      </c>
      <c r="T20" s="37">
        <v>42</v>
      </c>
      <c r="U20" s="109"/>
      <c r="V20" s="109"/>
      <c r="W20" s="109">
        <v>128</v>
      </c>
      <c r="X20" s="96">
        <v>15000</v>
      </c>
      <c r="Y20" s="96">
        <v>19000</v>
      </c>
      <c r="Z20" s="96">
        <v>25000</v>
      </c>
      <c r="AA20" s="96">
        <v>33000</v>
      </c>
      <c r="AB20" s="96">
        <v>47000</v>
      </c>
      <c r="AC20" s="96">
        <v>63000</v>
      </c>
      <c r="AD20" s="96">
        <v>89000</v>
      </c>
      <c r="AE20" s="94">
        <v>108000</v>
      </c>
      <c r="AF20" s="94">
        <v>120000</v>
      </c>
      <c r="AG20" s="94">
        <v>130000</v>
      </c>
      <c r="AH20" s="94">
        <v>136000</v>
      </c>
      <c r="AI20" s="94"/>
      <c r="AJ20" s="94"/>
      <c r="AK20" s="32"/>
      <c r="AL20" s="113">
        <v>3140000</v>
      </c>
      <c r="AM20" s="95">
        <v>16000</v>
      </c>
      <c r="AN20" s="95">
        <v>7</v>
      </c>
      <c r="AO20" s="96">
        <v>32000</v>
      </c>
      <c r="AP20" s="96">
        <v>2</v>
      </c>
      <c r="AQ20" s="97">
        <v>96000</v>
      </c>
      <c r="AR20" s="134">
        <v>1</v>
      </c>
      <c r="AS20" s="135"/>
      <c r="AT20" s="135"/>
      <c r="AU20" s="113">
        <v>1088000</v>
      </c>
      <c r="AV20" s="113">
        <v>4228000</v>
      </c>
      <c r="AW20" s="113"/>
      <c r="AX20" s="113"/>
      <c r="AY20" s="113"/>
      <c r="AZ20" s="113"/>
      <c r="BA20" s="82" t="s">
        <v>605</v>
      </c>
      <c r="BB20" s="32"/>
      <c r="BC20" s="32"/>
      <c r="BD20" s="32"/>
      <c r="BE20" s="32"/>
      <c r="BF20" s="32"/>
      <c r="BG20" s="32"/>
      <c r="BH20" s="32"/>
      <c r="BI20" s="32"/>
      <c r="BJ20" s="32"/>
      <c r="BK20" s="32"/>
      <c r="BL20" s="32"/>
      <c r="BM20" s="32"/>
      <c r="BN20" s="32"/>
      <c r="BO20" s="32"/>
      <c r="BP20" s="32"/>
      <c r="BQ20" s="32"/>
      <c r="BR20" s="32"/>
      <c r="BS20" s="32"/>
      <c r="BT20" s="32"/>
      <c r="BU20" s="32"/>
      <c r="BV20" s="113" t="s">
        <v>1556</v>
      </c>
      <c r="BW20" s="113"/>
      <c r="BX20" s="113"/>
      <c r="BY20" s="113"/>
      <c r="BZ20" s="113"/>
      <c r="CA20" s="113"/>
      <c r="CB20" s="113"/>
      <c r="CC20" s="113"/>
      <c r="CD20" s="32"/>
      <c r="CE20" s="32"/>
      <c r="CF20" s="32"/>
      <c r="CG20" s="32"/>
      <c r="CH20" s="32"/>
      <c r="CI20" s="32"/>
      <c r="CJ20" s="73"/>
      <c r="CK20" s="73"/>
      <c r="CL20" s="32"/>
      <c r="CM20" s="32"/>
      <c r="CN20" s="32"/>
    </row>
    <row r="21" spans="1:92" ht="21" customHeight="1">
      <c r="A21" s="109">
        <v>19</v>
      </c>
      <c r="B21" s="110" t="s">
        <v>1351</v>
      </c>
      <c r="C21" s="111" t="s">
        <v>1352</v>
      </c>
      <c r="D21" s="110" t="s">
        <v>99</v>
      </c>
      <c r="E21" s="111" t="s">
        <v>1353</v>
      </c>
      <c r="F21" s="111" t="s">
        <v>65</v>
      </c>
      <c r="G21" s="18" t="s">
        <v>89</v>
      </c>
      <c r="H21" s="112" t="s">
        <v>1368</v>
      </c>
      <c r="I21" s="13"/>
      <c r="J21" s="19">
        <v>2435</v>
      </c>
      <c r="K21" s="124">
        <v>301.89999999999998</v>
      </c>
      <c r="L21" s="125">
        <v>72.150000000000006</v>
      </c>
      <c r="M21" s="125">
        <v>71.66</v>
      </c>
      <c r="N21" s="125">
        <v>35.99</v>
      </c>
      <c r="O21" s="20"/>
      <c r="P21" s="41" t="s">
        <v>415</v>
      </c>
      <c r="Q21" s="16">
        <v>30</v>
      </c>
      <c r="R21" s="16">
        <v>32</v>
      </c>
      <c r="S21" s="16">
        <v>40</v>
      </c>
      <c r="T21" s="16">
        <v>50</v>
      </c>
      <c r="U21" s="109"/>
      <c r="V21" s="109"/>
      <c r="W21" s="109"/>
      <c r="X21" s="96">
        <v>15000</v>
      </c>
      <c r="Y21" s="96">
        <v>19000</v>
      </c>
      <c r="Z21" s="96">
        <v>25000</v>
      </c>
      <c r="AA21" s="96">
        <v>33000</v>
      </c>
      <c r="AB21" s="96">
        <v>47000</v>
      </c>
      <c r="AC21" s="96">
        <v>63000</v>
      </c>
      <c r="AD21" s="96">
        <v>89000</v>
      </c>
      <c r="AE21" s="94">
        <v>108000</v>
      </c>
      <c r="AF21" s="94">
        <v>120000</v>
      </c>
      <c r="AG21" s="94"/>
      <c r="AH21" s="94"/>
      <c r="AI21" s="94"/>
      <c r="AJ21" s="94"/>
      <c r="AK21" s="32"/>
      <c r="AL21" s="113"/>
      <c r="AM21" s="95">
        <v>18000</v>
      </c>
      <c r="AN21" s="95">
        <v>7</v>
      </c>
      <c r="AO21" s="96">
        <v>36000</v>
      </c>
      <c r="AP21" s="96">
        <v>2</v>
      </c>
      <c r="AQ21" s="97">
        <v>108000</v>
      </c>
      <c r="AR21" s="134">
        <v>1</v>
      </c>
      <c r="AS21" s="135"/>
      <c r="AT21" s="135"/>
      <c r="AU21" s="113">
        <v>1224000</v>
      </c>
      <c r="AV21" s="113"/>
      <c r="AW21" s="113">
        <v>315</v>
      </c>
      <c r="AX21" s="113"/>
      <c r="AY21" s="113">
        <v>402</v>
      </c>
      <c r="AZ21" s="113"/>
      <c r="BA21" s="82" t="s">
        <v>901</v>
      </c>
      <c r="BB21" s="32"/>
      <c r="BC21" s="32"/>
      <c r="BD21" s="32"/>
      <c r="BE21" s="32"/>
      <c r="BF21" s="32"/>
      <c r="BG21" s="32"/>
      <c r="BH21" s="32"/>
      <c r="BI21" s="32"/>
      <c r="BJ21" s="32"/>
      <c r="BK21" s="32"/>
      <c r="BL21" s="32"/>
      <c r="BM21" s="32"/>
      <c r="BN21" s="32"/>
      <c r="BO21" s="32"/>
      <c r="BP21" s="32"/>
      <c r="BQ21" s="32"/>
      <c r="BR21" s="32"/>
      <c r="BS21" s="32"/>
      <c r="BT21" s="32"/>
      <c r="BU21" s="32"/>
      <c r="BV21" s="113"/>
      <c r="BW21" s="113"/>
      <c r="BX21" s="113"/>
      <c r="BY21" s="113"/>
      <c r="BZ21" s="113"/>
      <c r="CA21" s="113"/>
      <c r="CB21" s="113"/>
      <c r="CC21" s="113"/>
      <c r="CD21" s="32"/>
      <c r="CE21" s="32"/>
      <c r="CF21" s="32"/>
      <c r="CG21" s="32"/>
      <c r="CH21" s="32"/>
      <c r="CI21" s="32"/>
      <c r="CJ21" s="73"/>
      <c r="CK21" s="73"/>
      <c r="CL21" s="32"/>
      <c r="CM21" s="32"/>
      <c r="CN21" s="32"/>
    </row>
    <row r="22" spans="1:92" ht="21" customHeight="1">
      <c r="A22" s="109">
        <v>20</v>
      </c>
      <c r="B22" s="110" t="s">
        <v>1557</v>
      </c>
      <c r="C22" s="111" t="s">
        <v>1558</v>
      </c>
      <c r="D22" s="110" t="s">
        <v>1559</v>
      </c>
      <c r="E22" s="148" t="s">
        <v>1560</v>
      </c>
      <c r="F22" s="111" t="s">
        <v>65</v>
      </c>
      <c r="G22" s="18" t="s">
        <v>89</v>
      </c>
      <c r="H22" s="112" t="s">
        <v>1561</v>
      </c>
      <c r="I22" s="13"/>
      <c r="J22" s="14">
        <v>2559</v>
      </c>
      <c r="K22" s="126">
        <v>275.89999999999998</v>
      </c>
      <c r="L22" s="127">
        <v>88.63</v>
      </c>
      <c r="M22" s="127">
        <v>80.510000000000005</v>
      </c>
      <c r="N22" s="127">
        <v>63.38</v>
      </c>
      <c r="O22" s="20"/>
      <c r="P22" s="42" t="s">
        <v>420</v>
      </c>
      <c r="Q22" s="16">
        <v>20</v>
      </c>
      <c r="R22" s="37">
        <v>30</v>
      </c>
      <c r="S22" s="37">
        <v>41</v>
      </c>
      <c r="T22" s="37">
        <v>45</v>
      </c>
      <c r="U22" s="109"/>
      <c r="V22" s="109"/>
      <c r="W22" s="109">
        <v>136</v>
      </c>
      <c r="X22" s="96"/>
      <c r="Y22" s="96"/>
      <c r="Z22" s="96"/>
      <c r="AA22" s="96"/>
      <c r="AB22" s="94"/>
      <c r="AC22" s="94"/>
      <c r="AD22" s="94"/>
      <c r="AE22" s="94"/>
      <c r="AF22" s="94"/>
      <c r="AG22" s="94"/>
      <c r="AH22" s="94"/>
      <c r="AI22" s="94"/>
      <c r="AJ22" s="94"/>
      <c r="AK22" s="32"/>
      <c r="AL22" s="113"/>
      <c r="AM22" s="95"/>
      <c r="AN22" s="95"/>
      <c r="AO22" s="96"/>
      <c r="AP22" s="96"/>
      <c r="AQ22" s="97"/>
      <c r="AR22" s="134"/>
      <c r="AS22" s="135"/>
      <c r="AT22" s="135"/>
      <c r="AU22" s="113"/>
      <c r="AV22" s="113"/>
      <c r="AW22" s="113"/>
      <c r="AX22" s="113"/>
      <c r="AY22" s="113"/>
      <c r="AZ22" s="113"/>
      <c r="BA22" s="113" t="s">
        <v>641</v>
      </c>
      <c r="BB22" s="32"/>
      <c r="BC22" s="32"/>
      <c r="BD22" s="32"/>
      <c r="BE22" s="32"/>
      <c r="BF22" s="32"/>
      <c r="BG22" s="32"/>
      <c r="BH22" s="32"/>
      <c r="BI22" s="32"/>
      <c r="BJ22" s="32"/>
      <c r="BK22" s="32"/>
      <c r="BL22" s="32"/>
      <c r="BM22" s="32"/>
      <c r="BN22" s="32"/>
      <c r="BO22" s="32"/>
      <c r="BP22" s="32"/>
      <c r="BQ22" s="32"/>
      <c r="BR22" s="32"/>
      <c r="BS22" s="32"/>
      <c r="BT22" s="32"/>
      <c r="BU22" s="32"/>
      <c r="BV22" s="113" t="s">
        <v>1562</v>
      </c>
      <c r="BW22" s="113"/>
      <c r="BX22" s="113"/>
      <c r="BY22" s="113"/>
      <c r="BZ22" s="113"/>
      <c r="CA22" s="113"/>
      <c r="CB22" s="113"/>
      <c r="CC22" s="113"/>
      <c r="CD22" s="32"/>
      <c r="CE22" s="32"/>
      <c r="CF22" s="32"/>
      <c r="CG22" s="32"/>
      <c r="CH22" s="32"/>
      <c r="CI22" s="32"/>
      <c r="CJ22" s="73"/>
      <c r="CK22" s="73"/>
      <c r="CL22" s="32"/>
      <c r="CM22" s="32"/>
      <c r="CN22" s="32"/>
    </row>
    <row r="23" spans="1:92" ht="21" customHeight="1">
      <c r="A23" s="109">
        <v>21</v>
      </c>
      <c r="B23" s="110" t="s">
        <v>1119</v>
      </c>
      <c r="C23" s="111" t="s">
        <v>830</v>
      </c>
      <c r="D23" s="110" t="s">
        <v>93</v>
      </c>
      <c r="E23" s="111" t="s">
        <v>829</v>
      </c>
      <c r="F23" s="111" t="s">
        <v>65</v>
      </c>
      <c r="G23" s="18" t="s">
        <v>89</v>
      </c>
      <c r="H23" s="112" t="s">
        <v>900</v>
      </c>
      <c r="I23" s="13">
        <v>2611</v>
      </c>
      <c r="J23" s="19">
        <v>2612</v>
      </c>
      <c r="K23" s="124">
        <v>307.39999999999998</v>
      </c>
      <c r="L23" s="125">
        <v>70.86</v>
      </c>
      <c r="M23" s="125">
        <v>57.47</v>
      </c>
      <c r="N23" s="125">
        <v>53.42</v>
      </c>
      <c r="O23" s="20"/>
      <c r="P23" s="41" t="s">
        <v>415</v>
      </c>
      <c r="Q23" s="16">
        <v>25</v>
      </c>
      <c r="R23" s="16">
        <v>32</v>
      </c>
      <c r="S23" s="16">
        <v>40</v>
      </c>
      <c r="T23" s="16">
        <v>48</v>
      </c>
      <c r="U23" s="109"/>
      <c r="V23" s="109"/>
      <c r="W23" s="109">
        <v>145</v>
      </c>
      <c r="X23" s="96">
        <v>10000</v>
      </c>
      <c r="Y23" s="96">
        <v>15000</v>
      </c>
      <c r="Z23" s="96">
        <v>20000</v>
      </c>
      <c r="AA23" s="96">
        <v>25000</v>
      </c>
      <c r="AB23" s="94">
        <v>36000</v>
      </c>
      <c r="AC23" s="94">
        <v>48000</v>
      </c>
      <c r="AD23" s="94">
        <v>68000</v>
      </c>
      <c r="AE23" s="94">
        <v>82000</v>
      </c>
      <c r="AF23" s="94">
        <v>90000</v>
      </c>
      <c r="AG23" s="94">
        <v>99000</v>
      </c>
      <c r="AH23" s="94">
        <v>102000</v>
      </c>
      <c r="AI23" s="94"/>
      <c r="AJ23" s="94"/>
      <c r="AK23" s="32"/>
      <c r="AL23" s="113">
        <v>2380000</v>
      </c>
      <c r="AM23" s="95">
        <v>20000</v>
      </c>
      <c r="AN23" s="95">
        <v>7</v>
      </c>
      <c r="AO23" s="96">
        <v>40000</v>
      </c>
      <c r="AP23" s="96">
        <v>2</v>
      </c>
      <c r="AQ23" s="97">
        <v>120000</v>
      </c>
      <c r="AR23" s="134">
        <v>1</v>
      </c>
      <c r="AS23" s="135"/>
      <c r="AT23" s="135"/>
      <c r="AU23" s="113">
        <v>1360000</v>
      </c>
      <c r="AV23" s="113">
        <v>3740000</v>
      </c>
      <c r="AW23" s="113">
        <v>320</v>
      </c>
      <c r="AX23" s="113"/>
      <c r="AY23" s="113">
        <v>409</v>
      </c>
      <c r="AZ23" s="113"/>
      <c r="BA23" s="82" t="s">
        <v>901</v>
      </c>
      <c r="BB23" s="32"/>
      <c r="BC23" s="32"/>
      <c r="BD23" s="32"/>
      <c r="BE23" s="32"/>
      <c r="BF23" s="32"/>
      <c r="BG23" s="32">
        <v>1</v>
      </c>
      <c r="BH23" s="32"/>
      <c r="BI23" s="32"/>
      <c r="BJ23" s="32"/>
      <c r="BK23" s="32"/>
      <c r="BL23" s="32"/>
      <c r="BM23" s="32"/>
      <c r="BN23" s="32"/>
      <c r="BO23" s="32"/>
      <c r="BP23" s="32"/>
      <c r="BQ23" s="32" t="s">
        <v>800</v>
      </c>
      <c r="BR23" s="32"/>
      <c r="BS23" s="32"/>
      <c r="BT23" s="32"/>
      <c r="BU23" s="32"/>
      <c r="BV23" s="113" t="s">
        <v>902</v>
      </c>
      <c r="BW23" s="113"/>
      <c r="BX23" s="113"/>
      <c r="BY23" s="113">
        <v>1</v>
      </c>
      <c r="BZ23" s="113">
        <v>5</v>
      </c>
      <c r="CA23" s="113"/>
      <c r="CB23" s="113"/>
      <c r="CC23" s="113"/>
      <c r="CD23" s="32"/>
      <c r="CE23" s="32"/>
      <c r="CF23" s="32"/>
      <c r="CG23" s="32"/>
      <c r="CH23" s="32"/>
      <c r="CI23" s="32"/>
      <c r="CJ23" s="32"/>
      <c r="CK23" s="32"/>
      <c r="CL23" s="32"/>
      <c r="CM23" s="32"/>
      <c r="CN23" s="32"/>
    </row>
    <row r="24" spans="1:92" ht="21" customHeight="1">
      <c r="A24" s="109">
        <v>22</v>
      </c>
      <c r="B24" s="110" t="s">
        <v>1120</v>
      </c>
      <c r="C24" s="111" t="s">
        <v>867</v>
      </c>
      <c r="D24" s="110" t="s">
        <v>141</v>
      </c>
      <c r="E24" s="111" t="s">
        <v>866</v>
      </c>
      <c r="F24" s="111" t="s">
        <v>65</v>
      </c>
      <c r="G24" s="18" t="s">
        <v>89</v>
      </c>
      <c r="H24" s="112" t="s">
        <v>932</v>
      </c>
      <c r="I24" s="13">
        <v>2498</v>
      </c>
      <c r="J24" s="19">
        <v>2618</v>
      </c>
      <c r="K24" s="124">
        <v>305.39999999999998</v>
      </c>
      <c r="L24" s="125">
        <v>71.430000000000007</v>
      </c>
      <c r="M24" s="125">
        <v>65.58</v>
      </c>
      <c r="N24" s="125">
        <v>48.39</v>
      </c>
      <c r="O24" s="20"/>
      <c r="P24" s="41" t="s">
        <v>415</v>
      </c>
      <c r="Q24" s="16">
        <v>25</v>
      </c>
      <c r="R24" s="16">
        <v>32</v>
      </c>
      <c r="S24" s="16">
        <v>40</v>
      </c>
      <c r="T24" s="16">
        <v>48</v>
      </c>
      <c r="U24" s="109"/>
      <c r="V24" s="109"/>
      <c r="W24" s="109">
        <v>145</v>
      </c>
      <c r="X24" s="96">
        <v>10000</v>
      </c>
      <c r="Y24" s="96">
        <v>15000</v>
      </c>
      <c r="Z24" s="96">
        <v>20000</v>
      </c>
      <c r="AA24" s="96">
        <v>25000</v>
      </c>
      <c r="AB24" s="94">
        <v>36000</v>
      </c>
      <c r="AC24" s="94">
        <v>48000</v>
      </c>
      <c r="AD24" s="94">
        <v>68000</v>
      </c>
      <c r="AE24" s="94">
        <v>82500</v>
      </c>
      <c r="AF24" s="94">
        <v>90000</v>
      </c>
      <c r="AG24" s="94">
        <v>99000</v>
      </c>
      <c r="AH24" s="94">
        <v>102000</v>
      </c>
      <c r="AI24" s="94"/>
      <c r="AJ24" s="94"/>
      <c r="AK24" s="32"/>
      <c r="AL24" s="113">
        <v>2382000</v>
      </c>
      <c r="AM24" s="95">
        <v>20000</v>
      </c>
      <c r="AN24" s="95">
        <v>7</v>
      </c>
      <c r="AO24" s="96">
        <v>40000</v>
      </c>
      <c r="AP24" s="96">
        <v>2</v>
      </c>
      <c r="AQ24" s="97">
        <v>120000</v>
      </c>
      <c r="AR24" s="134">
        <v>1</v>
      </c>
      <c r="AS24" s="135"/>
      <c r="AT24" s="135"/>
      <c r="AU24" s="113">
        <v>1360000</v>
      </c>
      <c r="AV24" s="113">
        <v>3742000</v>
      </c>
      <c r="AW24" s="113">
        <v>318</v>
      </c>
      <c r="AX24" s="113"/>
      <c r="AY24" s="113">
        <v>406</v>
      </c>
      <c r="AZ24" s="113"/>
      <c r="BA24" s="82" t="s">
        <v>901</v>
      </c>
      <c r="BB24" s="32"/>
      <c r="BC24" s="32"/>
      <c r="BD24" s="32"/>
      <c r="BE24" s="32"/>
      <c r="BF24" s="32"/>
      <c r="BG24" s="32">
        <v>1</v>
      </c>
      <c r="BH24" s="32"/>
      <c r="BI24" s="32"/>
      <c r="BJ24" s="32"/>
      <c r="BK24" s="32"/>
      <c r="BL24" s="32"/>
      <c r="BM24" s="32"/>
      <c r="BN24" s="32"/>
      <c r="BO24" s="32"/>
      <c r="BP24" s="32"/>
      <c r="BQ24" s="32"/>
      <c r="BR24" s="32"/>
      <c r="BS24" s="32"/>
      <c r="BT24" s="32"/>
      <c r="BU24" s="32"/>
      <c r="BV24" s="113" t="s">
        <v>802</v>
      </c>
      <c r="BW24" s="113"/>
      <c r="BX24" s="113"/>
      <c r="BY24" s="113">
        <v>1</v>
      </c>
      <c r="BZ24" s="113">
        <v>6</v>
      </c>
      <c r="CA24" s="113"/>
      <c r="CB24" s="113"/>
      <c r="CC24" s="113"/>
      <c r="CD24" s="32"/>
      <c r="CE24" s="32"/>
      <c r="CF24" s="32"/>
      <c r="CG24" s="32"/>
      <c r="CH24" s="32"/>
      <c r="CI24" s="32"/>
      <c r="CJ24" s="32"/>
      <c r="CK24" s="32"/>
      <c r="CL24" s="32"/>
      <c r="CM24" s="32"/>
      <c r="CN24" s="32"/>
    </row>
    <row r="25" spans="1:92" ht="21" customHeight="1">
      <c r="A25" s="109">
        <v>23</v>
      </c>
      <c r="B25" s="110" t="s">
        <v>1121</v>
      </c>
      <c r="C25" s="111" t="s">
        <v>944</v>
      </c>
      <c r="D25" s="33" t="s">
        <v>944</v>
      </c>
      <c r="E25" s="111" t="s">
        <v>945</v>
      </c>
      <c r="F25" s="111" t="s">
        <v>65</v>
      </c>
      <c r="G25" s="18" t="s">
        <v>89</v>
      </c>
      <c r="H25" s="112" t="s">
        <v>943</v>
      </c>
      <c r="I25" s="13">
        <v>2624</v>
      </c>
      <c r="J25" s="14">
        <v>2624</v>
      </c>
      <c r="K25" s="120">
        <v>283.3</v>
      </c>
      <c r="L25" s="121">
        <v>87.8</v>
      </c>
      <c r="M25" s="121">
        <v>62.25</v>
      </c>
      <c r="N25" s="121">
        <v>60.92</v>
      </c>
      <c r="O25" s="15"/>
      <c r="P25" s="41" t="s">
        <v>415</v>
      </c>
      <c r="Q25" s="16">
        <v>25</v>
      </c>
      <c r="R25" s="16">
        <v>32</v>
      </c>
      <c r="S25" s="16">
        <v>40</v>
      </c>
      <c r="T25" s="16">
        <v>48</v>
      </c>
      <c r="U25" s="109"/>
      <c r="V25" s="109"/>
      <c r="W25" s="109"/>
      <c r="X25" s="94">
        <v>15750</v>
      </c>
      <c r="Y25" s="94">
        <v>19700</v>
      </c>
      <c r="Z25" s="94">
        <v>25600</v>
      </c>
      <c r="AA25" s="94">
        <v>33400</v>
      </c>
      <c r="AB25" s="94">
        <v>47200</v>
      </c>
      <c r="AC25" s="94">
        <v>63000</v>
      </c>
      <c r="AD25" s="94">
        <v>88500</v>
      </c>
      <c r="AE25" s="94">
        <v>108000</v>
      </c>
      <c r="AF25" s="94">
        <v>120000</v>
      </c>
      <c r="AG25" s="94">
        <v>130000</v>
      </c>
      <c r="AH25" s="94">
        <v>136000</v>
      </c>
      <c r="AI25" s="94"/>
      <c r="AJ25" s="94"/>
      <c r="AK25" s="32"/>
      <c r="AL25" s="113">
        <v>3148600</v>
      </c>
      <c r="AM25" s="95">
        <v>22500</v>
      </c>
      <c r="AN25" s="95">
        <v>7</v>
      </c>
      <c r="AO25" s="96">
        <v>45000</v>
      </c>
      <c r="AP25" s="96">
        <v>2</v>
      </c>
      <c r="AQ25" s="97">
        <v>135000</v>
      </c>
      <c r="AR25" s="134">
        <v>1</v>
      </c>
      <c r="AS25" s="135"/>
      <c r="AT25" s="135"/>
      <c r="AU25" s="113">
        <v>1530000</v>
      </c>
      <c r="AV25" s="113">
        <v>4678600</v>
      </c>
      <c r="AW25" s="113">
        <v>295</v>
      </c>
      <c r="AX25" s="113"/>
      <c r="AY25" s="113">
        <v>379</v>
      </c>
      <c r="AZ25" s="113"/>
      <c r="BA25" s="113" t="s">
        <v>641</v>
      </c>
      <c r="BB25" s="32"/>
      <c r="BC25" s="32"/>
      <c r="BD25" s="32"/>
      <c r="BE25" s="32"/>
      <c r="BF25" s="32"/>
      <c r="BG25" s="32"/>
      <c r="BH25" s="32"/>
      <c r="BI25" s="32"/>
      <c r="BJ25" s="32"/>
      <c r="BK25" s="32"/>
      <c r="BL25" s="32"/>
      <c r="BM25" s="32"/>
      <c r="BN25" s="32">
        <v>1</v>
      </c>
      <c r="BO25" s="32"/>
      <c r="BP25" s="32"/>
      <c r="BQ25" s="32"/>
      <c r="BR25" s="32"/>
      <c r="BS25" s="32"/>
      <c r="BT25" s="32"/>
      <c r="BU25" s="32"/>
      <c r="BV25" s="81"/>
      <c r="BW25" s="113"/>
      <c r="BX25" s="113"/>
      <c r="BY25" s="113"/>
      <c r="BZ25" s="113"/>
      <c r="CA25" s="113"/>
      <c r="CB25" s="113"/>
      <c r="CC25" s="113"/>
      <c r="CD25" s="32"/>
      <c r="CE25" s="73"/>
      <c r="CF25" s="73"/>
      <c r="CG25" s="73"/>
      <c r="CH25" s="73"/>
      <c r="CI25" s="73"/>
      <c r="CJ25" s="73"/>
      <c r="CK25" s="73"/>
      <c r="CL25" s="32"/>
      <c r="CM25" s="32"/>
      <c r="CN25" s="32"/>
    </row>
    <row r="26" spans="1:92" ht="21" customHeight="1">
      <c r="A26" s="109">
        <v>24</v>
      </c>
      <c r="B26" s="110" t="s">
        <v>87</v>
      </c>
      <c r="C26" s="111" t="s">
        <v>88</v>
      </c>
      <c r="D26" s="33" t="s">
        <v>761</v>
      </c>
      <c r="E26" s="111" t="s">
        <v>313</v>
      </c>
      <c r="F26" s="111" t="s">
        <v>65</v>
      </c>
      <c r="G26" s="18" t="s">
        <v>89</v>
      </c>
      <c r="H26" s="112" t="s">
        <v>297</v>
      </c>
      <c r="I26" s="13">
        <v>2646</v>
      </c>
      <c r="J26" s="14">
        <v>2632</v>
      </c>
      <c r="K26" s="120">
        <v>290.7</v>
      </c>
      <c r="L26" s="121">
        <v>71.510000000000005</v>
      </c>
      <c r="M26" s="121">
        <v>74.81</v>
      </c>
      <c r="N26" s="121">
        <v>62.66</v>
      </c>
      <c r="O26" s="32">
        <v>7.85</v>
      </c>
      <c r="P26" s="22" t="s">
        <v>414</v>
      </c>
      <c r="Q26" s="16">
        <v>30</v>
      </c>
      <c r="R26" s="16">
        <v>32</v>
      </c>
      <c r="S26" s="16">
        <v>40</v>
      </c>
      <c r="T26" s="16">
        <v>50</v>
      </c>
      <c r="U26" s="109"/>
      <c r="V26" s="109"/>
      <c r="W26" s="109">
        <v>152</v>
      </c>
      <c r="X26" s="94">
        <v>12050</v>
      </c>
      <c r="Y26" s="94">
        <v>15000</v>
      </c>
      <c r="Z26" s="94">
        <v>19500</v>
      </c>
      <c r="AA26" s="94">
        <v>25600</v>
      </c>
      <c r="AB26" s="94"/>
      <c r="AC26" s="94"/>
      <c r="AD26" s="94"/>
      <c r="AE26" s="94"/>
      <c r="AF26" s="96">
        <v>169000</v>
      </c>
      <c r="AG26" s="96">
        <v>188000</v>
      </c>
      <c r="AH26" s="94"/>
      <c r="AI26" s="94"/>
      <c r="AJ26" s="94"/>
      <c r="AK26" s="32"/>
      <c r="AL26" s="113"/>
      <c r="AM26" s="95">
        <v>12500</v>
      </c>
      <c r="AN26" s="95">
        <v>7</v>
      </c>
      <c r="AO26" s="96">
        <v>25000</v>
      </c>
      <c r="AP26" s="96">
        <v>2</v>
      </c>
      <c r="AQ26" s="97">
        <v>75000</v>
      </c>
      <c r="AR26" s="134">
        <v>1</v>
      </c>
      <c r="AS26" s="135"/>
      <c r="AT26" s="135"/>
      <c r="AU26" s="113">
        <v>850000</v>
      </c>
      <c r="AV26" s="113"/>
      <c r="AW26" s="113">
        <v>303</v>
      </c>
      <c r="AX26" s="113"/>
      <c r="AY26" s="113">
        <v>388</v>
      </c>
      <c r="AZ26" s="113"/>
      <c r="BA26" s="113" t="s">
        <v>635</v>
      </c>
      <c r="BB26" s="32"/>
      <c r="BC26" s="32"/>
      <c r="BD26" s="32"/>
      <c r="BE26" s="32"/>
      <c r="BF26" s="32"/>
      <c r="BG26" s="32">
        <v>1</v>
      </c>
      <c r="BH26" s="32"/>
      <c r="BI26" s="32"/>
      <c r="BJ26" s="32"/>
      <c r="BK26" s="32"/>
      <c r="BL26" s="32"/>
      <c r="BM26" s="32"/>
      <c r="BN26" s="32"/>
      <c r="BO26" s="32"/>
      <c r="BP26" s="32"/>
      <c r="BQ26" s="32" t="s">
        <v>800</v>
      </c>
      <c r="BR26" s="32"/>
      <c r="BS26" s="32"/>
      <c r="BT26" s="32"/>
      <c r="BU26" s="32"/>
      <c r="BV26" s="81"/>
      <c r="BW26" s="113"/>
      <c r="BX26" s="113"/>
      <c r="BY26" s="113"/>
      <c r="BZ26" s="113"/>
      <c r="CA26" s="113"/>
      <c r="CB26" s="113"/>
      <c r="CC26" s="113"/>
      <c r="CD26" s="32"/>
      <c r="CE26" s="32"/>
      <c r="CF26" s="32"/>
      <c r="CG26" s="32"/>
      <c r="CH26" s="32"/>
      <c r="CI26" s="32"/>
      <c r="CJ26" s="32"/>
      <c r="CK26" s="32"/>
      <c r="CL26" s="32"/>
      <c r="CM26" s="32"/>
      <c r="CN26" s="32"/>
    </row>
    <row r="27" spans="1:92" ht="21" customHeight="1">
      <c r="A27" s="109">
        <v>25</v>
      </c>
      <c r="B27" s="110" t="s">
        <v>1122</v>
      </c>
      <c r="C27" s="111" t="s">
        <v>914</v>
      </c>
      <c r="D27" s="110" t="s">
        <v>912</v>
      </c>
      <c r="E27" s="111" t="s">
        <v>913</v>
      </c>
      <c r="F27" s="111" t="s">
        <v>65</v>
      </c>
      <c r="G27" s="24" t="s">
        <v>164</v>
      </c>
      <c r="H27" s="112" t="s">
        <v>937</v>
      </c>
      <c r="I27" s="13">
        <v>3075</v>
      </c>
      <c r="J27" s="19">
        <v>2840</v>
      </c>
      <c r="K27" s="124">
        <v>311.2</v>
      </c>
      <c r="L27" s="125">
        <v>76.75</v>
      </c>
      <c r="M27" s="125">
        <v>56.89</v>
      </c>
      <c r="N27" s="125">
        <v>60.87</v>
      </c>
      <c r="O27" s="20"/>
      <c r="P27" s="42" t="s">
        <v>420</v>
      </c>
      <c r="Q27" s="16" t="s">
        <v>270</v>
      </c>
      <c r="R27" s="16">
        <v>30</v>
      </c>
      <c r="S27" s="16">
        <v>35</v>
      </c>
      <c r="T27" s="16">
        <v>42</v>
      </c>
      <c r="U27" s="16">
        <v>50</v>
      </c>
      <c r="V27" s="28"/>
      <c r="W27" s="28">
        <v>157</v>
      </c>
      <c r="X27" s="96">
        <v>15000</v>
      </c>
      <c r="Y27" s="94">
        <v>20000</v>
      </c>
      <c r="Z27" s="94">
        <v>31000</v>
      </c>
      <c r="AA27" s="94">
        <v>40000</v>
      </c>
      <c r="AB27" s="94">
        <v>56000</v>
      </c>
      <c r="AC27" s="94">
        <v>75000</v>
      </c>
      <c r="AD27" s="94">
        <v>106000</v>
      </c>
      <c r="AE27" s="94">
        <v>144000</v>
      </c>
      <c r="AF27" s="94">
        <v>169000</v>
      </c>
      <c r="AG27" s="94">
        <v>188000</v>
      </c>
      <c r="AH27" s="96">
        <v>194000</v>
      </c>
      <c r="AI27" s="96">
        <v>200000</v>
      </c>
      <c r="AJ27" s="94"/>
      <c r="AK27" s="32"/>
      <c r="AL27" s="113">
        <v>4952000</v>
      </c>
      <c r="AM27" s="95">
        <v>22500</v>
      </c>
      <c r="AN27" s="95">
        <v>8</v>
      </c>
      <c r="AO27" s="96">
        <v>45000</v>
      </c>
      <c r="AP27" s="96">
        <v>5</v>
      </c>
      <c r="AQ27" s="97">
        <v>135000</v>
      </c>
      <c r="AR27" s="134">
        <v>3</v>
      </c>
      <c r="AS27" s="135"/>
      <c r="AT27" s="135"/>
      <c r="AU27" s="32">
        <v>3240000</v>
      </c>
      <c r="AV27" s="32">
        <v>8192000</v>
      </c>
      <c r="AW27" s="32">
        <v>324</v>
      </c>
      <c r="AX27" s="32"/>
      <c r="AY27" s="32">
        <v>413</v>
      </c>
      <c r="AZ27" s="113"/>
      <c r="BA27" s="82" t="s">
        <v>640</v>
      </c>
      <c r="BB27" s="32"/>
      <c r="BC27" s="32"/>
      <c r="BD27" s="32"/>
      <c r="BE27" s="32"/>
      <c r="BF27" s="32"/>
      <c r="BG27" s="32"/>
      <c r="BH27" s="32"/>
      <c r="BI27" s="32"/>
      <c r="BJ27" s="32"/>
      <c r="BK27" s="32"/>
      <c r="BL27" s="32"/>
      <c r="BM27" s="32">
        <v>1</v>
      </c>
      <c r="BN27" s="32"/>
      <c r="BO27" s="32">
        <v>1</v>
      </c>
      <c r="BP27" s="32"/>
      <c r="BQ27" s="32"/>
      <c r="BR27" s="32"/>
      <c r="BS27" s="32"/>
      <c r="BT27" s="32"/>
      <c r="BU27" s="32"/>
      <c r="BV27" s="113"/>
      <c r="BW27" s="113"/>
      <c r="BX27" s="113"/>
      <c r="BY27" s="113">
        <v>1</v>
      </c>
      <c r="BZ27" s="113">
        <v>6</v>
      </c>
      <c r="CA27" s="113"/>
      <c r="CB27" s="113"/>
      <c r="CC27" s="113"/>
      <c r="CD27" s="32"/>
      <c r="CE27" s="32"/>
      <c r="CF27" s="32"/>
      <c r="CG27" s="32"/>
      <c r="CH27" s="32"/>
      <c r="CI27" s="32"/>
      <c r="CJ27" s="32"/>
      <c r="CK27" s="32"/>
      <c r="CL27" s="32"/>
      <c r="CM27" s="32"/>
      <c r="CN27" s="32"/>
    </row>
    <row r="28" spans="1:92" ht="21" customHeight="1">
      <c r="A28" s="109">
        <v>26</v>
      </c>
      <c r="B28" s="110" t="s">
        <v>1123</v>
      </c>
      <c r="C28" s="111" t="s">
        <v>1069</v>
      </c>
      <c r="D28" s="110" t="s">
        <v>1124</v>
      </c>
      <c r="E28" s="111" t="s">
        <v>1070</v>
      </c>
      <c r="F28" s="111" t="s">
        <v>65</v>
      </c>
      <c r="G28" s="24" t="s">
        <v>164</v>
      </c>
      <c r="H28" s="112" t="s">
        <v>1071</v>
      </c>
      <c r="I28" s="13"/>
      <c r="J28" s="19">
        <v>2895</v>
      </c>
      <c r="K28" s="124">
        <v>312.2</v>
      </c>
      <c r="L28" s="125">
        <v>77.28</v>
      </c>
      <c r="M28" s="125">
        <v>45.17</v>
      </c>
      <c r="N28" s="125">
        <v>47.09</v>
      </c>
      <c r="O28" s="20"/>
      <c r="P28" s="42" t="s">
        <v>420</v>
      </c>
      <c r="Q28" s="37" t="s">
        <v>270</v>
      </c>
      <c r="R28" s="16">
        <v>30</v>
      </c>
      <c r="S28" s="16">
        <v>35</v>
      </c>
      <c r="T28" s="16">
        <v>42</v>
      </c>
      <c r="U28" s="16">
        <v>50</v>
      </c>
      <c r="V28" s="28"/>
      <c r="W28" s="28"/>
      <c r="X28" s="96">
        <v>15000</v>
      </c>
      <c r="Y28" s="94">
        <v>20000</v>
      </c>
      <c r="Z28" s="94">
        <v>31000</v>
      </c>
      <c r="AA28" s="94">
        <v>40000</v>
      </c>
      <c r="AB28" s="94">
        <v>56000</v>
      </c>
      <c r="AC28" s="94">
        <v>75000</v>
      </c>
      <c r="AD28" s="94">
        <v>106000</v>
      </c>
      <c r="AE28" s="94">
        <v>144000</v>
      </c>
      <c r="AF28" s="94">
        <v>169000</v>
      </c>
      <c r="AG28" s="94">
        <v>188000</v>
      </c>
      <c r="AH28" s="96">
        <v>194000</v>
      </c>
      <c r="AI28" s="96">
        <v>200000</v>
      </c>
      <c r="AJ28" s="94"/>
      <c r="AK28" s="32"/>
      <c r="AL28" s="113">
        <v>4952000</v>
      </c>
      <c r="AM28" s="95">
        <v>24000</v>
      </c>
      <c r="AN28" s="95">
        <v>8</v>
      </c>
      <c r="AO28" s="96">
        <v>48000</v>
      </c>
      <c r="AP28" s="96">
        <v>5</v>
      </c>
      <c r="AQ28" s="97">
        <v>144000</v>
      </c>
      <c r="AR28" s="134">
        <v>3</v>
      </c>
      <c r="AS28" s="135"/>
      <c r="AT28" s="135"/>
      <c r="AU28" s="32">
        <v>3456000</v>
      </c>
      <c r="AV28" s="32">
        <v>8408000</v>
      </c>
      <c r="AW28" s="32"/>
      <c r="AX28" s="32"/>
      <c r="AY28" s="32"/>
      <c r="AZ28" s="113"/>
      <c r="BA28" s="82" t="s">
        <v>640</v>
      </c>
      <c r="BB28" s="32"/>
      <c r="BC28" s="32"/>
      <c r="BD28" s="32"/>
      <c r="BE28" s="32"/>
      <c r="BF28" s="32"/>
      <c r="BG28" s="32"/>
      <c r="BH28" s="32"/>
      <c r="BI28" s="32"/>
      <c r="BJ28" s="32"/>
      <c r="BK28" s="32"/>
      <c r="BL28" s="32"/>
      <c r="BM28" s="32">
        <v>1</v>
      </c>
      <c r="BN28" s="32"/>
      <c r="BO28" s="32">
        <v>1</v>
      </c>
      <c r="BP28" s="32"/>
      <c r="BQ28" s="32"/>
      <c r="BR28" s="32"/>
      <c r="BS28" s="32"/>
      <c r="BT28" s="32"/>
      <c r="BU28" s="32"/>
      <c r="BV28" s="113" t="s">
        <v>1072</v>
      </c>
      <c r="BW28" s="113"/>
      <c r="BX28" s="113"/>
      <c r="BY28" s="113"/>
      <c r="BZ28" s="113"/>
      <c r="CA28" s="113"/>
      <c r="CB28" s="113"/>
      <c r="CC28" s="113"/>
      <c r="CD28" s="32"/>
      <c r="CE28" s="32"/>
      <c r="CF28" s="32"/>
      <c r="CG28" s="32"/>
      <c r="CH28" s="32"/>
      <c r="CI28" s="32"/>
      <c r="CJ28" s="32"/>
      <c r="CK28" s="32"/>
      <c r="CL28" s="32"/>
      <c r="CM28" s="32"/>
      <c r="CN28" s="32"/>
    </row>
    <row r="29" spans="1:92" ht="21" customHeight="1">
      <c r="A29" s="109">
        <v>27</v>
      </c>
      <c r="B29" s="110" t="s">
        <v>1532</v>
      </c>
      <c r="C29" s="111" t="s">
        <v>1533</v>
      </c>
      <c r="D29" s="110" t="s">
        <v>1534</v>
      </c>
      <c r="E29" s="111" t="s">
        <v>1535</v>
      </c>
      <c r="F29" s="111" t="s">
        <v>65</v>
      </c>
      <c r="G29" s="24" t="s">
        <v>164</v>
      </c>
      <c r="H29" s="112" t="s">
        <v>1529</v>
      </c>
      <c r="I29" s="13"/>
      <c r="J29" s="19">
        <v>2930</v>
      </c>
      <c r="K29" s="124">
        <v>312</v>
      </c>
      <c r="L29" s="125">
        <v>71.98</v>
      </c>
      <c r="M29" s="125">
        <v>61.16</v>
      </c>
      <c r="N29" s="125">
        <v>53.66</v>
      </c>
      <c r="O29" s="20"/>
      <c r="P29" s="42" t="s">
        <v>420</v>
      </c>
      <c r="Q29" s="17">
        <v>30</v>
      </c>
      <c r="R29" s="16">
        <v>12</v>
      </c>
      <c r="S29" s="16">
        <v>18</v>
      </c>
      <c r="T29" s="16">
        <v>27</v>
      </c>
      <c r="U29" s="16">
        <v>38</v>
      </c>
      <c r="V29" s="28"/>
      <c r="W29" s="28">
        <v>125</v>
      </c>
      <c r="X29" s="96">
        <v>15000</v>
      </c>
      <c r="Y29" s="94">
        <v>20000</v>
      </c>
      <c r="Z29" s="94">
        <v>31000</v>
      </c>
      <c r="AA29" s="94">
        <v>40000</v>
      </c>
      <c r="AB29" s="94">
        <v>56000</v>
      </c>
      <c r="AC29" s="94">
        <v>75000</v>
      </c>
      <c r="AD29" s="94">
        <v>106000</v>
      </c>
      <c r="AE29" s="94">
        <v>144000</v>
      </c>
      <c r="AF29" s="94">
        <v>169000</v>
      </c>
      <c r="AG29" s="94">
        <v>188000</v>
      </c>
      <c r="AH29" s="96">
        <v>194000</v>
      </c>
      <c r="AI29" s="96">
        <v>200000</v>
      </c>
      <c r="AJ29" s="94"/>
      <c r="AK29" s="32"/>
      <c r="AL29" s="113">
        <v>4952000</v>
      </c>
      <c r="AM29" s="95">
        <v>24000</v>
      </c>
      <c r="AN29" s="95">
        <v>8</v>
      </c>
      <c r="AO29" s="96">
        <v>48000</v>
      </c>
      <c r="AP29" s="96">
        <v>5</v>
      </c>
      <c r="AQ29" s="97">
        <v>144000</v>
      </c>
      <c r="AR29" s="134">
        <v>3</v>
      </c>
      <c r="AS29" s="135"/>
      <c r="AT29" s="135"/>
      <c r="AU29" s="32">
        <v>3456000</v>
      </c>
      <c r="AV29" s="32">
        <v>8408000</v>
      </c>
      <c r="AW29" s="32"/>
      <c r="AX29" s="32"/>
      <c r="AY29" s="32"/>
      <c r="AZ29" s="113"/>
      <c r="BA29" s="82" t="s">
        <v>605</v>
      </c>
      <c r="BB29" s="32"/>
      <c r="BC29" s="32"/>
      <c r="BD29" s="32"/>
      <c r="BE29" s="32"/>
      <c r="BF29" s="32"/>
      <c r="BG29" s="32"/>
      <c r="BH29" s="32"/>
      <c r="BI29" s="32"/>
      <c r="BJ29" s="32"/>
      <c r="BK29" s="32"/>
      <c r="BL29" s="32"/>
      <c r="BM29" s="32"/>
      <c r="BN29" s="32"/>
      <c r="BO29" s="32"/>
      <c r="BP29" s="32"/>
      <c r="BQ29" s="32"/>
      <c r="BR29" s="32"/>
      <c r="BS29" s="32"/>
      <c r="BT29" s="32"/>
      <c r="BU29" s="32"/>
      <c r="BV29" s="113"/>
      <c r="BW29" s="113"/>
      <c r="BX29" s="113"/>
      <c r="BY29" s="113"/>
      <c r="BZ29" s="113"/>
      <c r="CA29" s="113"/>
      <c r="CB29" s="113"/>
      <c r="CC29" s="113"/>
      <c r="CD29" s="32"/>
      <c r="CE29" s="73"/>
      <c r="CF29" s="73"/>
      <c r="CG29" s="73"/>
      <c r="CH29" s="73"/>
      <c r="CI29" s="73"/>
      <c r="CJ29" s="73"/>
      <c r="CK29" s="73"/>
      <c r="CL29" s="32"/>
      <c r="CM29" s="32"/>
      <c r="CN29" s="32"/>
    </row>
    <row r="30" spans="1:92" ht="21" customHeight="1">
      <c r="A30" s="109">
        <v>28</v>
      </c>
      <c r="B30" s="110" t="s">
        <v>1125</v>
      </c>
      <c r="C30" s="111" t="s">
        <v>1047</v>
      </c>
      <c r="D30" s="110" t="s">
        <v>115</v>
      </c>
      <c r="E30" s="111" t="s">
        <v>1048</v>
      </c>
      <c r="F30" s="111" t="s">
        <v>65</v>
      </c>
      <c r="G30" s="24" t="s">
        <v>164</v>
      </c>
      <c r="H30" s="112" t="s">
        <v>1049</v>
      </c>
      <c r="I30" s="13"/>
      <c r="J30" s="19">
        <v>3097</v>
      </c>
      <c r="K30" s="124">
        <v>301.2</v>
      </c>
      <c r="L30" s="125">
        <v>82.87</v>
      </c>
      <c r="M30" s="125">
        <v>51.83</v>
      </c>
      <c r="N30" s="125">
        <v>64.819999999999993</v>
      </c>
      <c r="O30" s="20"/>
      <c r="P30" s="42" t="s">
        <v>420</v>
      </c>
      <c r="Q30" s="17" t="s">
        <v>270</v>
      </c>
      <c r="R30" s="16">
        <v>30</v>
      </c>
      <c r="S30" s="16">
        <v>35</v>
      </c>
      <c r="T30" s="16">
        <v>42</v>
      </c>
      <c r="U30" s="16">
        <v>50</v>
      </c>
      <c r="V30" s="28"/>
      <c r="W30" s="28"/>
      <c r="X30" s="96">
        <v>15000</v>
      </c>
      <c r="Y30" s="94">
        <v>20000</v>
      </c>
      <c r="Z30" s="94">
        <v>31000</v>
      </c>
      <c r="AA30" s="94">
        <v>40000</v>
      </c>
      <c r="AB30" s="94">
        <v>56000</v>
      </c>
      <c r="AC30" s="94">
        <v>75000</v>
      </c>
      <c r="AD30" s="94">
        <v>106000</v>
      </c>
      <c r="AE30" s="94">
        <v>144000</v>
      </c>
      <c r="AF30" s="94">
        <v>169000</v>
      </c>
      <c r="AG30" s="94">
        <v>188000</v>
      </c>
      <c r="AH30" s="96">
        <v>194000</v>
      </c>
      <c r="AI30" s="96">
        <v>200000</v>
      </c>
      <c r="AJ30" s="94"/>
      <c r="AK30" s="32"/>
      <c r="AL30" s="113">
        <v>4952000</v>
      </c>
      <c r="AM30" s="95">
        <v>22750</v>
      </c>
      <c r="AN30" s="95">
        <v>8</v>
      </c>
      <c r="AO30" s="96">
        <v>45500</v>
      </c>
      <c r="AP30" s="96">
        <v>5</v>
      </c>
      <c r="AQ30" s="97">
        <v>136500</v>
      </c>
      <c r="AR30" s="134">
        <v>3</v>
      </c>
      <c r="AS30" s="135"/>
      <c r="AT30" s="135"/>
      <c r="AU30" s="32">
        <v>3276000</v>
      </c>
      <c r="AV30" s="32">
        <v>8228000</v>
      </c>
      <c r="AW30" s="32">
        <v>314</v>
      </c>
      <c r="AX30" s="32"/>
      <c r="AY30" s="32"/>
      <c r="AZ30" s="113"/>
      <c r="BA30" s="82" t="s">
        <v>640</v>
      </c>
      <c r="BB30" s="32"/>
      <c r="BC30" s="32"/>
      <c r="BD30" s="32"/>
      <c r="BE30" s="32"/>
      <c r="BF30" s="32"/>
      <c r="BG30" s="32"/>
      <c r="BH30" s="32"/>
      <c r="BI30" s="32"/>
      <c r="BJ30" s="32"/>
      <c r="BK30" s="32"/>
      <c r="BL30" s="32"/>
      <c r="BM30" s="32">
        <v>1</v>
      </c>
      <c r="BN30" s="32"/>
      <c r="BO30" s="32">
        <v>1</v>
      </c>
      <c r="BP30" s="32"/>
      <c r="BQ30" s="32"/>
      <c r="BR30" s="32"/>
      <c r="BS30" s="32"/>
      <c r="BT30" s="32"/>
      <c r="BU30" s="32"/>
      <c r="BV30" s="113" t="s">
        <v>1126</v>
      </c>
      <c r="BW30" s="113"/>
      <c r="BX30" s="113"/>
      <c r="BY30" s="113"/>
      <c r="BZ30" s="113"/>
      <c r="CA30" s="113"/>
      <c r="CB30" s="113"/>
      <c r="CC30" s="113"/>
      <c r="CD30" s="32"/>
      <c r="CE30" s="32"/>
      <c r="CF30" s="32"/>
      <c r="CG30" s="32"/>
      <c r="CH30" s="32"/>
      <c r="CI30" s="32"/>
      <c r="CJ30" s="32"/>
      <c r="CK30" s="32"/>
      <c r="CL30" s="32"/>
      <c r="CM30" s="32"/>
      <c r="CN30" s="32"/>
    </row>
    <row r="31" spans="1:92" ht="21" customHeight="1">
      <c r="A31" s="109">
        <v>29</v>
      </c>
      <c r="B31" s="110" t="s">
        <v>1446</v>
      </c>
      <c r="C31" s="111" t="s">
        <v>1447</v>
      </c>
      <c r="D31" s="110" t="s">
        <v>1448</v>
      </c>
      <c r="E31" s="111" t="s">
        <v>1449</v>
      </c>
      <c r="F31" s="111" t="s">
        <v>65</v>
      </c>
      <c r="G31" s="24" t="s">
        <v>164</v>
      </c>
      <c r="H31" s="112" t="s">
        <v>1443</v>
      </c>
      <c r="I31" s="13"/>
      <c r="J31" s="19">
        <v>3108</v>
      </c>
      <c r="K31" s="124">
        <v>297.8</v>
      </c>
      <c r="L31" s="125">
        <v>80.98</v>
      </c>
      <c r="M31" s="125">
        <v>78.180000000000007</v>
      </c>
      <c r="N31" s="125">
        <v>57.43</v>
      </c>
      <c r="O31" s="20"/>
      <c r="P31" s="42" t="s">
        <v>420</v>
      </c>
      <c r="Q31" s="16" t="s">
        <v>270</v>
      </c>
      <c r="R31" s="16">
        <v>30</v>
      </c>
      <c r="S31" s="16">
        <v>35</v>
      </c>
      <c r="T31" s="16">
        <v>42</v>
      </c>
      <c r="U31" s="16">
        <v>50</v>
      </c>
      <c r="V31" s="28"/>
      <c r="W31" s="28"/>
      <c r="X31" s="96">
        <v>15000</v>
      </c>
      <c r="Y31" s="96">
        <v>20000</v>
      </c>
      <c r="Z31" s="96">
        <v>31000</v>
      </c>
      <c r="AA31" s="96">
        <v>40000</v>
      </c>
      <c r="AB31" s="96">
        <v>56000</v>
      </c>
      <c r="AC31" s="96">
        <v>75000</v>
      </c>
      <c r="AD31" s="96">
        <v>106000</v>
      </c>
      <c r="AE31" s="96">
        <v>144000</v>
      </c>
      <c r="AF31" s="96">
        <v>169000</v>
      </c>
      <c r="AG31" s="96">
        <v>188000</v>
      </c>
      <c r="AH31" s="96">
        <v>194000</v>
      </c>
      <c r="AI31" s="96">
        <v>200000</v>
      </c>
      <c r="AJ31" s="94"/>
      <c r="AK31" s="32"/>
      <c r="AL31" s="113">
        <v>4952000</v>
      </c>
      <c r="AM31" s="95">
        <v>28000</v>
      </c>
      <c r="AN31" s="95">
        <v>8</v>
      </c>
      <c r="AO31" s="96">
        <v>56000</v>
      </c>
      <c r="AP31" s="96">
        <v>5</v>
      </c>
      <c r="AQ31" s="97">
        <v>168000</v>
      </c>
      <c r="AR31" s="134">
        <v>3</v>
      </c>
      <c r="AS31" s="135"/>
      <c r="AT31" s="135"/>
      <c r="AU31" s="32">
        <v>4032000</v>
      </c>
      <c r="AV31" s="32">
        <v>8984000</v>
      </c>
      <c r="AW31" s="32"/>
      <c r="AX31" s="32"/>
      <c r="AY31" s="32"/>
      <c r="AZ31" s="113"/>
      <c r="BA31" s="82" t="s">
        <v>640</v>
      </c>
      <c r="BB31" s="32"/>
      <c r="BC31" s="32"/>
      <c r="BD31" s="32"/>
      <c r="BE31" s="32"/>
      <c r="BF31" s="32"/>
      <c r="BG31" s="32"/>
      <c r="BH31" s="32"/>
      <c r="BI31" s="32"/>
      <c r="BJ31" s="32"/>
      <c r="BK31" s="32"/>
      <c r="BL31" s="32"/>
      <c r="BM31" s="32"/>
      <c r="BN31" s="32"/>
      <c r="BO31" s="32">
        <v>1</v>
      </c>
      <c r="BP31" s="32"/>
      <c r="BQ31" s="32"/>
      <c r="BR31" s="32"/>
      <c r="BS31" s="32"/>
      <c r="BT31" s="32"/>
      <c r="BU31" s="32"/>
      <c r="BV31" s="113"/>
      <c r="BW31" s="113"/>
      <c r="BX31" s="113"/>
      <c r="BY31" s="113"/>
      <c r="BZ31" s="113"/>
      <c r="CA31" s="113"/>
      <c r="CB31" s="113"/>
      <c r="CC31" s="113"/>
      <c r="CD31" s="32"/>
      <c r="CE31" s="32"/>
      <c r="CF31" s="32"/>
      <c r="CG31" s="32"/>
      <c r="CH31" s="32"/>
      <c r="CI31" s="32"/>
      <c r="CJ31" s="32"/>
      <c r="CK31" s="32"/>
      <c r="CL31" s="32"/>
      <c r="CM31" s="32"/>
      <c r="CN31" s="32"/>
    </row>
    <row r="32" spans="1:92" ht="21" customHeight="1">
      <c r="A32" s="109">
        <v>30</v>
      </c>
      <c r="B32" s="23" t="s">
        <v>92</v>
      </c>
      <c r="C32" s="111" t="s">
        <v>584</v>
      </c>
      <c r="D32" s="110" t="s">
        <v>93</v>
      </c>
      <c r="E32" s="111" t="s">
        <v>315</v>
      </c>
      <c r="F32" s="111" t="s">
        <v>95</v>
      </c>
      <c r="G32" s="12" t="s">
        <v>66</v>
      </c>
      <c r="H32" s="112" t="s">
        <v>296</v>
      </c>
      <c r="I32" s="13">
        <v>2123</v>
      </c>
      <c r="J32" s="14">
        <v>2123</v>
      </c>
      <c r="K32" s="120">
        <v>317.7</v>
      </c>
      <c r="L32" s="121">
        <v>71.7</v>
      </c>
      <c r="M32" s="121">
        <v>50.92</v>
      </c>
      <c r="N32" s="121">
        <v>47.05</v>
      </c>
      <c r="O32" s="32">
        <v>5.133</v>
      </c>
      <c r="P32" s="22" t="s">
        <v>414</v>
      </c>
      <c r="Q32" s="16">
        <v>20</v>
      </c>
      <c r="R32" s="16">
        <v>30</v>
      </c>
      <c r="S32" s="16">
        <v>50</v>
      </c>
      <c r="T32" s="109"/>
      <c r="U32" s="109"/>
      <c r="V32" s="109"/>
      <c r="W32" s="109">
        <v>100</v>
      </c>
      <c r="X32" s="105">
        <v>6000</v>
      </c>
      <c r="Y32" s="105">
        <v>8000</v>
      </c>
      <c r="Z32" s="105">
        <v>9000</v>
      </c>
      <c r="AA32" s="105">
        <v>10000</v>
      </c>
      <c r="AB32" s="105">
        <v>12000</v>
      </c>
      <c r="AC32" s="105">
        <v>18000</v>
      </c>
      <c r="AD32" s="105">
        <v>25000</v>
      </c>
      <c r="AE32" s="105">
        <v>37000</v>
      </c>
      <c r="AF32" s="105">
        <v>46000</v>
      </c>
      <c r="AG32" s="94">
        <v>58000</v>
      </c>
      <c r="AH32" s="94"/>
      <c r="AI32" s="94"/>
      <c r="AJ32" s="94"/>
      <c r="AK32" s="32"/>
      <c r="AL32" s="113">
        <v>916000</v>
      </c>
      <c r="AM32" s="95">
        <v>9000</v>
      </c>
      <c r="AN32" s="95">
        <v>4</v>
      </c>
      <c r="AO32" s="96">
        <v>18000</v>
      </c>
      <c r="AP32" s="96">
        <v>1</v>
      </c>
      <c r="AQ32" s="97">
        <v>54000</v>
      </c>
      <c r="AR32" s="134">
        <v>1</v>
      </c>
      <c r="AS32" s="135"/>
      <c r="AT32" s="135"/>
      <c r="AU32" s="113">
        <v>432000</v>
      </c>
      <c r="AV32" s="32">
        <v>1348000</v>
      </c>
      <c r="AW32" s="113">
        <v>331</v>
      </c>
      <c r="AX32" s="113"/>
      <c r="AY32" s="113">
        <v>422</v>
      </c>
      <c r="AZ32" s="113">
        <v>1</v>
      </c>
      <c r="BA32" s="113" t="s">
        <v>633</v>
      </c>
      <c r="BB32" s="32">
        <v>1</v>
      </c>
      <c r="BC32" s="32"/>
      <c r="BD32" s="32">
        <v>1</v>
      </c>
      <c r="BE32" s="32">
        <v>1</v>
      </c>
      <c r="BF32" s="32"/>
      <c r="BG32" s="32"/>
      <c r="BH32" s="32"/>
      <c r="BI32" s="32"/>
      <c r="BJ32" s="32"/>
      <c r="BK32" s="32"/>
      <c r="BL32" s="32"/>
      <c r="BM32" s="32"/>
      <c r="BN32" s="32"/>
      <c r="BO32" s="32"/>
      <c r="BP32" s="32"/>
      <c r="BQ32" s="32"/>
      <c r="BR32" s="32"/>
      <c r="BS32" s="32"/>
      <c r="BT32" s="32"/>
      <c r="BU32" s="32">
        <v>1</v>
      </c>
      <c r="BV32" s="81" t="s">
        <v>1127</v>
      </c>
      <c r="BW32" s="113"/>
      <c r="BX32" s="113"/>
      <c r="BY32" s="113">
        <v>1</v>
      </c>
      <c r="BZ32" s="113">
        <v>5</v>
      </c>
      <c r="CA32" s="113"/>
      <c r="CB32" s="113"/>
      <c r="CC32" s="113"/>
      <c r="CD32" s="32"/>
      <c r="CE32" s="32"/>
      <c r="CF32" s="32"/>
      <c r="CG32" s="32"/>
      <c r="CH32" s="32"/>
      <c r="CI32" s="32"/>
      <c r="CJ32" s="32"/>
      <c r="CK32" s="32"/>
      <c r="CL32" s="77"/>
      <c r="CM32" s="32"/>
      <c r="CN32" s="32"/>
    </row>
    <row r="33" spans="1:92" ht="21" customHeight="1">
      <c r="A33" s="109">
        <v>31</v>
      </c>
      <c r="B33" s="23" t="s">
        <v>96</v>
      </c>
      <c r="C33" s="111" t="s">
        <v>97</v>
      </c>
      <c r="D33" s="110" t="s">
        <v>77</v>
      </c>
      <c r="E33" s="111" t="s">
        <v>97</v>
      </c>
      <c r="F33" s="111" t="s">
        <v>95</v>
      </c>
      <c r="G33" s="12" t="s">
        <v>66</v>
      </c>
      <c r="H33" s="112" t="s">
        <v>296</v>
      </c>
      <c r="I33" s="13">
        <v>2144</v>
      </c>
      <c r="J33" s="14">
        <v>2152</v>
      </c>
      <c r="K33" s="120">
        <v>302.7</v>
      </c>
      <c r="L33" s="121">
        <v>73.64</v>
      </c>
      <c r="M33" s="121">
        <v>43.57</v>
      </c>
      <c r="N33" s="121">
        <v>62.82</v>
      </c>
      <c r="O33" s="32">
        <v>7.48</v>
      </c>
      <c r="P33" s="22" t="s">
        <v>414</v>
      </c>
      <c r="Q33" s="16">
        <v>20</v>
      </c>
      <c r="R33" s="16">
        <v>30</v>
      </c>
      <c r="S33" s="16">
        <v>50</v>
      </c>
      <c r="T33" s="109"/>
      <c r="U33" s="109"/>
      <c r="V33" s="109"/>
      <c r="W33" s="109">
        <v>100</v>
      </c>
      <c r="X33" s="105">
        <v>6000</v>
      </c>
      <c r="Y33" s="105">
        <v>8000</v>
      </c>
      <c r="Z33" s="105">
        <v>9000</v>
      </c>
      <c r="AA33" s="105">
        <v>10000</v>
      </c>
      <c r="AB33" s="105">
        <v>12000</v>
      </c>
      <c r="AC33" s="105">
        <v>18000</v>
      </c>
      <c r="AD33" s="105">
        <v>25000</v>
      </c>
      <c r="AE33" s="105">
        <v>37000</v>
      </c>
      <c r="AF33" s="105">
        <v>46000</v>
      </c>
      <c r="AG33" s="94">
        <v>58000</v>
      </c>
      <c r="AH33" s="94"/>
      <c r="AI33" s="94"/>
      <c r="AJ33" s="94"/>
      <c r="AK33" s="32"/>
      <c r="AL33" s="113">
        <v>916000</v>
      </c>
      <c r="AM33" s="95">
        <v>9000</v>
      </c>
      <c r="AN33" s="95">
        <v>4</v>
      </c>
      <c r="AO33" s="96">
        <v>18000</v>
      </c>
      <c r="AP33" s="96">
        <v>1</v>
      </c>
      <c r="AQ33" s="97">
        <v>54000</v>
      </c>
      <c r="AR33" s="134">
        <v>1</v>
      </c>
      <c r="AS33" s="135"/>
      <c r="AT33" s="135"/>
      <c r="AU33" s="113">
        <v>432000</v>
      </c>
      <c r="AV33" s="32">
        <v>1348000</v>
      </c>
      <c r="AW33" s="113">
        <v>315</v>
      </c>
      <c r="AX33" s="113"/>
      <c r="AY33" s="113">
        <v>403</v>
      </c>
      <c r="AZ33" s="113">
        <v>1</v>
      </c>
      <c r="BA33" s="113" t="s">
        <v>633</v>
      </c>
      <c r="BB33" s="32"/>
      <c r="BC33" s="32"/>
      <c r="BD33" s="32">
        <v>1</v>
      </c>
      <c r="BE33" s="32">
        <v>1</v>
      </c>
      <c r="BF33" s="32"/>
      <c r="BG33" s="32"/>
      <c r="BH33" s="32"/>
      <c r="BI33" s="32"/>
      <c r="BJ33" s="32"/>
      <c r="BK33" s="32"/>
      <c r="BL33" s="32"/>
      <c r="BM33" s="32"/>
      <c r="BN33" s="32"/>
      <c r="BO33" s="32"/>
      <c r="BP33" s="32"/>
      <c r="BQ33" s="32"/>
      <c r="BR33" s="32"/>
      <c r="BS33" s="32"/>
      <c r="BT33" s="32"/>
      <c r="BU33" s="32">
        <v>1</v>
      </c>
      <c r="BV33" s="81" t="s">
        <v>1128</v>
      </c>
      <c r="BW33" s="113"/>
      <c r="BX33" s="113"/>
      <c r="BY33" s="113">
        <v>1</v>
      </c>
      <c r="BZ33" s="113">
        <v>5</v>
      </c>
      <c r="CA33" s="113"/>
      <c r="CB33" s="113"/>
      <c r="CC33" s="113"/>
      <c r="CD33" s="32"/>
      <c r="CE33" s="32"/>
      <c r="CF33" s="32"/>
      <c r="CG33" s="32"/>
      <c r="CH33" s="32"/>
      <c r="CI33" s="32"/>
      <c r="CJ33" s="32"/>
      <c r="CK33" s="32"/>
      <c r="CL33" s="77"/>
      <c r="CM33" s="32"/>
      <c r="CN33" s="32"/>
    </row>
    <row r="34" spans="1:92" ht="21" customHeight="1">
      <c r="A34" s="109">
        <v>32</v>
      </c>
      <c r="B34" s="23" t="s">
        <v>98</v>
      </c>
      <c r="C34" s="111" t="s">
        <v>100</v>
      </c>
      <c r="D34" s="110" t="s">
        <v>99</v>
      </c>
      <c r="E34" s="111" t="s">
        <v>316</v>
      </c>
      <c r="F34" s="111" t="s">
        <v>95</v>
      </c>
      <c r="G34" s="12" t="s">
        <v>66</v>
      </c>
      <c r="H34" s="112" t="s">
        <v>296</v>
      </c>
      <c r="I34" s="13">
        <v>2186</v>
      </c>
      <c r="J34" s="14">
        <v>2185</v>
      </c>
      <c r="K34" s="120">
        <v>328.7</v>
      </c>
      <c r="L34" s="121">
        <v>71.209999999999994</v>
      </c>
      <c r="M34" s="121">
        <v>45.84</v>
      </c>
      <c r="N34" s="121">
        <v>56.6</v>
      </c>
      <c r="O34" s="32">
        <v>5.9829999999999997</v>
      </c>
      <c r="P34" s="22" t="s">
        <v>414</v>
      </c>
      <c r="Q34" s="16">
        <v>25</v>
      </c>
      <c r="R34" s="16">
        <v>30</v>
      </c>
      <c r="S34" s="16">
        <v>50</v>
      </c>
      <c r="T34" s="109"/>
      <c r="U34" s="109"/>
      <c r="V34" s="109"/>
      <c r="W34" s="109">
        <v>105</v>
      </c>
      <c r="X34" s="105">
        <v>6000</v>
      </c>
      <c r="Y34" s="105">
        <v>8000</v>
      </c>
      <c r="Z34" s="105">
        <v>9000</v>
      </c>
      <c r="AA34" s="105">
        <v>10000</v>
      </c>
      <c r="AB34" s="105">
        <v>12000</v>
      </c>
      <c r="AC34" s="105">
        <v>18000</v>
      </c>
      <c r="AD34" s="105">
        <v>25000</v>
      </c>
      <c r="AE34" s="105">
        <v>37000</v>
      </c>
      <c r="AF34" s="105">
        <v>46000</v>
      </c>
      <c r="AG34" s="94">
        <v>58000</v>
      </c>
      <c r="AH34" s="94"/>
      <c r="AI34" s="94"/>
      <c r="AJ34" s="94"/>
      <c r="AK34" s="32"/>
      <c r="AL34" s="113">
        <v>916000</v>
      </c>
      <c r="AM34" s="95">
        <v>9000</v>
      </c>
      <c r="AN34" s="95">
        <v>4</v>
      </c>
      <c r="AO34" s="96">
        <v>18000</v>
      </c>
      <c r="AP34" s="96">
        <v>1</v>
      </c>
      <c r="AQ34" s="97">
        <v>54000</v>
      </c>
      <c r="AR34" s="134">
        <v>1</v>
      </c>
      <c r="AS34" s="135"/>
      <c r="AT34" s="135"/>
      <c r="AU34" s="113">
        <v>432000</v>
      </c>
      <c r="AV34" s="32">
        <v>1348000</v>
      </c>
      <c r="AW34" s="113">
        <v>342</v>
      </c>
      <c r="AX34" s="113"/>
      <c r="AY34" s="113">
        <v>441</v>
      </c>
      <c r="AZ34" s="113">
        <v>1</v>
      </c>
      <c r="BA34" s="113" t="s">
        <v>633</v>
      </c>
      <c r="BB34" s="32"/>
      <c r="BC34" s="32"/>
      <c r="BD34" s="32">
        <v>1</v>
      </c>
      <c r="BE34" s="32">
        <v>1</v>
      </c>
      <c r="BF34" s="32"/>
      <c r="BG34" s="32"/>
      <c r="BH34" s="32"/>
      <c r="BI34" s="32"/>
      <c r="BJ34" s="32"/>
      <c r="BK34" s="32"/>
      <c r="BL34" s="32"/>
      <c r="BM34" s="32"/>
      <c r="BN34" s="32"/>
      <c r="BO34" s="32"/>
      <c r="BP34" s="32"/>
      <c r="BQ34" s="32"/>
      <c r="BR34" s="32">
        <v>1</v>
      </c>
      <c r="BS34" s="32"/>
      <c r="BT34" s="32"/>
      <c r="BU34" s="32">
        <v>1</v>
      </c>
      <c r="BV34" s="81" t="s">
        <v>747</v>
      </c>
      <c r="BW34" s="113"/>
      <c r="BX34" s="113"/>
      <c r="BY34" s="113">
        <v>1</v>
      </c>
      <c r="BZ34" s="113">
        <v>5</v>
      </c>
      <c r="CA34" s="113"/>
      <c r="CB34" s="113"/>
      <c r="CC34" s="113"/>
      <c r="CD34" s="32"/>
      <c r="CE34" s="32"/>
      <c r="CF34" s="32"/>
      <c r="CG34" s="32"/>
      <c r="CH34" s="32"/>
      <c r="CI34" s="32"/>
      <c r="CJ34" s="32"/>
      <c r="CK34" s="32"/>
      <c r="CL34" s="77"/>
      <c r="CM34" s="32"/>
      <c r="CN34" s="32"/>
    </row>
    <row r="35" spans="1:92" ht="21" customHeight="1">
      <c r="A35" s="109">
        <v>33</v>
      </c>
      <c r="B35" s="23" t="s">
        <v>101</v>
      </c>
      <c r="C35" s="111" t="s">
        <v>585</v>
      </c>
      <c r="D35" s="110" t="s">
        <v>102</v>
      </c>
      <c r="E35" s="111" t="s">
        <v>317</v>
      </c>
      <c r="F35" s="111" t="s">
        <v>95</v>
      </c>
      <c r="G35" s="12" t="s">
        <v>66</v>
      </c>
      <c r="H35" s="112" t="s">
        <v>296</v>
      </c>
      <c r="I35" s="13">
        <v>2281</v>
      </c>
      <c r="J35" s="14">
        <v>2281</v>
      </c>
      <c r="K35" s="120">
        <v>329.4</v>
      </c>
      <c r="L35" s="121">
        <v>71.34</v>
      </c>
      <c r="M35" s="121">
        <v>42.69</v>
      </c>
      <c r="N35" s="121">
        <v>54.66</v>
      </c>
      <c r="O35" s="32">
        <v>5.7489999999999997</v>
      </c>
      <c r="P35" s="22" t="s">
        <v>414</v>
      </c>
      <c r="Q35" s="16">
        <v>25</v>
      </c>
      <c r="R35" s="16">
        <v>30</v>
      </c>
      <c r="S35" s="16">
        <v>50</v>
      </c>
      <c r="T35" s="109"/>
      <c r="U35" s="109"/>
      <c r="V35" s="109"/>
      <c r="W35" s="109">
        <v>105</v>
      </c>
      <c r="X35" s="96">
        <v>6000</v>
      </c>
      <c r="Y35" s="96">
        <v>8000</v>
      </c>
      <c r="Z35" s="96">
        <v>10000</v>
      </c>
      <c r="AA35" s="96">
        <v>12000</v>
      </c>
      <c r="AB35" s="96">
        <v>15000</v>
      </c>
      <c r="AC35" s="96">
        <v>22000</v>
      </c>
      <c r="AD35" s="96">
        <v>31000</v>
      </c>
      <c r="AE35" s="96">
        <v>48000</v>
      </c>
      <c r="AF35" s="96">
        <v>60000</v>
      </c>
      <c r="AG35" s="96">
        <v>75000</v>
      </c>
      <c r="AH35" s="94"/>
      <c r="AI35" s="94"/>
      <c r="AJ35" s="94"/>
      <c r="AK35" s="32"/>
      <c r="AL35" s="113">
        <v>1148000</v>
      </c>
      <c r="AM35" s="95">
        <v>10000</v>
      </c>
      <c r="AN35" s="95">
        <v>4</v>
      </c>
      <c r="AO35" s="96">
        <v>20000</v>
      </c>
      <c r="AP35" s="96">
        <v>1</v>
      </c>
      <c r="AQ35" s="97">
        <v>60000</v>
      </c>
      <c r="AR35" s="134">
        <v>1</v>
      </c>
      <c r="AS35" s="135"/>
      <c r="AT35" s="135"/>
      <c r="AU35" s="113">
        <v>480000</v>
      </c>
      <c r="AV35" s="113">
        <v>1628000</v>
      </c>
      <c r="AW35" s="113">
        <v>343</v>
      </c>
      <c r="AX35" s="113"/>
      <c r="AY35" s="113">
        <v>442</v>
      </c>
      <c r="AZ35" s="113">
        <v>1</v>
      </c>
      <c r="BA35" s="113" t="s">
        <v>633</v>
      </c>
      <c r="BB35" s="32"/>
      <c r="BC35" s="32"/>
      <c r="BD35" s="32">
        <v>1</v>
      </c>
      <c r="BE35" s="32">
        <v>1</v>
      </c>
      <c r="BF35" s="32"/>
      <c r="BG35" s="32"/>
      <c r="BH35" s="32"/>
      <c r="BI35" s="32"/>
      <c r="BJ35" s="32"/>
      <c r="BK35" s="32"/>
      <c r="BL35" s="32"/>
      <c r="BM35" s="32"/>
      <c r="BN35" s="32"/>
      <c r="BO35" s="32"/>
      <c r="BP35" s="32"/>
      <c r="BQ35" s="32"/>
      <c r="BR35" s="32">
        <v>1</v>
      </c>
      <c r="BS35" s="32"/>
      <c r="BT35" s="32"/>
      <c r="BU35" s="32">
        <v>1</v>
      </c>
      <c r="BV35" s="81" t="s">
        <v>103</v>
      </c>
      <c r="BW35" s="113"/>
      <c r="BX35" s="113"/>
      <c r="BY35" s="113">
        <v>1</v>
      </c>
      <c r="BZ35" s="113">
        <v>5</v>
      </c>
      <c r="CA35" s="113"/>
      <c r="CB35" s="113"/>
      <c r="CC35" s="113"/>
      <c r="CD35" s="32"/>
      <c r="CE35" s="32"/>
      <c r="CF35" s="32"/>
      <c r="CG35" s="32"/>
      <c r="CH35" s="32"/>
      <c r="CI35" s="32"/>
      <c r="CJ35" s="32"/>
      <c r="CK35" s="32"/>
      <c r="CL35" s="32"/>
      <c r="CM35" s="32"/>
      <c r="CN35" s="32"/>
    </row>
    <row r="36" spans="1:92" ht="21" customHeight="1">
      <c r="A36" s="109">
        <v>34</v>
      </c>
      <c r="B36" s="23" t="s">
        <v>104</v>
      </c>
      <c r="C36" s="111" t="s">
        <v>586</v>
      </c>
      <c r="D36" s="110" t="s">
        <v>1129</v>
      </c>
      <c r="E36" s="111" t="s">
        <v>105</v>
      </c>
      <c r="F36" s="111" t="s">
        <v>95</v>
      </c>
      <c r="G36" s="12" t="s">
        <v>66</v>
      </c>
      <c r="H36" s="112" t="s">
        <v>296</v>
      </c>
      <c r="I36" s="13">
        <v>2330</v>
      </c>
      <c r="J36" s="14">
        <v>2330</v>
      </c>
      <c r="K36" s="120">
        <v>340.4</v>
      </c>
      <c r="L36" s="121">
        <v>74.2</v>
      </c>
      <c r="M36" s="121">
        <v>43.21</v>
      </c>
      <c r="N36" s="121">
        <v>55.4</v>
      </c>
      <c r="O36" s="32">
        <v>5.6660000000000004</v>
      </c>
      <c r="P36" s="22" t="s">
        <v>414</v>
      </c>
      <c r="Q36" s="16">
        <v>25</v>
      </c>
      <c r="R36" s="16">
        <v>30</v>
      </c>
      <c r="S36" s="16">
        <v>50</v>
      </c>
      <c r="T36" s="109"/>
      <c r="U36" s="109"/>
      <c r="V36" s="109"/>
      <c r="W36" s="109">
        <v>105</v>
      </c>
      <c r="X36" s="96">
        <v>6000</v>
      </c>
      <c r="Y36" s="96">
        <v>8000</v>
      </c>
      <c r="Z36" s="96">
        <v>10000</v>
      </c>
      <c r="AA36" s="96">
        <v>12000</v>
      </c>
      <c r="AB36" s="96">
        <v>15000</v>
      </c>
      <c r="AC36" s="96">
        <v>22000</v>
      </c>
      <c r="AD36" s="96">
        <v>31000</v>
      </c>
      <c r="AE36" s="96">
        <v>48000</v>
      </c>
      <c r="AF36" s="96">
        <v>60000</v>
      </c>
      <c r="AG36" s="96">
        <v>75000</v>
      </c>
      <c r="AH36" s="94"/>
      <c r="AI36" s="94"/>
      <c r="AJ36" s="94"/>
      <c r="AK36" s="32"/>
      <c r="AL36" s="113">
        <v>1148000</v>
      </c>
      <c r="AM36" s="95">
        <v>10000</v>
      </c>
      <c r="AN36" s="95">
        <v>4</v>
      </c>
      <c r="AO36" s="96">
        <v>20000</v>
      </c>
      <c r="AP36" s="96">
        <v>1</v>
      </c>
      <c r="AQ36" s="97">
        <v>60000</v>
      </c>
      <c r="AR36" s="134">
        <v>1</v>
      </c>
      <c r="AS36" s="135"/>
      <c r="AT36" s="135"/>
      <c r="AU36" s="113">
        <v>480000</v>
      </c>
      <c r="AV36" s="113">
        <v>1628000</v>
      </c>
      <c r="AW36" s="113">
        <v>354</v>
      </c>
      <c r="AX36" s="113"/>
      <c r="AY36" s="113">
        <v>462</v>
      </c>
      <c r="AZ36" s="113">
        <v>1</v>
      </c>
      <c r="BA36" s="113" t="s">
        <v>633</v>
      </c>
      <c r="BB36" s="32"/>
      <c r="BC36" s="32"/>
      <c r="BD36" s="32"/>
      <c r="BE36" s="32">
        <v>1</v>
      </c>
      <c r="BF36" s="32"/>
      <c r="BG36" s="32">
        <v>1</v>
      </c>
      <c r="BH36" s="32"/>
      <c r="BI36" s="32"/>
      <c r="BJ36" s="32"/>
      <c r="BK36" s="32"/>
      <c r="BL36" s="32"/>
      <c r="BM36" s="32"/>
      <c r="BN36" s="32"/>
      <c r="BO36" s="32"/>
      <c r="BP36" s="32"/>
      <c r="BQ36" s="32"/>
      <c r="BR36" s="32"/>
      <c r="BS36" s="32"/>
      <c r="BT36" s="32"/>
      <c r="BU36" s="32">
        <v>1</v>
      </c>
      <c r="BV36" s="81" t="s">
        <v>748</v>
      </c>
      <c r="BW36" s="113"/>
      <c r="BX36" s="113"/>
      <c r="BY36" s="113">
        <v>1</v>
      </c>
      <c r="BZ36" s="113">
        <v>5</v>
      </c>
      <c r="CA36" s="113"/>
      <c r="CB36" s="113"/>
      <c r="CC36" s="113"/>
      <c r="CD36" s="32"/>
      <c r="CE36" s="32"/>
      <c r="CF36" s="32"/>
      <c r="CG36" s="32"/>
      <c r="CH36" s="32"/>
      <c r="CI36" s="32"/>
      <c r="CJ36" s="32"/>
      <c r="CK36" s="32"/>
      <c r="CL36" s="32"/>
      <c r="CM36" s="32"/>
      <c r="CN36" s="32"/>
    </row>
    <row r="37" spans="1:92" ht="21" customHeight="1">
      <c r="A37" s="109">
        <v>35</v>
      </c>
      <c r="B37" s="23" t="s">
        <v>106</v>
      </c>
      <c r="C37" s="111" t="s">
        <v>107</v>
      </c>
      <c r="D37" s="110" t="s">
        <v>99</v>
      </c>
      <c r="E37" s="111" t="s">
        <v>107</v>
      </c>
      <c r="F37" s="111" t="s">
        <v>95</v>
      </c>
      <c r="G37" s="18" t="s">
        <v>89</v>
      </c>
      <c r="H37" s="112" t="s">
        <v>296</v>
      </c>
      <c r="I37" s="13">
        <v>2360</v>
      </c>
      <c r="J37" s="14">
        <v>2344</v>
      </c>
      <c r="K37" s="120">
        <v>295.60000000000002</v>
      </c>
      <c r="L37" s="121">
        <v>70.52</v>
      </c>
      <c r="M37" s="121">
        <v>61.9</v>
      </c>
      <c r="N37" s="121">
        <v>60.28</v>
      </c>
      <c r="O37" s="32">
        <v>7.17</v>
      </c>
      <c r="P37" s="22" t="s">
        <v>414</v>
      </c>
      <c r="Q37" s="16">
        <v>25</v>
      </c>
      <c r="R37" s="16">
        <v>18</v>
      </c>
      <c r="S37" s="16">
        <v>21</v>
      </c>
      <c r="T37" s="16">
        <v>32</v>
      </c>
      <c r="U37" s="109"/>
      <c r="V37" s="109"/>
      <c r="W37" s="109">
        <v>96</v>
      </c>
      <c r="X37" s="105">
        <v>6000</v>
      </c>
      <c r="Y37" s="105">
        <v>8000</v>
      </c>
      <c r="Z37" s="105">
        <v>9000</v>
      </c>
      <c r="AA37" s="105">
        <v>10000</v>
      </c>
      <c r="AB37" s="105">
        <v>12000</v>
      </c>
      <c r="AC37" s="105">
        <v>18000</v>
      </c>
      <c r="AD37" s="105">
        <v>25000</v>
      </c>
      <c r="AE37" s="105">
        <v>37000</v>
      </c>
      <c r="AF37" s="105">
        <v>46000</v>
      </c>
      <c r="AG37" s="105">
        <v>48000</v>
      </c>
      <c r="AH37" s="105">
        <v>50000</v>
      </c>
      <c r="AI37" s="94"/>
      <c r="AJ37" s="94"/>
      <c r="AK37" s="32"/>
      <c r="AL37" s="113">
        <v>1076000</v>
      </c>
      <c r="AM37" s="95">
        <v>10000</v>
      </c>
      <c r="AN37" s="95">
        <v>6</v>
      </c>
      <c r="AO37" s="96">
        <v>20000</v>
      </c>
      <c r="AP37" s="96">
        <v>3</v>
      </c>
      <c r="AQ37" s="97">
        <v>60000</v>
      </c>
      <c r="AR37" s="134">
        <v>1</v>
      </c>
      <c r="AS37" s="135"/>
      <c r="AT37" s="135"/>
      <c r="AU37" s="113">
        <v>720000</v>
      </c>
      <c r="AV37" s="113">
        <v>1796000</v>
      </c>
      <c r="AW37" s="113">
        <v>308</v>
      </c>
      <c r="AX37" s="113"/>
      <c r="AY37" s="113">
        <v>394</v>
      </c>
      <c r="AZ37" s="113">
        <v>1</v>
      </c>
      <c r="BA37" s="113" t="s">
        <v>633</v>
      </c>
      <c r="BB37" s="32"/>
      <c r="BC37" s="32"/>
      <c r="BD37" s="32">
        <v>1</v>
      </c>
      <c r="BE37" s="32">
        <v>1</v>
      </c>
      <c r="BF37" s="32"/>
      <c r="BG37" s="32">
        <v>1</v>
      </c>
      <c r="BH37" s="32"/>
      <c r="BI37" s="32"/>
      <c r="BJ37" s="32"/>
      <c r="BK37" s="32"/>
      <c r="BL37" s="32"/>
      <c r="BM37" s="32"/>
      <c r="BN37" s="32"/>
      <c r="BO37" s="32"/>
      <c r="BP37" s="32"/>
      <c r="BQ37" s="32"/>
      <c r="BR37" s="32">
        <v>1</v>
      </c>
      <c r="BS37" s="32"/>
      <c r="BT37" s="32"/>
      <c r="BU37" s="32">
        <v>1</v>
      </c>
      <c r="BV37" s="81" t="s">
        <v>747</v>
      </c>
      <c r="BW37" s="113"/>
      <c r="BX37" s="113"/>
      <c r="BY37" s="113"/>
      <c r="BZ37" s="113"/>
      <c r="CA37" s="113"/>
      <c r="CB37" s="113"/>
      <c r="CC37" s="113"/>
      <c r="CD37" s="32"/>
      <c r="CE37" s="32"/>
      <c r="CF37" s="32"/>
      <c r="CG37" s="32"/>
      <c r="CH37" s="32"/>
      <c r="CI37" s="32"/>
      <c r="CJ37" s="32"/>
      <c r="CK37" s="32"/>
      <c r="CL37" s="32"/>
      <c r="CM37" s="32"/>
      <c r="CN37" s="32"/>
    </row>
    <row r="38" spans="1:92" ht="21" customHeight="1">
      <c r="A38" s="109">
        <v>36</v>
      </c>
      <c r="B38" s="23" t="s">
        <v>108</v>
      </c>
      <c r="C38" s="111" t="s">
        <v>109</v>
      </c>
      <c r="D38" s="110" t="s">
        <v>93</v>
      </c>
      <c r="E38" s="111" t="s">
        <v>318</v>
      </c>
      <c r="F38" s="111" t="s">
        <v>95</v>
      </c>
      <c r="G38" s="18" t="s">
        <v>89</v>
      </c>
      <c r="H38" s="112" t="s">
        <v>296</v>
      </c>
      <c r="I38" s="13">
        <v>2390</v>
      </c>
      <c r="J38" s="14">
        <v>2363</v>
      </c>
      <c r="K38" s="120">
        <v>269.5</v>
      </c>
      <c r="L38" s="121">
        <v>82.25</v>
      </c>
      <c r="M38" s="121">
        <v>83.47</v>
      </c>
      <c r="N38" s="121">
        <v>72.709999999999994</v>
      </c>
      <c r="O38" s="32">
        <v>13.382</v>
      </c>
      <c r="P38" s="22" t="s">
        <v>414</v>
      </c>
      <c r="Q38" s="16">
        <v>25</v>
      </c>
      <c r="R38" s="16">
        <v>18</v>
      </c>
      <c r="S38" s="16">
        <v>21</v>
      </c>
      <c r="T38" s="16">
        <v>32</v>
      </c>
      <c r="U38" s="109"/>
      <c r="V38" s="109"/>
      <c r="W38" s="109">
        <v>96</v>
      </c>
      <c r="X38" s="96">
        <v>7400</v>
      </c>
      <c r="Y38" s="96">
        <v>8100</v>
      </c>
      <c r="Z38" s="96">
        <v>9600</v>
      </c>
      <c r="AA38" s="96">
        <v>11900</v>
      </c>
      <c r="AB38" s="96">
        <v>17800</v>
      </c>
      <c r="AC38" s="96">
        <v>23500</v>
      </c>
      <c r="AD38" s="96">
        <v>33500</v>
      </c>
      <c r="AE38" s="96">
        <v>40500</v>
      </c>
      <c r="AF38" s="96">
        <v>44500</v>
      </c>
      <c r="AG38" s="96">
        <v>49000</v>
      </c>
      <c r="AH38" s="96">
        <v>50000</v>
      </c>
      <c r="AI38" s="94"/>
      <c r="AJ38" s="94"/>
      <c r="AK38" s="32"/>
      <c r="AL38" s="113">
        <v>1183200</v>
      </c>
      <c r="AM38" s="95">
        <v>10000</v>
      </c>
      <c r="AN38" s="95">
        <v>6</v>
      </c>
      <c r="AO38" s="96">
        <v>20000</v>
      </c>
      <c r="AP38" s="96">
        <v>3</v>
      </c>
      <c r="AQ38" s="97">
        <v>60000</v>
      </c>
      <c r="AR38" s="134">
        <v>1</v>
      </c>
      <c r="AS38" s="135"/>
      <c r="AT38" s="135"/>
      <c r="AU38" s="113">
        <v>720000</v>
      </c>
      <c r="AV38" s="113">
        <v>1903200</v>
      </c>
      <c r="AW38" s="113">
        <v>282</v>
      </c>
      <c r="AX38" s="113"/>
      <c r="AY38" s="113">
        <v>363</v>
      </c>
      <c r="AZ38" s="113">
        <v>5</v>
      </c>
      <c r="BA38" s="113" t="s">
        <v>635</v>
      </c>
      <c r="BB38" s="32"/>
      <c r="BC38" s="32"/>
      <c r="BD38" s="32">
        <v>1</v>
      </c>
      <c r="BE38" s="32"/>
      <c r="BF38" s="32"/>
      <c r="BG38" s="32">
        <v>1</v>
      </c>
      <c r="BH38" s="32"/>
      <c r="BI38" s="32"/>
      <c r="BJ38" s="32"/>
      <c r="BK38" s="32"/>
      <c r="BL38" s="32"/>
      <c r="BM38" s="32"/>
      <c r="BN38" s="32"/>
      <c r="BO38" s="32"/>
      <c r="BP38" s="32"/>
      <c r="BQ38" s="32" t="s">
        <v>800</v>
      </c>
      <c r="BR38" s="32"/>
      <c r="BS38" s="32"/>
      <c r="BT38" s="32"/>
      <c r="BU38" s="32"/>
      <c r="BV38" s="81" t="s">
        <v>1130</v>
      </c>
      <c r="BW38" s="113"/>
      <c r="BX38" s="113"/>
      <c r="BY38" s="113"/>
      <c r="BZ38" s="113"/>
      <c r="CA38" s="113"/>
      <c r="CB38" s="113"/>
      <c r="CC38" s="113"/>
      <c r="CD38" s="32"/>
      <c r="CE38" s="32"/>
      <c r="CF38" s="32"/>
      <c r="CG38" s="32"/>
      <c r="CH38" s="32"/>
      <c r="CI38" s="32"/>
      <c r="CJ38" s="32"/>
      <c r="CK38" s="32"/>
      <c r="CL38" s="32"/>
      <c r="CM38" s="32"/>
      <c r="CN38" s="32"/>
    </row>
    <row r="39" spans="1:92" ht="21" customHeight="1">
      <c r="A39" s="109">
        <v>37</v>
      </c>
      <c r="B39" s="23" t="s">
        <v>110</v>
      </c>
      <c r="C39" s="111" t="s">
        <v>111</v>
      </c>
      <c r="D39" s="110" t="s">
        <v>68</v>
      </c>
      <c r="E39" s="111" t="s">
        <v>111</v>
      </c>
      <c r="F39" s="111" t="s">
        <v>95</v>
      </c>
      <c r="G39" s="12" t="s">
        <v>66</v>
      </c>
      <c r="H39" s="112" t="s">
        <v>296</v>
      </c>
      <c r="I39" s="13">
        <v>2447</v>
      </c>
      <c r="J39" s="14">
        <v>2447</v>
      </c>
      <c r="K39" s="120">
        <v>326.5</v>
      </c>
      <c r="L39" s="121">
        <v>73.72</v>
      </c>
      <c r="M39" s="121">
        <v>51.19</v>
      </c>
      <c r="N39" s="121">
        <v>52.48</v>
      </c>
      <c r="O39" s="32">
        <v>5.5490000000000004</v>
      </c>
      <c r="P39" s="22" t="s">
        <v>414</v>
      </c>
      <c r="Q39" s="16">
        <v>25</v>
      </c>
      <c r="R39" s="16">
        <v>30</v>
      </c>
      <c r="S39" s="16">
        <v>50</v>
      </c>
      <c r="T39" s="109"/>
      <c r="U39" s="109"/>
      <c r="V39" s="109"/>
      <c r="W39" s="109">
        <v>105</v>
      </c>
      <c r="X39" s="94">
        <v>13150</v>
      </c>
      <c r="Y39" s="94">
        <v>14100</v>
      </c>
      <c r="Z39" s="94">
        <v>15000</v>
      </c>
      <c r="AA39" s="94">
        <v>16900</v>
      </c>
      <c r="AB39" s="94">
        <v>18800</v>
      </c>
      <c r="AC39" s="105">
        <v>28000</v>
      </c>
      <c r="AD39" s="105">
        <v>39500</v>
      </c>
      <c r="AE39" s="105">
        <v>60000</v>
      </c>
      <c r="AF39" s="105">
        <v>75000</v>
      </c>
      <c r="AG39" s="105">
        <v>95000</v>
      </c>
      <c r="AH39" s="94"/>
      <c r="AI39" s="94"/>
      <c r="AJ39" s="94"/>
      <c r="AK39" s="32"/>
      <c r="AL39" s="113">
        <v>1501800</v>
      </c>
      <c r="AM39" s="95">
        <v>10000</v>
      </c>
      <c r="AN39" s="95">
        <v>4</v>
      </c>
      <c r="AO39" s="96">
        <v>20000</v>
      </c>
      <c r="AP39" s="96">
        <v>1</v>
      </c>
      <c r="AQ39" s="97">
        <v>60000</v>
      </c>
      <c r="AR39" s="134">
        <v>1</v>
      </c>
      <c r="AS39" s="135"/>
      <c r="AT39" s="135"/>
      <c r="AU39" s="113">
        <v>480000</v>
      </c>
      <c r="AV39" s="113">
        <v>1981800</v>
      </c>
      <c r="AW39" s="113">
        <v>340</v>
      </c>
      <c r="AX39" s="113"/>
      <c r="AY39" s="113">
        <v>437</v>
      </c>
      <c r="AZ39" s="113">
        <v>1</v>
      </c>
      <c r="BA39" s="113" t="s">
        <v>633</v>
      </c>
      <c r="BB39" s="32"/>
      <c r="BC39" s="32"/>
      <c r="BD39" s="32">
        <v>1</v>
      </c>
      <c r="BE39" s="32">
        <v>1</v>
      </c>
      <c r="BF39" s="32"/>
      <c r="BG39" s="32">
        <v>1</v>
      </c>
      <c r="BH39" s="32"/>
      <c r="BI39" s="32"/>
      <c r="BJ39" s="32"/>
      <c r="BK39" s="32"/>
      <c r="BL39" s="32"/>
      <c r="BM39" s="32"/>
      <c r="BN39" s="32"/>
      <c r="BO39" s="32"/>
      <c r="BP39" s="32"/>
      <c r="BQ39" s="32"/>
      <c r="BR39" s="32"/>
      <c r="BS39" s="32"/>
      <c r="BT39" s="32"/>
      <c r="BU39" s="32">
        <v>1</v>
      </c>
      <c r="BV39" s="81" t="s">
        <v>744</v>
      </c>
      <c r="BW39" s="113"/>
      <c r="BX39" s="113"/>
      <c r="BY39" s="113"/>
      <c r="BZ39" s="113"/>
      <c r="CA39" s="113"/>
      <c r="CB39" s="113"/>
      <c r="CC39" s="113"/>
      <c r="CD39" s="32"/>
      <c r="CE39" s="32"/>
      <c r="CF39" s="32"/>
      <c r="CG39" s="32"/>
      <c r="CH39" s="32"/>
      <c r="CI39" s="32"/>
      <c r="CJ39" s="32"/>
      <c r="CK39" s="32"/>
      <c r="CL39" s="32"/>
      <c r="CM39" s="32"/>
      <c r="CN39" s="32"/>
    </row>
    <row r="40" spans="1:92" ht="21" customHeight="1">
      <c r="A40" s="109">
        <v>38</v>
      </c>
      <c r="B40" s="23" t="s">
        <v>1131</v>
      </c>
      <c r="C40" s="111" t="s">
        <v>113</v>
      </c>
      <c r="D40" s="110" t="s">
        <v>273</v>
      </c>
      <c r="E40" s="111" t="s">
        <v>319</v>
      </c>
      <c r="F40" s="111" t="s">
        <v>95</v>
      </c>
      <c r="G40" s="18" t="s">
        <v>89</v>
      </c>
      <c r="H40" s="112" t="s">
        <v>296</v>
      </c>
      <c r="I40" s="13">
        <v>2500</v>
      </c>
      <c r="J40" s="14">
        <v>2487</v>
      </c>
      <c r="K40" s="120">
        <v>340.3</v>
      </c>
      <c r="L40" s="121">
        <v>75.55</v>
      </c>
      <c r="M40" s="121">
        <v>49.28</v>
      </c>
      <c r="N40" s="121">
        <v>50.12</v>
      </c>
      <c r="O40" s="32">
        <v>5.1660000000000004</v>
      </c>
      <c r="P40" s="22" t="s">
        <v>414</v>
      </c>
      <c r="Q40" s="16">
        <v>30</v>
      </c>
      <c r="R40" s="16">
        <v>18</v>
      </c>
      <c r="S40" s="16">
        <v>21</v>
      </c>
      <c r="T40" s="16">
        <v>32</v>
      </c>
      <c r="U40" s="109"/>
      <c r="V40" s="109"/>
      <c r="W40" s="109">
        <v>101</v>
      </c>
      <c r="X40" s="94">
        <v>9400</v>
      </c>
      <c r="Y40" s="94">
        <v>10300</v>
      </c>
      <c r="Z40" s="94">
        <v>12200</v>
      </c>
      <c r="AA40" s="94">
        <v>15000</v>
      </c>
      <c r="AB40" s="94">
        <v>22500</v>
      </c>
      <c r="AC40" s="94">
        <v>30000</v>
      </c>
      <c r="AD40" s="94">
        <v>42000</v>
      </c>
      <c r="AE40" s="94">
        <v>51500</v>
      </c>
      <c r="AF40" s="105">
        <v>56500</v>
      </c>
      <c r="AG40" s="105">
        <v>62000</v>
      </c>
      <c r="AH40" s="105">
        <v>64000</v>
      </c>
      <c r="AI40" s="94"/>
      <c r="AJ40" s="94"/>
      <c r="AK40" s="32"/>
      <c r="AL40" s="113"/>
      <c r="AM40" s="95">
        <v>10000</v>
      </c>
      <c r="AN40" s="95">
        <v>6</v>
      </c>
      <c r="AO40" s="96">
        <v>20000</v>
      </c>
      <c r="AP40" s="96">
        <v>3</v>
      </c>
      <c r="AQ40" s="97">
        <v>60000</v>
      </c>
      <c r="AR40" s="134">
        <v>1</v>
      </c>
      <c r="AS40" s="135"/>
      <c r="AT40" s="135"/>
      <c r="AU40" s="113">
        <v>720000</v>
      </c>
      <c r="AV40" s="113"/>
      <c r="AW40" s="113">
        <v>354</v>
      </c>
      <c r="AX40" s="113"/>
      <c r="AY40" s="113">
        <v>461</v>
      </c>
      <c r="AZ40" s="113"/>
      <c r="BA40" s="113" t="s">
        <v>633</v>
      </c>
      <c r="BB40" s="32"/>
      <c r="BC40" s="32"/>
      <c r="BD40" s="32"/>
      <c r="BE40" s="32">
        <v>1</v>
      </c>
      <c r="BF40" s="32"/>
      <c r="BG40" s="32">
        <v>1</v>
      </c>
      <c r="BH40" s="32"/>
      <c r="BI40" s="32"/>
      <c r="BJ40" s="32"/>
      <c r="BK40" s="32"/>
      <c r="BL40" s="32"/>
      <c r="BM40" s="32"/>
      <c r="BN40" s="32"/>
      <c r="BO40" s="32"/>
      <c r="BP40" s="32"/>
      <c r="BQ40" s="32" t="s">
        <v>800</v>
      </c>
      <c r="BR40" s="32"/>
      <c r="BS40" s="32"/>
      <c r="BT40" s="32"/>
      <c r="BU40" s="32">
        <v>1</v>
      </c>
      <c r="BV40" s="81" t="s">
        <v>113</v>
      </c>
      <c r="BW40" s="113"/>
      <c r="BX40" s="113">
        <v>1</v>
      </c>
      <c r="BY40" s="113">
        <v>1</v>
      </c>
      <c r="BZ40" s="113">
        <v>5</v>
      </c>
      <c r="CA40" s="113"/>
      <c r="CB40" s="113"/>
      <c r="CC40" s="113"/>
      <c r="CD40" s="32"/>
      <c r="CE40" s="73"/>
      <c r="CF40" s="73"/>
      <c r="CG40" s="73"/>
      <c r="CH40" s="73"/>
      <c r="CI40" s="73"/>
      <c r="CJ40" s="73"/>
      <c r="CK40" s="73"/>
      <c r="CL40" s="32"/>
      <c r="CM40" s="32"/>
      <c r="CN40" s="32"/>
    </row>
    <row r="41" spans="1:92" ht="21" customHeight="1">
      <c r="A41" s="109">
        <v>39</v>
      </c>
      <c r="B41" s="23" t="s">
        <v>114</v>
      </c>
      <c r="C41" s="111" t="s">
        <v>116</v>
      </c>
      <c r="D41" s="110" t="s">
        <v>115</v>
      </c>
      <c r="E41" s="111" t="s">
        <v>320</v>
      </c>
      <c r="F41" s="111" t="s">
        <v>95</v>
      </c>
      <c r="G41" s="18" t="s">
        <v>89</v>
      </c>
      <c r="H41" s="112" t="s">
        <v>296</v>
      </c>
      <c r="I41" s="13">
        <v>2548</v>
      </c>
      <c r="J41" s="14">
        <v>2531</v>
      </c>
      <c r="K41" s="120">
        <v>299.7</v>
      </c>
      <c r="L41" s="121">
        <v>75.06</v>
      </c>
      <c r="M41" s="121">
        <v>58.97</v>
      </c>
      <c r="N41" s="121">
        <v>52.93</v>
      </c>
      <c r="O41" s="32">
        <v>5.93</v>
      </c>
      <c r="P41" s="22" t="s">
        <v>414</v>
      </c>
      <c r="Q41" s="16">
        <v>30</v>
      </c>
      <c r="R41" s="16">
        <v>18</v>
      </c>
      <c r="S41" s="16">
        <v>21</v>
      </c>
      <c r="T41" s="16">
        <v>32</v>
      </c>
      <c r="U41" s="109"/>
      <c r="V41" s="109"/>
      <c r="W41" s="109">
        <v>101</v>
      </c>
      <c r="X41" s="105">
        <v>6000</v>
      </c>
      <c r="Y41" s="105">
        <v>8000</v>
      </c>
      <c r="Z41" s="105">
        <v>9000</v>
      </c>
      <c r="AA41" s="105">
        <v>10000</v>
      </c>
      <c r="AB41" s="105">
        <v>12000</v>
      </c>
      <c r="AC41" s="105">
        <v>18000</v>
      </c>
      <c r="AD41" s="105">
        <v>25000</v>
      </c>
      <c r="AE41" s="105">
        <v>37000</v>
      </c>
      <c r="AF41" s="105">
        <v>46000</v>
      </c>
      <c r="AG41" s="105">
        <v>48000</v>
      </c>
      <c r="AH41" s="105">
        <v>50000</v>
      </c>
      <c r="AI41" s="94"/>
      <c r="AJ41" s="94"/>
      <c r="AK41" s="32"/>
      <c r="AL41" s="113">
        <v>1076000</v>
      </c>
      <c r="AM41" s="95">
        <v>10000</v>
      </c>
      <c r="AN41" s="95">
        <v>6</v>
      </c>
      <c r="AO41" s="96">
        <v>20000</v>
      </c>
      <c r="AP41" s="96">
        <v>3</v>
      </c>
      <c r="AQ41" s="97">
        <v>60000</v>
      </c>
      <c r="AR41" s="134">
        <v>1</v>
      </c>
      <c r="AS41" s="135"/>
      <c r="AT41" s="135"/>
      <c r="AU41" s="113">
        <v>720000</v>
      </c>
      <c r="AV41" s="113">
        <v>1796000</v>
      </c>
      <c r="AW41" s="113">
        <v>313</v>
      </c>
      <c r="AX41" s="113"/>
      <c r="AY41" s="113">
        <v>400</v>
      </c>
      <c r="AZ41" s="113">
        <v>1</v>
      </c>
      <c r="BA41" s="113" t="s">
        <v>633</v>
      </c>
      <c r="BB41" s="32"/>
      <c r="BC41" s="32"/>
      <c r="BD41" s="32"/>
      <c r="BE41" s="32">
        <v>1</v>
      </c>
      <c r="BF41" s="32"/>
      <c r="BG41" s="32">
        <v>1</v>
      </c>
      <c r="BH41" s="32"/>
      <c r="BI41" s="32"/>
      <c r="BJ41" s="32"/>
      <c r="BK41" s="32"/>
      <c r="BL41" s="32"/>
      <c r="BM41" s="32"/>
      <c r="BN41" s="32"/>
      <c r="BO41" s="32"/>
      <c r="BP41" s="32"/>
      <c r="BQ41" s="32"/>
      <c r="BR41" s="32"/>
      <c r="BS41" s="32"/>
      <c r="BT41" s="32"/>
      <c r="BU41" s="32">
        <v>1</v>
      </c>
      <c r="BV41" s="81" t="s">
        <v>1132</v>
      </c>
      <c r="BW41" s="113"/>
      <c r="BX41" s="113"/>
      <c r="BY41" s="113">
        <v>1</v>
      </c>
      <c r="BZ41" s="113">
        <v>6</v>
      </c>
      <c r="CA41" s="113"/>
      <c r="CB41" s="113"/>
      <c r="CC41" s="113"/>
      <c r="CD41" s="32"/>
      <c r="CE41" s="32"/>
      <c r="CF41" s="32"/>
      <c r="CG41" s="32"/>
      <c r="CH41" s="32"/>
      <c r="CI41" s="32"/>
      <c r="CJ41" s="32"/>
      <c r="CK41" s="32"/>
      <c r="CL41" s="32"/>
      <c r="CM41" s="32"/>
      <c r="CN41" s="32"/>
    </row>
    <row r="42" spans="1:92" ht="21" customHeight="1">
      <c r="A42" s="109">
        <v>40</v>
      </c>
      <c r="B42" s="23" t="s">
        <v>117</v>
      </c>
      <c r="C42" s="111" t="s">
        <v>603</v>
      </c>
      <c r="D42" s="110" t="s">
        <v>99</v>
      </c>
      <c r="E42" s="111" t="s">
        <v>321</v>
      </c>
      <c r="F42" s="111" t="s">
        <v>95</v>
      </c>
      <c r="G42" s="18" t="s">
        <v>89</v>
      </c>
      <c r="H42" s="112" t="s">
        <v>299</v>
      </c>
      <c r="I42" s="13">
        <v>2589</v>
      </c>
      <c r="J42" s="14">
        <v>2571</v>
      </c>
      <c r="K42" s="120">
        <v>315</v>
      </c>
      <c r="L42" s="121">
        <v>75.37</v>
      </c>
      <c r="M42" s="121">
        <v>41.56</v>
      </c>
      <c r="N42" s="121">
        <v>38.33</v>
      </c>
      <c r="O42" s="32">
        <v>4.4829999999999997</v>
      </c>
      <c r="P42" s="22" t="s">
        <v>414</v>
      </c>
      <c r="Q42" s="16">
        <v>35</v>
      </c>
      <c r="R42" s="16">
        <v>18</v>
      </c>
      <c r="S42" s="16">
        <v>21</v>
      </c>
      <c r="T42" s="16">
        <v>32</v>
      </c>
      <c r="U42" s="109"/>
      <c r="V42" s="109"/>
      <c r="W42" s="109">
        <v>106</v>
      </c>
      <c r="X42" s="105">
        <v>9400</v>
      </c>
      <c r="Y42" s="105">
        <v>10300</v>
      </c>
      <c r="Z42" s="105">
        <v>12200</v>
      </c>
      <c r="AA42" s="105">
        <v>15000</v>
      </c>
      <c r="AB42" s="105">
        <v>22500</v>
      </c>
      <c r="AC42" s="105">
        <v>30000</v>
      </c>
      <c r="AD42" s="105">
        <v>42000</v>
      </c>
      <c r="AE42" s="105">
        <v>51500</v>
      </c>
      <c r="AF42" s="105">
        <v>56500</v>
      </c>
      <c r="AG42" s="105">
        <v>62000</v>
      </c>
      <c r="AH42" s="105">
        <v>64000</v>
      </c>
      <c r="AI42" s="94"/>
      <c r="AJ42" s="94"/>
      <c r="AK42" s="32"/>
      <c r="AL42" s="113"/>
      <c r="AM42" s="95">
        <v>10000</v>
      </c>
      <c r="AN42" s="95">
        <v>6</v>
      </c>
      <c r="AO42" s="96">
        <v>20000</v>
      </c>
      <c r="AP42" s="96">
        <v>3</v>
      </c>
      <c r="AQ42" s="97">
        <v>60000</v>
      </c>
      <c r="AR42" s="134">
        <v>1</v>
      </c>
      <c r="AS42" s="135"/>
      <c r="AT42" s="135"/>
      <c r="AU42" s="113">
        <v>720000</v>
      </c>
      <c r="AV42" s="113"/>
      <c r="AW42" s="113">
        <v>328</v>
      </c>
      <c r="AX42" s="113"/>
      <c r="AY42" s="113">
        <v>418</v>
      </c>
      <c r="AZ42" s="113">
        <v>3</v>
      </c>
      <c r="BA42" s="113" t="s">
        <v>635</v>
      </c>
      <c r="BB42" s="32"/>
      <c r="BC42" s="32"/>
      <c r="BD42" s="32">
        <v>1</v>
      </c>
      <c r="BE42" s="32"/>
      <c r="BF42" s="32"/>
      <c r="BG42" s="32">
        <v>1</v>
      </c>
      <c r="BH42" s="32"/>
      <c r="BI42" s="32"/>
      <c r="BJ42" s="32"/>
      <c r="BK42" s="32"/>
      <c r="BL42" s="32"/>
      <c r="BM42" s="32"/>
      <c r="BN42" s="32"/>
      <c r="BO42" s="32"/>
      <c r="BP42" s="32"/>
      <c r="BQ42" s="32" t="s">
        <v>800</v>
      </c>
      <c r="BR42" s="32"/>
      <c r="BS42" s="32" t="s">
        <v>649</v>
      </c>
      <c r="BT42" s="32"/>
      <c r="BU42" s="32"/>
      <c r="BV42" s="81" t="s">
        <v>747</v>
      </c>
      <c r="BW42" s="113"/>
      <c r="BX42" s="113"/>
      <c r="BY42" s="113"/>
      <c r="BZ42" s="113"/>
      <c r="CA42" s="113"/>
      <c r="CB42" s="113"/>
      <c r="CC42" s="113"/>
      <c r="CD42" s="32"/>
      <c r="CE42" s="32"/>
      <c r="CF42" s="32"/>
      <c r="CG42" s="32"/>
      <c r="CH42" s="32"/>
      <c r="CI42" s="32"/>
      <c r="CJ42" s="32"/>
      <c r="CK42" s="32"/>
      <c r="CL42" s="32"/>
      <c r="CM42" s="32"/>
      <c r="CN42" s="32"/>
    </row>
    <row r="43" spans="1:92" ht="21" customHeight="1">
      <c r="A43" s="109">
        <v>41</v>
      </c>
      <c r="B43" s="23" t="s">
        <v>119</v>
      </c>
      <c r="C43" s="111" t="s">
        <v>120</v>
      </c>
      <c r="D43" s="33" t="s">
        <v>763</v>
      </c>
      <c r="E43" s="111" t="s">
        <v>322</v>
      </c>
      <c r="F43" s="111" t="s">
        <v>95</v>
      </c>
      <c r="G43" s="18" t="s">
        <v>89</v>
      </c>
      <c r="H43" s="112" t="s">
        <v>300</v>
      </c>
      <c r="I43" s="13">
        <v>2698</v>
      </c>
      <c r="J43" s="14">
        <v>2627</v>
      </c>
      <c r="K43" s="120">
        <v>285.10000000000002</v>
      </c>
      <c r="L43" s="121">
        <v>82.09</v>
      </c>
      <c r="M43" s="121">
        <v>68.41</v>
      </c>
      <c r="N43" s="121">
        <v>62.55</v>
      </c>
      <c r="O43" s="32">
        <v>7.98</v>
      </c>
      <c r="P43" s="22" t="s">
        <v>414</v>
      </c>
      <c r="Q43" s="16">
        <v>35</v>
      </c>
      <c r="R43" s="16">
        <v>18</v>
      </c>
      <c r="S43" s="16">
        <v>21</v>
      </c>
      <c r="T43" s="16">
        <v>32</v>
      </c>
      <c r="U43" s="109"/>
      <c r="V43" s="109"/>
      <c r="W43" s="109">
        <v>106</v>
      </c>
      <c r="X43" s="96">
        <v>8000</v>
      </c>
      <c r="Y43" s="96">
        <v>12000</v>
      </c>
      <c r="Z43" s="96">
        <v>15000</v>
      </c>
      <c r="AA43" s="96">
        <v>19000</v>
      </c>
      <c r="AB43" s="96">
        <v>28000</v>
      </c>
      <c r="AC43" s="96">
        <v>37000</v>
      </c>
      <c r="AD43" s="96">
        <v>52000</v>
      </c>
      <c r="AE43" s="96">
        <v>64000</v>
      </c>
      <c r="AF43" s="96">
        <v>70000</v>
      </c>
      <c r="AG43" s="105">
        <v>76000</v>
      </c>
      <c r="AH43" s="105">
        <v>79000</v>
      </c>
      <c r="AI43" s="94"/>
      <c r="AJ43" s="94"/>
      <c r="AK43" s="32"/>
      <c r="AL43" s="113">
        <v>1840000</v>
      </c>
      <c r="AM43" s="95">
        <v>12500</v>
      </c>
      <c r="AN43" s="95">
        <v>6</v>
      </c>
      <c r="AO43" s="96">
        <v>25000</v>
      </c>
      <c r="AP43" s="96">
        <v>3</v>
      </c>
      <c r="AQ43" s="97">
        <v>75000</v>
      </c>
      <c r="AR43" s="134">
        <v>1</v>
      </c>
      <c r="AS43" s="135"/>
      <c r="AT43" s="135"/>
      <c r="AU43" s="113">
        <v>900000</v>
      </c>
      <c r="AV43" s="113">
        <v>2740000</v>
      </c>
      <c r="AW43" s="113">
        <v>297</v>
      </c>
      <c r="AX43" s="113"/>
      <c r="AY43" s="113">
        <v>381</v>
      </c>
      <c r="AZ43" s="113">
        <v>1</v>
      </c>
      <c r="BA43" s="113" t="s">
        <v>635</v>
      </c>
      <c r="BB43" s="32"/>
      <c r="BC43" s="32"/>
      <c r="BD43" s="32"/>
      <c r="BE43" s="32"/>
      <c r="BF43" s="32"/>
      <c r="BG43" s="32">
        <v>1</v>
      </c>
      <c r="BH43" s="32"/>
      <c r="BI43" s="32"/>
      <c r="BJ43" s="32">
        <v>1</v>
      </c>
      <c r="BK43" s="32"/>
      <c r="BL43" s="32"/>
      <c r="BM43" s="32"/>
      <c r="BN43" s="32"/>
      <c r="BO43" s="32"/>
      <c r="BP43" s="32"/>
      <c r="BQ43" s="32"/>
      <c r="BR43" s="32"/>
      <c r="BS43" s="32"/>
      <c r="BT43" s="32"/>
      <c r="BU43" s="32"/>
      <c r="BV43" s="81" t="s">
        <v>1133</v>
      </c>
      <c r="BW43" s="113"/>
      <c r="BX43" s="113"/>
      <c r="BY43" s="113">
        <v>1</v>
      </c>
      <c r="BZ43" s="113">
        <v>5</v>
      </c>
      <c r="CA43" s="113"/>
      <c r="CB43" s="113"/>
      <c r="CC43" s="113"/>
      <c r="CD43" s="32"/>
      <c r="CE43" s="73"/>
      <c r="CF43" s="73"/>
      <c r="CG43" s="73"/>
      <c r="CH43" s="73"/>
      <c r="CI43" s="73"/>
      <c r="CJ43" s="73"/>
      <c r="CK43" s="73"/>
      <c r="CL43" s="32"/>
      <c r="CM43" s="32"/>
      <c r="CN43" s="32"/>
    </row>
    <row r="44" spans="1:92" ht="21" customHeight="1">
      <c r="A44" s="109">
        <v>42</v>
      </c>
      <c r="B44" s="23" t="s">
        <v>121</v>
      </c>
      <c r="C44" s="111" t="s">
        <v>122</v>
      </c>
      <c r="D44" s="33" t="s">
        <v>764</v>
      </c>
      <c r="E44" s="111" t="s">
        <v>323</v>
      </c>
      <c r="F44" s="111" t="s">
        <v>95</v>
      </c>
      <c r="G44" s="18" t="s">
        <v>89</v>
      </c>
      <c r="H44" s="112" t="s">
        <v>296</v>
      </c>
      <c r="I44" s="13">
        <v>2635</v>
      </c>
      <c r="J44" s="14">
        <v>2635</v>
      </c>
      <c r="K44" s="120">
        <v>299.39999999999998</v>
      </c>
      <c r="L44" s="121">
        <v>84.62</v>
      </c>
      <c r="M44" s="121">
        <v>69.2</v>
      </c>
      <c r="N44" s="121">
        <v>63.68</v>
      </c>
      <c r="O44" s="32">
        <v>7.7830000000000004</v>
      </c>
      <c r="P44" s="22" t="s">
        <v>414</v>
      </c>
      <c r="Q44" s="16">
        <v>35</v>
      </c>
      <c r="R44" s="16">
        <v>20</v>
      </c>
      <c r="S44" s="16">
        <v>24</v>
      </c>
      <c r="T44" s="16">
        <v>32</v>
      </c>
      <c r="U44" s="109"/>
      <c r="V44" s="109"/>
      <c r="W44" s="109">
        <v>111</v>
      </c>
      <c r="X44" s="94"/>
      <c r="Y44" s="94"/>
      <c r="Z44" s="94"/>
      <c r="AA44" s="94"/>
      <c r="AB44" s="94"/>
      <c r="AC44" s="94"/>
      <c r="AD44" s="94"/>
      <c r="AE44" s="94"/>
      <c r="AF44" s="94"/>
      <c r="AG44" s="94"/>
      <c r="AH44" s="94"/>
      <c r="AI44" s="94"/>
      <c r="AJ44" s="94"/>
      <c r="AK44" s="32"/>
      <c r="AL44" s="113"/>
      <c r="AM44" s="95"/>
      <c r="AN44" s="95">
        <v>6</v>
      </c>
      <c r="AO44" s="96"/>
      <c r="AP44" s="96">
        <v>3</v>
      </c>
      <c r="AQ44" s="97"/>
      <c r="AR44" s="134">
        <v>1</v>
      </c>
      <c r="AS44" s="135"/>
      <c r="AT44" s="135"/>
      <c r="AU44" s="113"/>
      <c r="AV44" s="113"/>
      <c r="AW44" s="113">
        <v>312</v>
      </c>
      <c r="AX44" s="113"/>
      <c r="AY44" s="113">
        <v>399</v>
      </c>
      <c r="AZ44" s="113"/>
      <c r="BA44" s="113" t="s">
        <v>604</v>
      </c>
      <c r="BB44" s="32"/>
      <c r="BC44" s="32"/>
      <c r="BD44" s="32"/>
      <c r="BE44" s="32"/>
      <c r="BF44" s="32">
        <v>1</v>
      </c>
      <c r="BG44" s="32"/>
      <c r="BH44" s="32"/>
      <c r="BI44" s="32"/>
      <c r="BJ44" s="32"/>
      <c r="BK44" s="32"/>
      <c r="BL44" s="32"/>
      <c r="BM44" s="32"/>
      <c r="BN44" s="32"/>
      <c r="BO44" s="32"/>
      <c r="BP44" s="32"/>
      <c r="BQ44" s="32" t="s">
        <v>800</v>
      </c>
      <c r="BR44" s="32"/>
      <c r="BS44" s="32"/>
      <c r="BT44" s="32"/>
      <c r="BU44" s="32"/>
      <c r="BV44" s="81" t="s">
        <v>122</v>
      </c>
      <c r="BW44" s="113"/>
      <c r="BX44" s="113">
        <v>1</v>
      </c>
      <c r="BY44" s="113">
        <v>1</v>
      </c>
      <c r="BZ44" s="113">
        <v>5</v>
      </c>
      <c r="CA44" s="113"/>
      <c r="CB44" s="113"/>
      <c r="CC44" s="113"/>
      <c r="CD44" s="32"/>
      <c r="CE44" s="32"/>
      <c r="CF44" s="32"/>
      <c r="CG44" s="32"/>
      <c r="CH44" s="32"/>
      <c r="CI44" s="32"/>
      <c r="CJ44" s="32"/>
      <c r="CK44" s="32"/>
      <c r="CL44" s="32"/>
      <c r="CM44" s="32"/>
      <c r="CN44" s="32"/>
    </row>
    <row r="45" spans="1:92" ht="21" customHeight="1">
      <c r="A45" s="109">
        <v>43</v>
      </c>
      <c r="B45" s="23" t="s">
        <v>125</v>
      </c>
      <c r="C45" s="111" t="s">
        <v>126</v>
      </c>
      <c r="D45" s="110" t="s">
        <v>126</v>
      </c>
      <c r="E45" s="111" t="s">
        <v>324</v>
      </c>
      <c r="F45" s="111" t="s">
        <v>95</v>
      </c>
      <c r="G45" s="18" t="s">
        <v>89</v>
      </c>
      <c r="H45" s="112" t="s">
        <v>300</v>
      </c>
      <c r="I45" s="13">
        <v>2751</v>
      </c>
      <c r="J45" s="14">
        <v>2641</v>
      </c>
      <c r="K45" s="126">
        <v>338.7</v>
      </c>
      <c r="L45" s="127">
        <v>69.28</v>
      </c>
      <c r="M45" s="127">
        <v>47.31</v>
      </c>
      <c r="N45" s="127">
        <v>37.49</v>
      </c>
      <c r="O45" s="17">
        <v>4.3</v>
      </c>
      <c r="P45" s="22" t="s">
        <v>414</v>
      </c>
      <c r="Q45" s="17">
        <v>35</v>
      </c>
      <c r="R45" s="16">
        <v>18</v>
      </c>
      <c r="S45" s="16">
        <v>21</v>
      </c>
      <c r="T45" s="16">
        <v>32</v>
      </c>
      <c r="U45" s="109"/>
      <c r="V45" s="109"/>
      <c r="W45" s="109">
        <v>106</v>
      </c>
      <c r="X45" s="96">
        <v>8000</v>
      </c>
      <c r="Y45" s="96">
        <v>12000</v>
      </c>
      <c r="Z45" s="96">
        <v>15000</v>
      </c>
      <c r="AA45" s="96">
        <v>19000</v>
      </c>
      <c r="AB45" s="96">
        <v>28000</v>
      </c>
      <c r="AC45" s="96">
        <v>37000</v>
      </c>
      <c r="AD45" s="96">
        <v>52000</v>
      </c>
      <c r="AE45" s="96">
        <v>64000</v>
      </c>
      <c r="AF45" s="96">
        <v>70000</v>
      </c>
      <c r="AG45" s="94">
        <v>76000</v>
      </c>
      <c r="AH45" s="94">
        <v>79000</v>
      </c>
      <c r="AI45" s="94"/>
      <c r="AJ45" s="94"/>
      <c r="AK45" s="32"/>
      <c r="AL45" s="113">
        <v>1840000</v>
      </c>
      <c r="AM45" s="95">
        <v>12500</v>
      </c>
      <c r="AN45" s="95">
        <v>6</v>
      </c>
      <c r="AO45" s="96">
        <v>25000</v>
      </c>
      <c r="AP45" s="96">
        <v>3</v>
      </c>
      <c r="AQ45" s="97">
        <v>75000</v>
      </c>
      <c r="AR45" s="134">
        <v>1</v>
      </c>
      <c r="AS45" s="135"/>
      <c r="AT45" s="135"/>
      <c r="AU45" s="113">
        <v>900000</v>
      </c>
      <c r="AV45" s="113">
        <v>2740000</v>
      </c>
      <c r="AW45" s="113">
        <v>352</v>
      </c>
      <c r="AX45" s="113"/>
      <c r="AY45" s="113">
        <v>458</v>
      </c>
      <c r="AZ45" s="113">
        <v>7</v>
      </c>
      <c r="BA45" s="113" t="s">
        <v>658</v>
      </c>
      <c r="BB45" s="32"/>
      <c r="BC45" s="32"/>
      <c r="BD45" s="32"/>
      <c r="BE45" s="32"/>
      <c r="BF45" s="32"/>
      <c r="BG45" s="32"/>
      <c r="BH45" s="32"/>
      <c r="BI45" s="32"/>
      <c r="BJ45" s="32">
        <v>1</v>
      </c>
      <c r="BK45" s="32"/>
      <c r="BL45" s="32"/>
      <c r="BM45" s="32"/>
      <c r="BN45" s="32"/>
      <c r="BO45" s="32"/>
      <c r="BP45" s="32"/>
      <c r="BQ45" s="32"/>
      <c r="BR45" s="32"/>
      <c r="BS45" s="32"/>
      <c r="BT45" s="32"/>
      <c r="BU45" s="32"/>
      <c r="BV45" s="81"/>
      <c r="BW45" s="113"/>
      <c r="BX45" s="113"/>
      <c r="BY45" s="113">
        <v>1</v>
      </c>
      <c r="BZ45" s="113">
        <v>5</v>
      </c>
      <c r="CA45" s="113"/>
      <c r="CB45" s="113"/>
      <c r="CC45" s="113"/>
      <c r="CD45" s="32"/>
      <c r="CE45" s="32"/>
      <c r="CF45" s="32"/>
      <c r="CG45" s="32"/>
      <c r="CH45" s="32"/>
      <c r="CI45" s="32"/>
      <c r="CJ45" s="32"/>
      <c r="CK45" s="32"/>
      <c r="CL45" s="32"/>
      <c r="CM45" s="32"/>
      <c r="CN45" s="32"/>
    </row>
    <row r="46" spans="1:92" ht="21" customHeight="1">
      <c r="A46" s="109">
        <v>44</v>
      </c>
      <c r="B46" s="23" t="s">
        <v>127</v>
      </c>
      <c r="C46" s="111" t="s">
        <v>128</v>
      </c>
      <c r="D46" s="110" t="s">
        <v>115</v>
      </c>
      <c r="E46" s="111" t="s">
        <v>325</v>
      </c>
      <c r="F46" s="111" t="s">
        <v>95</v>
      </c>
      <c r="G46" s="18" t="s">
        <v>89</v>
      </c>
      <c r="H46" s="112" t="s">
        <v>301</v>
      </c>
      <c r="I46" s="13">
        <v>2909</v>
      </c>
      <c r="J46" s="14">
        <v>2642</v>
      </c>
      <c r="K46" s="126">
        <v>321.7</v>
      </c>
      <c r="L46" s="127">
        <v>75.319999999999993</v>
      </c>
      <c r="M46" s="127">
        <v>69.599999999999994</v>
      </c>
      <c r="N46" s="127">
        <v>66.63</v>
      </c>
      <c r="O46" s="17">
        <v>7.7</v>
      </c>
      <c r="P46" s="22" t="s">
        <v>414</v>
      </c>
      <c r="Q46" s="17">
        <v>35</v>
      </c>
      <c r="R46" s="16">
        <v>18</v>
      </c>
      <c r="S46" s="16">
        <v>21</v>
      </c>
      <c r="T46" s="16">
        <v>32</v>
      </c>
      <c r="U46" s="109"/>
      <c r="V46" s="109"/>
      <c r="W46" s="109">
        <v>106</v>
      </c>
      <c r="X46" s="105">
        <v>11550</v>
      </c>
      <c r="Y46" s="105">
        <v>12700</v>
      </c>
      <c r="Z46" s="105">
        <v>15000</v>
      </c>
      <c r="AA46" s="105">
        <v>18500</v>
      </c>
      <c r="AB46" s="105">
        <v>27800</v>
      </c>
      <c r="AC46" s="105">
        <v>37000</v>
      </c>
      <c r="AD46" s="105">
        <v>52000</v>
      </c>
      <c r="AE46" s="105">
        <v>63500</v>
      </c>
      <c r="AF46" s="105">
        <v>69500</v>
      </c>
      <c r="AG46" s="105">
        <v>76000</v>
      </c>
      <c r="AH46" s="105">
        <v>79000</v>
      </c>
      <c r="AI46" s="94"/>
      <c r="AJ46" s="94"/>
      <c r="AK46" s="32"/>
      <c r="AL46" s="113">
        <v>1850200</v>
      </c>
      <c r="AM46" s="95">
        <v>12500</v>
      </c>
      <c r="AN46" s="95">
        <v>6</v>
      </c>
      <c r="AO46" s="96">
        <v>25000</v>
      </c>
      <c r="AP46" s="96">
        <v>3</v>
      </c>
      <c r="AQ46" s="97">
        <v>75000</v>
      </c>
      <c r="AR46" s="134">
        <v>1</v>
      </c>
      <c r="AS46" s="135"/>
      <c r="AT46" s="135"/>
      <c r="AU46" s="113">
        <v>900000</v>
      </c>
      <c r="AV46" s="113">
        <v>2750200</v>
      </c>
      <c r="AW46" s="113">
        <v>335</v>
      </c>
      <c r="AX46" s="113"/>
      <c r="AY46" s="113">
        <v>429</v>
      </c>
      <c r="AZ46" s="113"/>
      <c r="BA46" s="113" t="s">
        <v>708</v>
      </c>
      <c r="BB46" s="32"/>
      <c r="BC46" s="32"/>
      <c r="BD46" s="32"/>
      <c r="BE46" s="32">
        <v>1</v>
      </c>
      <c r="BF46" s="32"/>
      <c r="BG46" s="32">
        <v>1</v>
      </c>
      <c r="BH46" s="32"/>
      <c r="BI46" s="32"/>
      <c r="BJ46" s="32"/>
      <c r="BK46" s="32"/>
      <c r="BL46" s="32"/>
      <c r="BM46" s="32"/>
      <c r="BN46" s="32"/>
      <c r="BO46" s="32"/>
      <c r="BP46" s="32"/>
      <c r="BQ46" s="84" t="s">
        <v>799</v>
      </c>
      <c r="BR46" s="32"/>
      <c r="BS46" s="32"/>
      <c r="BT46" s="32"/>
      <c r="BU46" s="32">
        <v>1</v>
      </c>
      <c r="BV46" s="81" t="s">
        <v>1134</v>
      </c>
      <c r="BW46" s="113"/>
      <c r="BX46" s="113"/>
      <c r="BY46" s="113"/>
      <c r="BZ46" s="113"/>
      <c r="CA46" s="113"/>
      <c r="CB46" s="113"/>
      <c r="CC46" s="113"/>
      <c r="CD46" s="32"/>
      <c r="CE46" s="32"/>
      <c r="CF46" s="32"/>
      <c r="CG46" s="32"/>
      <c r="CH46" s="32"/>
      <c r="CI46" s="32"/>
      <c r="CJ46" s="32"/>
      <c r="CK46" s="32"/>
      <c r="CL46" s="77"/>
      <c r="CM46" s="32"/>
      <c r="CN46" s="32"/>
    </row>
    <row r="47" spans="1:92" ht="21" customHeight="1">
      <c r="A47" s="109">
        <v>45</v>
      </c>
      <c r="B47" s="23" t="s">
        <v>1135</v>
      </c>
      <c r="C47" s="111" t="s">
        <v>785</v>
      </c>
      <c r="D47" s="110" t="s">
        <v>783</v>
      </c>
      <c r="E47" s="111" t="s">
        <v>784</v>
      </c>
      <c r="F47" s="111" t="s">
        <v>95</v>
      </c>
      <c r="G47" s="18" t="s">
        <v>89</v>
      </c>
      <c r="H47" s="112" t="s">
        <v>857</v>
      </c>
      <c r="I47" s="13">
        <v>2667</v>
      </c>
      <c r="J47" s="19">
        <v>2646</v>
      </c>
      <c r="K47" s="124">
        <v>306</v>
      </c>
      <c r="L47" s="125">
        <v>78.42</v>
      </c>
      <c r="M47" s="125">
        <v>63.39</v>
      </c>
      <c r="N47" s="125">
        <v>67.48</v>
      </c>
      <c r="O47" s="20"/>
      <c r="P47" s="41" t="s">
        <v>415</v>
      </c>
      <c r="Q47" s="16">
        <v>50</v>
      </c>
      <c r="R47" s="16">
        <v>29</v>
      </c>
      <c r="S47" s="16">
        <v>38</v>
      </c>
      <c r="T47" s="16">
        <v>48</v>
      </c>
      <c r="U47" s="109"/>
      <c r="V47" s="109"/>
      <c r="W47" s="109">
        <v>165</v>
      </c>
      <c r="X47" s="94"/>
      <c r="Y47" s="94"/>
      <c r="Z47" s="94"/>
      <c r="AA47" s="94"/>
      <c r="AB47" s="94"/>
      <c r="AC47" s="94"/>
      <c r="AD47" s="94"/>
      <c r="AE47" s="94"/>
      <c r="AF47" s="94"/>
      <c r="AG47" s="105">
        <v>120000</v>
      </c>
      <c r="AH47" s="105">
        <v>123000</v>
      </c>
      <c r="AI47" s="94"/>
      <c r="AJ47" s="94"/>
      <c r="AK47" s="32"/>
      <c r="AL47" s="113">
        <v>972000</v>
      </c>
      <c r="AM47" s="95">
        <v>12500</v>
      </c>
      <c r="AN47" s="95">
        <v>6</v>
      </c>
      <c r="AO47" s="96">
        <v>25000</v>
      </c>
      <c r="AP47" s="96">
        <v>3</v>
      </c>
      <c r="AQ47" s="97">
        <v>75000</v>
      </c>
      <c r="AR47" s="134">
        <v>1</v>
      </c>
      <c r="AS47" s="135"/>
      <c r="AT47" s="135"/>
      <c r="AU47" s="113">
        <v>900000</v>
      </c>
      <c r="AV47" s="113"/>
      <c r="AW47" s="113">
        <v>307</v>
      </c>
      <c r="AX47" s="113"/>
      <c r="AY47" s="113">
        <v>392</v>
      </c>
      <c r="AZ47" s="113"/>
      <c r="BA47" s="82" t="s">
        <v>605</v>
      </c>
      <c r="BB47" s="32"/>
      <c r="BC47" s="32"/>
      <c r="BD47" s="32"/>
      <c r="BE47" s="32"/>
      <c r="BF47" s="32"/>
      <c r="BG47" s="32"/>
      <c r="BH47" s="32">
        <v>1</v>
      </c>
      <c r="BI47" s="32"/>
      <c r="BJ47" s="32"/>
      <c r="BK47" s="32"/>
      <c r="BL47" s="32"/>
      <c r="BM47" s="32"/>
      <c r="BN47" s="32"/>
      <c r="BO47" s="32"/>
      <c r="BP47" s="32"/>
      <c r="BQ47" s="32" t="s">
        <v>800</v>
      </c>
      <c r="BR47" s="32"/>
      <c r="BS47" s="32"/>
      <c r="BT47" s="32"/>
      <c r="BU47" s="32"/>
      <c r="BV47" s="81" t="s">
        <v>1136</v>
      </c>
      <c r="BW47" s="113"/>
      <c r="BX47" s="113"/>
      <c r="BY47" s="113">
        <v>1</v>
      </c>
      <c r="BZ47" s="113">
        <v>5</v>
      </c>
      <c r="CA47" s="113"/>
      <c r="CB47" s="113"/>
      <c r="CC47" s="113"/>
      <c r="CD47" s="32"/>
      <c r="CE47" s="32"/>
      <c r="CF47" s="32"/>
      <c r="CG47" s="32"/>
      <c r="CH47" s="32"/>
      <c r="CI47" s="32"/>
      <c r="CJ47" s="32"/>
      <c r="CK47" s="32"/>
      <c r="CL47" s="32"/>
      <c r="CM47" s="32"/>
      <c r="CN47" s="32"/>
    </row>
    <row r="48" spans="1:92" ht="21" customHeight="1">
      <c r="A48" s="109">
        <v>46</v>
      </c>
      <c r="B48" s="23" t="s">
        <v>1488</v>
      </c>
      <c r="C48" s="111" t="s">
        <v>1489</v>
      </c>
      <c r="D48" s="110" t="s">
        <v>273</v>
      </c>
      <c r="E48" s="111" t="s">
        <v>1490</v>
      </c>
      <c r="F48" s="111" t="s">
        <v>95</v>
      </c>
      <c r="G48" s="18" t="s">
        <v>89</v>
      </c>
      <c r="H48" s="112" t="s">
        <v>1491</v>
      </c>
      <c r="I48" s="13"/>
      <c r="J48" s="14">
        <v>2700</v>
      </c>
      <c r="K48" s="126">
        <v>321.2</v>
      </c>
      <c r="L48" s="127">
        <v>72.92</v>
      </c>
      <c r="M48" s="127">
        <v>52.08</v>
      </c>
      <c r="N48" s="127">
        <v>60.42</v>
      </c>
      <c r="O48" s="36"/>
      <c r="P48" s="41" t="s">
        <v>415</v>
      </c>
      <c r="Q48" s="22">
        <v>35</v>
      </c>
      <c r="R48" s="37">
        <v>38</v>
      </c>
      <c r="S48" s="17">
        <v>48</v>
      </c>
      <c r="T48" s="17">
        <v>58</v>
      </c>
      <c r="U48" s="109"/>
      <c r="V48" s="109"/>
      <c r="W48" s="109"/>
      <c r="X48" s="105">
        <v>15000</v>
      </c>
      <c r="Y48" s="105">
        <v>18000</v>
      </c>
      <c r="Z48" s="105">
        <v>28000</v>
      </c>
      <c r="AA48" s="105">
        <v>36000</v>
      </c>
      <c r="AB48" s="105">
        <v>54000</v>
      </c>
      <c r="AC48" s="94">
        <v>72000</v>
      </c>
      <c r="AD48" s="94">
        <v>102000</v>
      </c>
      <c r="AE48" s="94">
        <v>124000</v>
      </c>
      <c r="AF48" s="94">
        <v>136000</v>
      </c>
      <c r="AG48" s="105">
        <v>150000</v>
      </c>
      <c r="AH48" s="105">
        <v>154000</v>
      </c>
      <c r="AI48" s="94"/>
      <c r="AJ48" s="94"/>
      <c r="AK48" s="32"/>
      <c r="AL48" s="113">
        <v>3556000</v>
      </c>
      <c r="AM48" s="95"/>
      <c r="AN48" s="95"/>
      <c r="AO48" s="96"/>
      <c r="AP48" s="96"/>
      <c r="AQ48" s="97"/>
      <c r="AR48" s="134"/>
      <c r="AS48" s="135"/>
      <c r="AT48" s="135"/>
      <c r="AU48" s="113"/>
      <c r="AV48" s="113"/>
      <c r="AW48" s="113">
        <v>334</v>
      </c>
      <c r="AX48" s="113"/>
      <c r="AY48" s="113">
        <v>428</v>
      </c>
      <c r="AZ48" s="113"/>
      <c r="BA48" s="32" t="s">
        <v>641</v>
      </c>
      <c r="BB48" s="32"/>
      <c r="BC48" s="32"/>
      <c r="BD48" s="32"/>
      <c r="BE48" s="32"/>
      <c r="BF48" s="32"/>
      <c r="BG48" s="32"/>
      <c r="BH48" s="32"/>
      <c r="BI48" s="32"/>
      <c r="BJ48" s="32"/>
      <c r="BK48" s="32"/>
      <c r="BL48" s="32"/>
      <c r="BM48" s="32"/>
      <c r="BN48" s="32"/>
      <c r="BO48" s="32"/>
      <c r="BP48" s="32"/>
      <c r="BQ48" s="32"/>
      <c r="BR48" s="32"/>
      <c r="BS48" s="32"/>
      <c r="BT48" s="32"/>
      <c r="BU48" s="32"/>
      <c r="BV48" s="81" t="s">
        <v>113</v>
      </c>
      <c r="BW48" s="77"/>
      <c r="BX48" s="77"/>
      <c r="BY48" s="113"/>
      <c r="BZ48" s="113"/>
      <c r="CA48" s="113"/>
      <c r="CB48" s="113"/>
      <c r="CC48" s="113"/>
      <c r="CD48" s="32"/>
      <c r="CE48" s="32"/>
      <c r="CF48" s="32"/>
      <c r="CG48" s="32"/>
      <c r="CH48" s="32"/>
      <c r="CI48" s="32"/>
      <c r="CJ48" s="32"/>
      <c r="CK48" s="32"/>
      <c r="CL48" s="32"/>
      <c r="CM48" s="32"/>
      <c r="CN48" s="32"/>
    </row>
    <row r="49" spans="1:92" ht="21" customHeight="1">
      <c r="A49" s="109">
        <v>47</v>
      </c>
      <c r="B49" s="23" t="s">
        <v>123</v>
      </c>
      <c r="C49" s="111" t="s">
        <v>124</v>
      </c>
      <c r="D49" s="110" t="s">
        <v>99</v>
      </c>
      <c r="E49" s="111" t="s">
        <v>326</v>
      </c>
      <c r="F49" s="111" t="s">
        <v>95</v>
      </c>
      <c r="G49" s="18" t="s">
        <v>89</v>
      </c>
      <c r="H49" s="112" t="s">
        <v>425</v>
      </c>
      <c r="I49" s="13">
        <v>2724</v>
      </c>
      <c r="J49" s="14">
        <v>2704</v>
      </c>
      <c r="K49" s="126">
        <v>278.8</v>
      </c>
      <c r="L49" s="127">
        <v>83.66</v>
      </c>
      <c r="M49" s="127">
        <v>75.47</v>
      </c>
      <c r="N49" s="127">
        <v>56.94</v>
      </c>
      <c r="O49" s="36"/>
      <c r="P49" s="22" t="s">
        <v>414</v>
      </c>
      <c r="Q49" s="17">
        <v>35</v>
      </c>
      <c r="R49" s="16">
        <v>18</v>
      </c>
      <c r="S49" s="16">
        <v>21</v>
      </c>
      <c r="T49" s="16">
        <v>32</v>
      </c>
      <c r="U49" s="109"/>
      <c r="V49" s="109"/>
      <c r="W49" s="109">
        <v>106</v>
      </c>
      <c r="X49" s="96">
        <v>8000</v>
      </c>
      <c r="Y49" s="96">
        <v>12000</v>
      </c>
      <c r="Z49" s="96">
        <v>15000</v>
      </c>
      <c r="AA49" s="96">
        <v>19000</v>
      </c>
      <c r="AB49" s="96">
        <v>28000</v>
      </c>
      <c r="AC49" s="96">
        <v>37000</v>
      </c>
      <c r="AD49" s="96">
        <v>52000</v>
      </c>
      <c r="AE49" s="96">
        <v>64000</v>
      </c>
      <c r="AF49" s="96">
        <v>70000</v>
      </c>
      <c r="AG49" s="94">
        <v>76000</v>
      </c>
      <c r="AH49" s="94">
        <v>79000</v>
      </c>
      <c r="AI49" s="94"/>
      <c r="AJ49" s="94"/>
      <c r="AK49" s="32"/>
      <c r="AL49" s="113">
        <v>1840000</v>
      </c>
      <c r="AM49" s="95">
        <v>12500</v>
      </c>
      <c r="AN49" s="95">
        <v>6</v>
      </c>
      <c r="AO49" s="96">
        <v>25000</v>
      </c>
      <c r="AP49" s="96">
        <v>3</v>
      </c>
      <c r="AQ49" s="97">
        <v>75000</v>
      </c>
      <c r="AR49" s="134">
        <v>1</v>
      </c>
      <c r="AS49" s="135"/>
      <c r="AT49" s="135"/>
      <c r="AU49" s="113">
        <v>900000</v>
      </c>
      <c r="AV49" s="113">
        <v>2740000</v>
      </c>
      <c r="AW49" s="113">
        <v>291</v>
      </c>
      <c r="AX49" s="113">
        <v>303</v>
      </c>
      <c r="AY49" s="113">
        <v>386</v>
      </c>
      <c r="AZ49" s="113"/>
      <c r="BA49" s="113" t="s">
        <v>605</v>
      </c>
      <c r="BB49" s="32"/>
      <c r="BC49" s="32"/>
      <c r="BD49" s="32"/>
      <c r="BE49" s="32"/>
      <c r="BF49" s="32"/>
      <c r="BG49" s="32"/>
      <c r="BH49" s="32">
        <v>1</v>
      </c>
      <c r="BI49" s="32"/>
      <c r="BJ49" s="32">
        <v>1</v>
      </c>
      <c r="BK49" s="32"/>
      <c r="BL49" s="32"/>
      <c r="BM49" s="32"/>
      <c r="BN49" s="32"/>
      <c r="BO49" s="32"/>
      <c r="BP49" s="32">
        <v>1</v>
      </c>
      <c r="BQ49" s="32" t="s">
        <v>800</v>
      </c>
      <c r="BR49" s="32"/>
      <c r="BS49" s="32"/>
      <c r="BT49" s="32"/>
      <c r="BU49" s="32"/>
      <c r="BV49" s="81" t="s">
        <v>747</v>
      </c>
      <c r="BW49" s="77"/>
      <c r="BX49" s="77">
        <v>1</v>
      </c>
      <c r="BY49" s="113">
        <v>1</v>
      </c>
      <c r="BZ49" s="113">
        <v>5</v>
      </c>
      <c r="CA49" s="113"/>
      <c r="CB49" s="113"/>
      <c r="CC49" s="113"/>
      <c r="CD49" s="32"/>
      <c r="CE49" s="32"/>
      <c r="CF49" s="32"/>
      <c r="CG49" s="32"/>
      <c r="CH49" s="32"/>
      <c r="CI49" s="32"/>
      <c r="CJ49" s="32"/>
      <c r="CK49" s="32"/>
      <c r="CL49" s="32"/>
      <c r="CM49" s="32"/>
      <c r="CN49" s="32"/>
    </row>
    <row r="50" spans="1:92" ht="21" customHeight="1">
      <c r="A50" s="109">
        <v>48</v>
      </c>
      <c r="B50" s="23" t="s">
        <v>1137</v>
      </c>
      <c r="C50" s="111" t="s">
        <v>692</v>
      </c>
      <c r="D50" s="110" t="s">
        <v>1129</v>
      </c>
      <c r="E50" s="111" t="s">
        <v>691</v>
      </c>
      <c r="F50" s="111" t="s">
        <v>95</v>
      </c>
      <c r="G50" s="18" t="s">
        <v>89</v>
      </c>
      <c r="H50" s="112" t="s">
        <v>311</v>
      </c>
      <c r="I50" s="13">
        <v>2735</v>
      </c>
      <c r="J50" s="14">
        <v>2733</v>
      </c>
      <c r="K50" s="128">
        <v>312.89999999999998</v>
      </c>
      <c r="L50" s="129">
        <v>80.12</v>
      </c>
      <c r="M50" s="129">
        <v>57.27</v>
      </c>
      <c r="N50" s="129">
        <v>62.49</v>
      </c>
      <c r="O50" s="20"/>
      <c r="P50" s="22" t="s">
        <v>414</v>
      </c>
      <c r="Q50" s="17">
        <v>35</v>
      </c>
      <c r="R50" s="16">
        <v>30</v>
      </c>
      <c r="S50" s="16">
        <v>41</v>
      </c>
      <c r="T50" s="16">
        <v>48</v>
      </c>
      <c r="U50" s="109"/>
      <c r="V50" s="109"/>
      <c r="W50" s="109">
        <v>154</v>
      </c>
      <c r="X50" s="94">
        <v>11550</v>
      </c>
      <c r="Y50" s="94">
        <v>12700</v>
      </c>
      <c r="Z50" s="94">
        <v>15000</v>
      </c>
      <c r="AA50" s="94">
        <v>18500</v>
      </c>
      <c r="AB50" s="94">
        <v>27800</v>
      </c>
      <c r="AC50" s="94">
        <v>37000</v>
      </c>
      <c r="AD50" s="94">
        <v>52000</v>
      </c>
      <c r="AE50" s="94">
        <v>63500</v>
      </c>
      <c r="AF50" s="94">
        <v>69500</v>
      </c>
      <c r="AG50" s="94">
        <v>76000</v>
      </c>
      <c r="AH50" s="94">
        <v>79000</v>
      </c>
      <c r="AI50" s="94"/>
      <c r="AJ50" s="94"/>
      <c r="AK50" s="32"/>
      <c r="AL50" s="113">
        <v>1850200</v>
      </c>
      <c r="AM50" s="95">
        <v>12500</v>
      </c>
      <c r="AN50" s="95">
        <v>6</v>
      </c>
      <c r="AO50" s="96">
        <v>25000</v>
      </c>
      <c r="AP50" s="96">
        <v>3</v>
      </c>
      <c r="AQ50" s="97">
        <v>75000</v>
      </c>
      <c r="AR50" s="134">
        <v>1</v>
      </c>
      <c r="AS50" s="135"/>
      <c r="AT50" s="135"/>
      <c r="AU50" s="113">
        <v>900000</v>
      </c>
      <c r="AV50" s="113">
        <v>2750200</v>
      </c>
      <c r="AW50" s="78">
        <v>326</v>
      </c>
      <c r="AX50" s="78"/>
      <c r="AY50" s="78">
        <v>415</v>
      </c>
      <c r="AZ50" s="113"/>
      <c r="BA50" s="113" t="s">
        <v>641</v>
      </c>
      <c r="BB50" s="32"/>
      <c r="BC50" s="32"/>
      <c r="BD50" s="32"/>
      <c r="BE50" s="32"/>
      <c r="BF50" s="32"/>
      <c r="BG50" s="32"/>
      <c r="BH50" s="32"/>
      <c r="BI50" s="32"/>
      <c r="BJ50" s="32"/>
      <c r="BK50" s="32"/>
      <c r="BL50" s="32"/>
      <c r="BM50" s="32"/>
      <c r="BN50" s="32">
        <v>1</v>
      </c>
      <c r="BO50" s="32"/>
      <c r="BP50" s="32"/>
      <c r="BQ50" s="32"/>
      <c r="BR50" s="32"/>
      <c r="BS50" s="32" t="s">
        <v>650</v>
      </c>
      <c r="BT50" s="32"/>
      <c r="BU50" s="32"/>
      <c r="BV50" s="81" t="s">
        <v>748</v>
      </c>
      <c r="BW50" s="77"/>
      <c r="BX50" s="77">
        <v>1</v>
      </c>
      <c r="BY50" s="113">
        <v>1</v>
      </c>
      <c r="BZ50" s="113">
        <v>5</v>
      </c>
      <c r="CA50" s="113"/>
      <c r="CB50" s="113"/>
      <c r="CC50" s="113"/>
      <c r="CD50" s="32"/>
      <c r="CE50" s="32"/>
      <c r="CF50" s="32"/>
      <c r="CG50" s="32"/>
      <c r="CH50" s="32"/>
      <c r="CI50" s="32"/>
      <c r="CJ50" s="32"/>
      <c r="CK50" s="32"/>
      <c r="CL50" s="32"/>
      <c r="CM50" s="32"/>
      <c r="CN50" s="32"/>
    </row>
    <row r="51" spans="1:92" ht="21" customHeight="1">
      <c r="A51" s="109">
        <v>49</v>
      </c>
      <c r="B51" s="23" t="s">
        <v>274</v>
      </c>
      <c r="C51" s="111" t="s">
        <v>276</v>
      </c>
      <c r="D51" s="110" t="s">
        <v>275</v>
      </c>
      <c r="E51" s="111" t="s">
        <v>327</v>
      </c>
      <c r="F51" s="111" t="s">
        <v>95</v>
      </c>
      <c r="G51" s="24" t="s">
        <v>164</v>
      </c>
      <c r="H51" s="112" t="s">
        <v>606</v>
      </c>
      <c r="I51" s="13">
        <v>2792</v>
      </c>
      <c r="J51" s="14">
        <v>2781</v>
      </c>
      <c r="K51" s="128">
        <v>301.3</v>
      </c>
      <c r="L51" s="129">
        <v>74.78</v>
      </c>
      <c r="M51" s="129">
        <v>72.59</v>
      </c>
      <c r="N51" s="129">
        <v>44.04</v>
      </c>
      <c r="O51" s="20"/>
      <c r="P51" s="22" t="s">
        <v>414</v>
      </c>
      <c r="Q51" s="17" t="s">
        <v>270</v>
      </c>
      <c r="R51" s="16">
        <v>25</v>
      </c>
      <c r="S51" s="16">
        <v>30</v>
      </c>
      <c r="T51" s="16">
        <v>35</v>
      </c>
      <c r="U51" s="16">
        <v>40</v>
      </c>
      <c r="V51" s="109"/>
      <c r="W51" s="109">
        <v>130</v>
      </c>
      <c r="X51" s="94"/>
      <c r="Y51" s="94"/>
      <c r="Z51" s="94"/>
      <c r="AA51" s="105">
        <v>7900</v>
      </c>
      <c r="AB51" s="105">
        <v>11500</v>
      </c>
      <c r="AC51" s="105">
        <v>17000</v>
      </c>
      <c r="AD51" s="105">
        <v>25000</v>
      </c>
      <c r="AE51" s="105">
        <v>37000</v>
      </c>
      <c r="AF51" s="94">
        <v>55000</v>
      </c>
      <c r="AG51" s="94">
        <v>79000</v>
      </c>
      <c r="AH51" s="94"/>
      <c r="AI51" s="94"/>
      <c r="AJ51" s="94"/>
      <c r="AK51" s="32"/>
      <c r="AL51" s="113"/>
      <c r="AM51" s="95">
        <v>12500</v>
      </c>
      <c r="AN51" s="95">
        <v>9</v>
      </c>
      <c r="AO51" s="96">
        <v>25000</v>
      </c>
      <c r="AP51" s="96">
        <v>4</v>
      </c>
      <c r="AQ51" s="97">
        <v>75000</v>
      </c>
      <c r="AR51" s="134">
        <v>2</v>
      </c>
      <c r="AS51" s="135"/>
      <c r="AT51" s="135"/>
      <c r="AU51" s="113">
        <v>1450000</v>
      </c>
      <c r="AV51" s="113"/>
      <c r="AW51" s="78">
        <v>314</v>
      </c>
      <c r="AX51" s="78"/>
      <c r="AY51" s="78">
        <v>402</v>
      </c>
      <c r="AZ51" s="113"/>
      <c r="BA51" s="113" t="s">
        <v>640</v>
      </c>
      <c r="BB51" s="32"/>
      <c r="BC51" s="32"/>
      <c r="BD51" s="32"/>
      <c r="BE51" s="32"/>
      <c r="BF51" s="32"/>
      <c r="BG51" s="32">
        <v>1</v>
      </c>
      <c r="BH51" s="32"/>
      <c r="BI51" s="32"/>
      <c r="BJ51" s="32"/>
      <c r="BK51" s="32"/>
      <c r="BL51" s="32"/>
      <c r="BM51" s="32">
        <v>1</v>
      </c>
      <c r="BN51" s="32"/>
      <c r="BO51" s="32">
        <v>1</v>
      </c>
      <c r="BP51" s="32">
        <v>1</v>
      </c>
      <c r="BQ51" s="32"/>
      <c r="BR51" s="32"/>
      <c r="BS51" s="32"/>
      <c r="BT51" s="32"/>
      <c r="BU51" s="32"/>
      <c r="BV51" s="81" t="s">
        <v>749</v>
      </c>
      <c r="BW51" s="77" t="s">
        <v>681</v>
      </c>
      <c r="BX51" s="77"/>
      <c r="BY51" s="113">
        <v>1</v>
      </c>
      <c r="BZ51" s="113">
        <v>6</v>
      </c>
      <c r="CA51" s="113"/>
      <c r="CB51" s="113"/>
      <c r="CC51" s="113"/>
      <c r="CD51" s="32"/>
      <c r="CE51" s="32"/>
      <c r="CF51" s="32"/>
      <c r="CG51" s="32"/>
      <c r="CH51" s="32"/>
      <c r="CI51" s="32"/>
      <c r="CJ51" s="32"/>
      <c r="CK51" s="32"/>
      <c r="CL51" s="32"/>
      <c r="CM51" s="32"/>
      <c r="CN51" s="32"/>
    </row>
    <row r="52" spans="1:92" ht="21" customHeight="1">
      <c r="A52" s="109">
        <v>50</v>
      </c>
      <c r="B52" s="23" t="s">
        <v>1563</v>
      </c>
      <c r="C52" s="149" t="s">
        <v>1564</v>
      </c>
      <c r="D52" s="150" t="s">
        <v>1565</v>
      </c>
      <c r="E52" s="111" t="s">
        <v>1566</v>
      </c>
      <c r="F52" s="111" t="s">
        <v>95</v>
      </c>
      <c r="G52" s="18" t="s">
        <v>89</v>
      </c>
      <c r="H52" s="112" t="s">
        <v>1567</v>
      </c>
      <c r="I52" s="13"/>
      <c r="J52" s="14">
        <v>2796</v>
      </c>
      <c r="K52" s="124">
        <v>291.39999999999998</v>
      </c>
      <c r="L52" s="125">
        <v>81.819999999999993</v>
      </c>
      <c r="M52" s="125">
        <v>81.42</v>
      </c>
      <c r="N52" s="125">
        <v>64.56</v>
      </c>
      <c r="O52" s="20"/>
      <c r="P52" s="41" t="s">
        <v>415</v>
      </c>
      <c r="Q52" s="22">
        <v>35</v>
      </c>
      <c r="R52" s="37">
        <v>38</v>
      </c>
      <c r="S52" s="37">
        <v>48</v>
      </c>
      <c r="T52" s="37">
        <v>58</v>
      </c>
      <c r="U52" s="37"/>
      <c r="V52" s="109"/>
      <c r="W52" s="109">
        <v>179</v>
      </c>
      <c r="X52" s="100">
        <v>15000</v>
      </c>
      <c r="Y52" s="100">
        <v>18000</v>
      </c>
      <c r="Z52" s="100">
        <v>28000</v>
      </c>
      <c r="AA52" s="100">
        <v>36000</v>
      </c>
      <c r="AB52" s="100">
        <v>54000</v>
      </c>
      <c r="AC52" s="100">
        <v>72000</v>
      </c>
      <c r="AD52" s="96">
        <v>102000</v>
      </c>
      <c r="AE52" s="96"/>
      <c r="AF52" s="96"/>
      <c r="AG52" s="96"/>
      <c r="AH52" s="96"/>
      <c r="AI52" s="96"/>
      <c r="AJ52" s="94"/>
      <c r="AK52" s="32"/>
      <c r="AL52" s="113"/>
      <c r="AM52" s="95">
        <v>18750</v>
      </c>
      <c r="AN52" s="95">
        <v>6</v>
      </c>
      <c r="AO52" s="96">
        <v>37500</v>
      </c>
      <c r="AP52" s="96">
        <v>3</v>
      </c>
      <c r="AQ52" s="97"/>
      <c r="AR52" s="134">
        <v>1</v>
      </c>
      <c r="AS52" s="135"/>
      <c r="AT52" s="135"/>
      <c r="AU52" s="113"/>
      <c r="AV52" s="113"/>
      <c r="AW52" s="78">
        <v>304</v>
      </c>
      <c r="AX52" s="78">
        <v>329</v>
      </c>
      <c r="AY52" s="78">
        <v>415</v>
      </c>
      <c r="AZ52" s="113"/>
      <c r="BA52" s="113" t="s">
        <v>641</v>
      </c>
      <c r="BB52" s="32"/>
      <c r="BC52" s="32"/>
      <c r="BD52" s="32"/>
      <c r="BE52" s="32"/>
      <c r="BF52" s="32"/>
      <c r="BG52" s="32"/>
      <c r="BH52" s="32"/>
      <c r="BI52" s="32"/>
      <c r="BJ52" s="32"/>
      <c r="BK52" s="32"/>
      <c r="BL52" s="32"/>
      <c r="BM52" s="32"/>
      <c r="BN52" s="32"/>
      <c r="BO52" s="32"/>
      <c r="BP52" s="32"/>
      <c r="BQ52" s="32"/>
      <c r="BR52" s="32"/>
      <c r="BS52" s="32"/>
      <c r="BT52" s="32"/>
      <c r="BU52" s="32"/>
      <c r="BV52" s="81"/>
      <c r="BW52" s="113"/>
      <c r="BX52" s="113"/>
      <c r="BY52" s="113"/>
      <c r="BZ52" s="113"/>
      <c r="CA52" s="113"/>
      <c r="CB52" s="113"/>
      <c r="CC52" s="113"/>
      <c r="CD52" s="32"/>
      <c r="CE52" s="32"/>
      <c r="CF52" s="32"/>
      <c r="CG52" s="32"/>
      <c r="CH52" s="32"/>
      <c r="CI52" s="32"/>
      <c r="CJ52" s="32"/>
      <c r="CK52" s="32"/>
      <c r="CL52" s="32"/>
      <c r="CM52" s="32"/>
      <c r="CN52" s="32"/>
    </row>
    <row r="53" spans="1:92" ht="21" customHeight="1">
      <c r="A53" s="109">
        <v>51</v>
      </c>
      <c r="B53" s="23" t="s">
        <v>277</v>
      </c>
      <c r="C53" s="111" t="s">
        <v>278</v>
      </c>
      <c r="D53" s="110" t="s">
        <v>1138</v>
      </c>
      <c r="E53" s="111" t="s">
        <v>328</v>
      </c>
      <c r="F53" s="111" t="s">
        <v>95</v>
      </c>
      <c r="G53" s="24" t="s">
        <v>164</v>
      </c>
      <c r="H53" s="112" t="s">
        <v>670</v>
      </c>
      <c r="I53" s="13">
        <v>2948</v>
      </c>
      <c r="J53" s="14">
        <v>2836</v>
      </c>
      <c r="K53" s="124">
        <v>303.60000000000002</v>
      </c>
      <c r="L53" s="125">
        <v>80.569999999999993</v>
      </c>
      <c r="M53" s="125">
        <v>47.14</v>
      </c>
      <c r="N53" s="125">
        <v>57.23</v>
      </c>
      <c r="O53" s="20"/>
      <c r="P53" s="22" t="s">
        <v>414</v>
      </c>
      <c r="Q53" s="22" t="s">
        <v>270</v>
      </c>
      <c r="R53" s="37">
        <v>30</v>
      </c>
      <c r="S53" s="37">
        <v>38</v>
      </c>
      <c r="T53" s="37">
        <v>43</v>
      </c>
      <c r="U53" s="37">
        <v>48</v>
      </c>
      <c r="V53" s="109"/>
      <c r="W53" s="109">
        <v>159</v>
      </c>
      <c r="X53" s="103">
        <v>2500</v>
      </c>
      <c r="Y53" s="103">
        <v>4100</v>
      </c>
      <c r="Z53" s="103">
        <v>6500</v>
      </c>
      <c r="AA53" s="103">
        <v>9800</v>
      </c>
      <c r="AB53" s="103">
        <v>14100</v>
      </c>
      <c r="AC53" s="103">
        <v>21600</v>
      </c>
      <c r="AD53" s="96">
        <v>31000</v>
      </c>
      <c r="AE53" s="96">
        <v>46000</v>
      </c>
      <c r="AF53" s="96">
        <v>67500</v>
      </c>
      <c r="AG53" s="96">
        <v>98000</v>
      </c>
      <c r="AH53" s="96">
        <v>125000</v>
      </c>
      <c r="AI53" s="96">
        <v>144000</v>
      </c>
      <c r="AJ53" s="94"/>
      <c r="AK53" s="32"/>
      <c r="AL53" s="113">
        <v>2278000</v>
      </c>
      <c r="AM53" s="95">
        <v>15000</v>
      </c>
      <c r="AN53" s="95">
        <v>9</v>
      </c>
      <c r="AO53" s="96">
        <v>30000</v>
      </c>
      <c r="AP53" s="96">
        <v>4</v>
      </c>
      <c r="AQ53" s="97">
        <v>90000</v>
      </c>
      <c r="AR53" s="134">
        <v>2</v>
      </c>
      <c r="AS53" s="135"/>
      <c r="AT53" s="135"/>
      <c r="AU53" s="113">
        <v>1740000</v>
      </c>
      <c r="AV53" s="113">
        <v>4018000</v>
      </c>
      <c r="AW53" s="78">
        <v>316</v>
      </c>
      <c r="AX53" s="78"/>
      <c r="AY53" s="78">
        <v>404</v>
      </c>
      <c r="AZ53" s="113"/>
      <c r="BA53" s="113" t="s">
        <v>605</v>
      </c>
      <c r="BB53" s="32"/>
      <c r="BC53" s="32"/>
      <c r="BD53" s="32"/>
      <c r="BE53" s="32"/>
      <c r="BF53" s="32"/>
      <c r="BG53" s="32">
        <v>1</v>
      </c>
      <c r="BH53" s="32">
        <v>1</v>
      </c>
      <c r="BI53" s="32"/>
      <c r="BJ53" s="32">
        <v>1</v>
      </c>
      <c r="BK53" s="32"/>
      <c r="BL53" s="32"/>
      <c r="BM53" s="32"/>
      <c r="BN53" s="32"/>
      <c r="BO53" s="32">
        <v>1</v>
      </c>
      <c r="BP53" s="32">
        <v>1</v>
      </c>
      <c r="BQ53" s="32" t="s">
        <v>800</v>
      </c>
      <c r="BR53" s="32"/>
      <c r="BS53" s="32"/>
      <c r="BT53" s="32"/>
      <c r="BU53" s="32"/>
      <c r="BV53" s="81" t="s">
        <v>1139</v>
      </c>
      <c r="BW53" s="113"/>
      <c r="BX53" s="113"/>
      <c r="BY53" s="113">
        <v>1</v>
      </c>
      <c r="BZ53" s="113">
        <v>7</v>
      </c>
      <c r="CA53" s="113"/>
      <c r="CB53" s="113"/>
      <c r="CC53" s="113"/>
      <c r="CD53" s="32"/>
      <c r="CE53" s="32"/>
      <c r="CF53" s="32"/>
      <c r="CG53" s="32"/>
      <c r="CH53" s="32"/>
      <c r="CI53" s="32"/>
      <c r="CJ53" s="32"/>
      <c r="CK53" s="32"/>
      <c r="CL53" s="32"/>
      <c r="CM53" s="32"/>
      <c r="CN53" s="32"/>
    </row>
    <row r="54" spans="1:92" ht="21" customHeight="1">
      <c r="A54" s="109">
        <v>52</v>
      </c>
      <c r="B54" s="23" t="s">
        <v>1140</v>
      </c>
      <c r="C54" s="111" t="s">
        <v>965</v>
      </c>
      <c r="D54" s="110" t="s">
        <v>158</v>
      </c>
      <c r="E54" s="111" t="s">
        <v>966</v>
      </c>
      <c r="F54" s="111" t="s">
        <v>95</v>
      </c>
      <c r="G54" s="18" t="s">
        <v>89</v>
      </c>
      <c r="H54" s="115" t="s">
        <v>967</v>
      </c>
      <c r="I54" s="13">
        <v>2576</v>
      </c>
      <c r="J54" s="38">
        <v>2838</v>
      </c>
      <c r="K54" s="130">
        <v>338.8</v>
      </c>
      <c r="L54" s="131">
        <v>73.819999999999993</v>
      </c>
      <c r="M54" s="131">
        <v>57.63</v>
      </c>
      <c r="N54" s="131">
        <v>61.34</v>
      </c>
      <c r="O54" s="75">
        <v>6.25</v>
      </c>
      <c r="P54" s="41" t="s">
        <v>415</v>
      </c>
      <c r="Q54" s="22">
        <v>35</v>
      </c>
      <c r="R54" s="37">
        <v>38</v>
      </c>
      <c r="S54" s="37">
        <v>42</v>
      </c>
      <c r="T54" s="37">
        <v>48</v>
      </c>
      <c r="U54" s="37"/>
      <c r="V54" s="109"/>
      <c r="W54" s="109">
        <v>163</v>
      </c>
      <c r="X54" s="105">
        <v>15000</v>
      </c>
      <c r="Y54" s="105">
        <v>18000</v>
      </c>
      <c r="Z54" s="105">
        <v>28000</v>
      </c>
      <c r="AA54" s="105">
        <v>36000</v>
      </c>
      <c r="AB54" s="105">
        <v>54000</v>
      </c>
      <c r="AC54" s="94">
        <v>72000</v>
      </c>
      <c r="AD54" s="94">
        <v>102000</v>
      </c>
      <c r="AE54" s="94">
        <v>124000</v>
      </c>
      <c r="AF54" s="94">
        <v>136000</v>
      </c>
      <c r="AG54" s="105">
        <v>150000</v>
      </c>
      <c r="AH54" s="105">
        <v>154000</v>
      </c>
      <c r="AI54" s="94"/>
      <c r="AJ54" s="94"/>
      <c r="AK54" s="32"/>
      <c r="AL54" s="113">
        <v>3556000</v>
      </c>
      <c r="AM54" s="95">
        <v>21000</v>
      </c>
      <c r="AN54" s="95">
        <v>6</v>
      </c>
      <c r="AO54" s="96">
        <v>42000</v>
      </c>
      <c r="AP54" s="96">
        <v>3</v>
      </c>
      <c r="AQ54" s="97">
        <v>126000</v>
      </c>
      <c r="AR54" s="134">
        <v>1</v>
      </c>
      <c r="AS54" s="135"/>
      <c r="AT54" s="135"/>
      <c r="AU54" s="113">
        <v>1512000</v>
      </c>
      <c r="AV54" s="113">
        <v>5068000</v>
      </c>
      <c r="AW54" s="113">
        <v>353</v>
      </c>
      <c r="AX54" s="113"/>
      <c r="AY54" s="113">
        <v>459</v>
      </c>
      <c r="AZ54" s="113"/>
      <c r="BA54" s="82" t="s">
        <v>901</v>
      </c>
      <c r="BB54" s="32"/>
      <c r="BC54" s="32"/>
      <c r="BD54" s="32"/>
      <c r="BE54" s="32"/>
      <c r="BF54" s="32"/>
      <c r="BG54" s="32">
        <v>1</v>
      </c>
      <c r="BH54" s="32"/>
      <c r="BI54" s="32"/>
      <c r="BJ54" s="32"/>
      <c r="BK54" s="32"/>
      <c r="BL54" s="32"/>
      <c r="BM54" s="32"/>
      <c r="BN54" s="32"/>
      <c r="BO54" s="32"/>
      <c r="BP54" s="32"/>
      <c r="BQ54" s="32"/>
      <c r="BR54" s="32"/>
      <c r="BS54" s="32"/>
      <c r="BT54" s="32"/>
      <c r="BU54" s="32"/>
      <c r="BV54" s="81"/>
      <c r="BW54" s="113"/>
      <c r="BX54" s="113"/>
      <c r="BY54" s="113">
        <v>1</v>
      </c>
      <c r="BZ54" s="113">
        <v>5</v>
      </c>
      <c r="CA54" s="113"/>
      <c r="CB54" s="113"/>
      <c r="CC54" s="113"/>
      <c r="CD54" s="32"/>
      <c r="CE54" s="73"/>
      <c r="CF54" s="73"/>
      <c r="CG54" s="73"/>
      <c r="CH54" s="73"/>
      <c r="CI54" s="73"/>
      <c r="CJ54" s="32"/>
      <c r="CK54" s="32"/>
      <c r="CL54" s="32"/>
      <c r="CM54" s="32"/>
      <c r="CN54" s="32"/>
    </row>
    <row r="55" spans="1:92" ht="21" customHeight="1">
      <c r="A55" s="109">
        <v>53</v>
      </c>
      <c r="B55" s="23" t="s">
        <v>1141</v>
      </c>
      <c r="C55" s="111" t="s">
        <v>833</v>
      </c>
      <c r="D55" s="110" t="s">
        <v>831</v>
      </c>
      <c r="E55" s="111" t="s">
        <v>832</v>
      </c>
      <c r="F55" s="111" t="s">
        <v>95</v>
      </c>
      <c r="G55" s="18" t="s">
        <v>89</v>
      </c>
      <c r="H55" s="115" t="s">
        <v>915</v>
      </c>
      <c r="I55" s="13">
        <v>2857</v>
      </c>
      <c r="J55" s="38">
        <v>2854</v>
      </c>
      <c r="K55" s="130">
        <v>314.5</v>
      </c>
      <c r="L55" s="131">
        <v>81.59</v>
      </c>
      <c r="M55" s="131">
        <v>65.86</v>
      </c>
      <c r="N55" s="131">
        <v>63.02</v>
      </c>
      <c r="O55" s="39"/>
      <c r="P55" s="41" t="s">
        <v>415</v>
      </c>
      <c r="Q55" s="17">
        <v>35</v>
      </c>
      <c r="R55" s="16">
        <v>30</v>
      </c>
      <c r="S55" s="16">
        <v>41</v>
      </c>
      <c r="T55" s="16">
        <v>48</v>
      </c>
      <c r="U55" s="37"/>
      <c r="V55" s="109"/>
      <c r="W55" s="109">
        <v>154</v>
      </c>
      <c r="X55" s="105">
        <v>14200</v>
      </c>
      <c r="Y55" s="105">
        <v>15600</v>
      </c>
      <c r="Z55" s="105">
        <v>18500</v>
      </c>
      <c r="AA55" s="105">
        <v>22800</v>
      </c>
      <c r="AB55" s="105">
        <v>34100</v>
      </c>
      <c r="AC55" s="105">
        <v>45500</v>
      </c>
      <c r="AD55" s="105">
        <v>64000</v>
      </c>
      <c r="AE55" s="94">
        <v>78000</v>
      </c>
      <c r="AF55" s="94">
        <v>85500</v>
      </c>
      <c r="AG55" s="94">
        <v>94000</v>
      </c>
      <c r="AH55" s="94">
        <v>97000</v>
      </c>
      <c r="AI55" s="94"/>
      <c r="AJ55" s="94"/>
      <c r="AK55" s="32"/>
      <c r="AL55" s="113">
        <v>2276800</v>
      </c>
      <c r="AM55" s="95">
        <v>15000</v>
      </c>
      <c r="AN55" s="95">
        <v>6</v>
      </c>
      <c r="AO55" s="96">
        <v>30000</v>
      </c>
      <c r="AP55" s="96">
        <v>3</v>
      </c>
      <c r="AQ55" s="97">
        <v>90000</v>
      </c>
      <c r="AR55" s="134">
        <v>1</v>
      </c>
      <c r="AS55" s="135"/>
      <c r="AT55" s="135"/>
      <c r="AU55" s="113">
        <v>1080000</v>
      </c>
      <c r="AV55" s="113">
        <v>3356800</v>
      </c>
      <c r="AW55" s="113">
        <v>327</v>
      </c>
      <c r="AX55" s="113"/>
      <c r="AY55" s="113">
        <v>417</v>
      </c>
      <c r="AZ55" s="113"/>
      <c r="BA55" s="82" t="s">
        <v>901</v>
      </c>
      <c r="BB55" s="32"/>
      <c r="BC55" s="32"/>
      <c r="BD55" s="32"/>
      <c r="BE55" s="32"/>
      <c r="BF55" s="32"/>
      <c r="BG55" s="32">
        <v>1</v>
      </c>
      <c r="BH55" s="32"/>
      <c r="BI55" s="32"/>
      <c r="BJ55" s="32"/>
      <c r="BK55" s="32"/>
      <c r="BL55" s="32"/>
      <c r="BM55" s="32"/>
      <c r="BN55" s="32"/>
      <c r="BO55" s="32"/>
      <c r="BP55" s="32"/>
      <c r="BQ55" s="32"/>
      <c r="BR55" s="32"/>
      <c r="BS55" s="32"/>
      <c r="BT55" s="32"/>
      <c r="BU55" s="32"/>
      <c r="BV55" s="81"/>
      <c r="BW55" s="113"/>
      <c r="BX55" s="113">
        <v>1</v>
      </c>
      <c r="BY55" s="113"/>
      <c r="BZ55" s="113"/>
      <c r="CA55" s="113"/>
      <c r="CB55" s="113"/>
      <c r="CC55" s="113"/>
      <c r="CD55" s="32"/>
      <c r="CE55" s="32"/>
      <c r="CF55" s="32"/>
      <c r="CG55" s="32"/>
      <c r="CH55" s="32"/>
      <c r="CI55" s="32"/>
      <c r="CJ55" s="32"/>
      <c r="CK55" s="32"/>
      <c r="CL55" s="32"/>
      <c r="CM55" s="32"/>
      <c r="CN55" s="32"/>
    </row>
    <row r="56" spans="1:92" ht="21" customHeight="1">
      <c r="A56" s="109">
        <v>54</v>
      </c>
      <c r="B56" s="23" t="s">
        <v>1142</v>
      </c>
      <c r="C56" s="111" t="s">
        <v>968</v>
      </c>
      <c r="D56" s="110" t="s">
        <v>969</v>
      </c>
      <c r="E56" s="111" t="s">
        <v>970</v>
      </c>
      <c r="F56" s="111" t="s">
        <v>95</v>
      </c>
      <c r="G56" s="24" t="s">
        <v>164</v>
      </c>
      <c r="H56" s="112" t="s">
        <v>967</v>
      </c>
      <c r="I56" s="13">
        <v>2800</v>
      </c>
      <c r="J56" s="19">
        <v>2991</v>
      </c>
      <c r="K56" s="124">
        <v>306.8</v>
      </c>
      <c r="L56" s="125">
        <v>85.56</v>
      </c>
      <c r="M56" s="125">
        <v>86.91</v>
      </c>
      <c r="N56" s="125">
        <v>64</v>
      </c>
      <c r="O56" s="20"/>
      <c r="P56" s="41" t="s">
        <v>415</v>
      </c>
      <c r="Q56" s="17">
        <v>35</v>
      </c>
      <c r="R56" s="17">
        <v>35</v>
      </c>
      <c r="S56" s="37">
        <v>36</v>
      </c>
      <c r="T56" s="37">
        <v>38</v>
      </c>
      <c r="U56" s="37">
        <v>42</v>
      </c>
      <c r="V56" s="109"/>
      <c r="W56" s="109">
        <v>186</v>
      </c>
      <c r="X56" s="105">
        <v>16000</v>
      </c>
      <c r="Y56" s="105">
        <v>20000</v>
      </c>
      <c r="Z56" s="105">
        <v>25000</v>
      </c>
      <c r="AA56" s="105">
        <v>33000</v>
      </c>
      <c r="AB56" s="96">
        <v>46000</v>
      </c>
      <c r="AC56" s="96">
        <v>62000</v>
      </c>
      <c r="AD56" s="96">
        <v>87000</v>
      </c>
      <c r="AE56" s="96">
        <v>118000</v>
      </c>
      <c r="AF56" s="96">
        <v>138000</v>
      </c>
      <c r="AG56" s="96">
        <v>154000</v>
      </c>
      <c r="AH56" s="96">
        <v>159000</v>
      </c>
      <c r="AI56" s="96">
        <v>164000</v>
      </c>
      <c r="AJ56" s="94"/>
      <c r="AK56" s="32"/>
      <c r="AL56" s="113">
        <v>4088000</v>
      </c>
      <c r="AM56" s="95">
        <v>30000</v>
      </c>
      <c r="AN56" s="95">
        <v>9</v>
      </c>
      <c r="AO56" s="96">
        <v>60000</v>
      </c>
      <c r="AP56" s="96">
        <v>4</v>
      </c>
      <c r="AQ56" s="97">
        <v>180000</v>
      </c>
      <c r="AR56" s="134">
        <v>2</v>
      </c>
      <c r="AS56" s="135"/>
      <c r="AT56" s="135"/>
      <c r="AU56" s="113">
        <v>3480000</v>
      </c>
      <c r="AV56" s="113">
        <v>7568000</v>
      </c>
      <c r="AW56" s="113">
        <v>320</v>
      </c>
      <c r="AX56" s="113"/>
      <c r="AY56" s="113">
        <v>408</v>
      </c>
      <c r="AZ56" s="113"/>
      <c r="BA56" s="82" t="s">
        <v>605</v>
      </c>
      <c r="BB56" s="32"/>
      <c r="BC56" s="32"/>
      <c r="BD56" s="32"/>
      <c r="BE56" s="32">
        <v>1</v>
      </c>
      <c r="BF56" s="32"/>
      <c r="BG56" s="32"/>
      <c r="BH56" s="32">
        <v>1</v>
      </c>
      <c r="BI56" s="32"/>
      <c r="BJ56" s="32"/>
      <c r="BK56" s="32"/>
      <c r="BL56" s="32"/>
      <c r="BM56" s="32"/>
      <c r="BN56" s="32"/>
      <c r="BO56" s="32"/>
      <c r="BP56" s="32"/>
      <c r="BQ56" s="32"/>
      <c r="BR56" s="32"/>
      <c r="BS56" s="32"/>
      <c r="BT56" s="32"/>
      <c r="BU56" s="32">
        <v>1</v>
      </c>
      <c r="BV56" s="81" t="s">
        <v>971</v>
      </c>
      <c r="BW56" s="113"/>
      <c r="BX56" s="113"/>
      <c r="BY56" s="113"/>
      <c r="BZ56" s="113"/>
      <c r="CA56" s="113"/>
      <c r="CB56" s="113"/>
      <c r="CC56" s="113"/>
      <c r="CD56" s="32"/>
      <c r="CE56" s="32"/>
      <c r="CF56" s="32"/>
      <c r="CG56" s="32"/>
      <c r="CH56" s="32"/>
      <c r="CI56" s="32"/>
      <c r="CJ56" s="32"/>
      <c r="CK56" s="32"/>
      <c r="CL56" s="32"/>
      <c r="CM56" s="32"/>
      <c r="CN56" s="32"/>
    </row>
    <row r="57" spans="1:92" ht="21" customHeight="1">
      <c r="A57" s="109">
        <v>55</v>
      </c>
      <c r="B57" s="23" t="s">
        <v>1143</v>
      </c>
      <c r="C57" s="111" t="s">
        <v>787</v>
      </c>
      <c r="D57" s="110" t="s">
        <v>659</v>
      </c>
      <c r="E57" s="111" t="s">
        <v>786</v>
      </c>
      <c r="F57" s="111" t="s">
        <v>95</v>
      </c>
      <c r="G57" s="24" t="s">
        <v>164</v>
      </c>
      <c r="H57" s="112" t="s">
        <v>857</v>
      </c>
      <c r="I57" s="13">
        <v>3054</v>
      </c>
      <c r="J57" s="19">
        <v>3062</v>
      </c>
      <c r="K57" s="124">
        <v>291.10000000000002</v>
      </c>
      <c r="L57" s="125">
        <v>88.6</v>
      </c>
      <c r="M57" s="125">
        <v>58.15</v>
      </c>
      <c r="N57" s="125">
        <v>68.06</v>
      </c>
      <c r="O57" s="20"/>
      <c r="P57" s="41" t="s">
        <v>415</v>
      </c>
      <c r="Q57" s="37" t="s">
        <v>270</v>
      </c>
      <c r="R57" s="37">
        <v>30</v>
      </c>
      <c r="S57" s="37">
        <v>38</v>
      </c>
      <c r="T57" s="37">
        <v>43</v>
      </c>
      <c r="U57" s="37">
        <v>48</v>
      </c>
      <c r="V57" s="109"/>
      <c r="W57" s="109">
        <v>159</v>
      </c>
      <c r="X57" s="94"/>
      <c r="Y57" s="94"/>
      <c r="Z57" s="94"/>
      <c r="AA57" s="94"/>
      <c r="AB57" s="94"/>
      <c r="AC57" s="94"/>
      <c r="AD57" s="94">
        <v>39500</v>
      </c>
      <c r="AE57" s="94">
        <v>58500</v>
      </c>
      <c r="AF57" s="94">
        <v>86500</v>
      </c>
      <c r="AG57" s="94">
        <v>125000</v>
      </c>
      <c r="AH57" s="98">
        <v>159000</v>
      </c>
      <c r="AI57" s="94"/>
      <c r="AJ57" s="94"/>
      <c r="AK57" s="32"/>
      <c r="AL57" s="113"/>
      <c r="AM57" s="95">
        <v>17500</v>
      </c>
      <c r="AN57" s="95">
        <v>9</v>
      </c>
      <c r="AO57" s="96">
        <v>35000</v>
      </c>
      <c r="AP57" s="96">
        <v>4</v>
      </c>
      <c r="AQ57" s="97">
        <v>105000</v>
      </c>
      <c r="AR57" s="134">
        <v>2</v>
      </c>
      <c r="AS57" s="135"/>
      <c r="AT57" s="135"/>
      <c r="AU57" s="113">
        <v>2030000</v>
      </c>
      <c r="AV57" s="113"/>
      <c r="AW57" s="113">
        <v>302</v>
      </c>
      <c r="AX57" s="113"/>
      <c r="AY57" s="113">
        <v>387</v>
      </c>
      <c r="AZ57" s="113"/>
      <c r="BA57" s="82" t="s">
        <v>640</v>
      </c>
      <c r="BB57" s="32"/>
      <c r="BC57" s="32"/>
      <c r="BD57" s="32"/>
      <c r="BE57" s="32"/>
      <c r="BF57" s="32"/>
      <c r="BG57" s="32"/>
      <c r="BH57" s="32"/>
      <c r="BI57" s="32"/>
      <c r="BJ57" s="32"/>
      <c r="BK57" s="32"/>
      <c r="BL57" s="32"/>
      <c r="BM57" s="32">
        <v>1</v>
      </c>
      <c r="BN57" s="32"/>
      <c r="BO57" s="32">
        <v>1</v>
      </c>
      <c r="BP57" s="32">
        <v>1</v>
      </c>
      <c r="BQ57" s="32"/>
      <c r="BR57" s="32"/>
      <c r="BS57" s="32"/>
      <c r="BT57" s="32"/>
      <c r="BU57" s="32"/>
      <c r="BV57" s="81" t="s">
        <v>80</v>
      </c>
      <c r="BW57" s="113"/>
      <c r="BX57" s="113"/>
      <c r="BY57" s="113">
        <v>1</v>
      </c>
      <c r="BZ57" s="113">
        <v>6</v>
      </c>
      <c r="CA57" s="113"/>
      <c r="CB57" s="113"/>
      <c r="CC57" s="113"/>
      <c r="CD57" s="32"/>
      <c r="CE57" s="32"/>
      <c r="CF57" s="32"/>
      <c r="CG57" s="32"/>
      <c r="CH57" s="32"/>
      <c r="CI57" s="32"/>
      <c r="CJ57" s="32"/>
      <c r="CK57" s="32"/>
      <c r="CL57" s="32"/>
      <c r="CM57" s="32"/>
      <c r="CN57" s="32"/>
    </row>
    <row r="58" spans="1:92" ht="21" customHeight="1">
      <c r="A58" s="109">
        <v>56</v>
      </c>
      <c r="B58" s="23" t="s">
        <v>1144</v>
      </c>
      <c r="C58" s="111" t="s">
        <v>1145</v>
      </c>
      <c r="D58" s="110" t="s">
        <v>102</v>
      </c>
      <c r="E58" s="111" t="s">
        <v>1015</v>
      </c>
      <c r="F58" s="111" t="s">
        <v>95</v>
      </c>
      <c r="G58" s="24" t="s">
        <v>164</v>
      </c>
      <c r="H58" s="112" t="s">
        <v>1016</v>
      </c>
      <c r="I58" s="13">
        <v>3575</v>
      </c>
      <c r="J58" s="14">
        <v>3083</v>
      </c>
      <c r="K58" s="120">
        <v>332.7</v>
      </c>
      <c r="L58" s="121">
        <v>78.92</v>
      </c>
      <c r="M58" s="121">
        <v>70.489999999999995</v>
      </c>
      <c r="N58" s="121">
        <v>57.24</v>
      </c>
      <c r="O58" s="15"/>
      <c r="P58" s="41" t="s">
        <v>415</v>
      </c>
      <c r="Q58" s="37">
        <v>35</v>
      </c>
      <c r="R58" s="75">
        <v>35</v>
      </c>
      <c r="S58" s="37">
        <v>36</v>
      </c>
      <c r="T58" s="37">
        <v>38</v>
      </c>
      <c r="U58" s="37">
        <v>42</v>
      </c>
      <c r="V58" s="109"/>
      <c r="W58" s="109">
        <v>186</v>
      </c>
      <c r="X58" s="105">
        <v>16000</v>
      </c>
      <c r="Y58" s="105">
        <v>20000</v>
      </c>
      <c r="Z58" s="105">
        <v>25000</v>
      </c>
      <c r="AA58" s="96">
        <v>33000</v>
      </c>
      <c r="AB58" s="96">
        <v>46000</v>
      </c>
      <c r="AC58" s="96">
        <v>62000</v>
      </c>
      <c r="AD58" s="96">
        <v>87000</v>
      </c>
      <c r="AE58" s="96">
        <v>118000</v>
      </c>
      <c r="AF58" s="96">
        <v>138000</v>
      </c>
      <c r="AG58" s="96">
        <v>154000</v>
      </c>
      <c r="AH58" s="96">
        <v>159000</v>
      </c>
      <c r="AI58" s="96">
        <v>164000</v>
      </c>
      <c r="AJ58" s="96"/>
      <c r="AK58" s="100"/>
      <c r="AL58" s="113">
        <v>4088000</v>
      </c>
      <c r="AM58" s="95">
        <v>28000</v>
      </c>
      <c r="AN58" s="95">
        <v>9</v>
      </c>
      <c r="AO58" s="96">
        <v>56000</v>
      </c>
      <c r="AP58" s="96">
        <v>4</v>
      </c>
      <c r="AQ58" s="97">
        <v>168000</v>
      </c>
      <c r="AR58" s="134">
        <v>2</v>
      </c>
      <c r="AS58" s="135"/>
      <c r="AT58" s="135"/>
      <c r="AU58" s="113">
        <v>3248000</v>
      </c>
      <c r="AV58" s="113">
        <v>7336000</v>
      </c>
      <c r="AW58" s="113">
        <v>346</v>
      </c>
      <c r="AX58" s="113"/>
      <c r="AY58" s="113">
        <v>448</v>
      </c>
      <c r="AZ58" s="113"/>
      <c r="BA58" s="82" t="s">
        <v>901</v>
      </c>
      <c r="BB58" s="32"/>
      <c r="BC58" s="32"/>
      <c r="BD58" s="32"/>
      <c r="BE58" s="32"/>
      <c r="BF58" s="32"/>
      <c r="BG58" s="32"/>
      <c r="BH58" s="32"/>
      <c r="BI58" s="32"/>
      <c r="BJ58" s="32"/>
      <c r="BK58" s="32"/>
      <c r="BL58" s="32"/>
      <c r="BM58" s="32"/>
      <c r="BN58" s="32"/>
      <c r="BO58" s="32"/>
      <c r="BP58" s="32"/>
      <c r="BQ58" s="32"/>
      <c r="BR58" s="32"/>
      <c r="BS58" s="32"/>
      <c r="BT58" s="32"/>
      <c r="BU58" s="32"/>
      <c r="BV58" s="113" t="s">
        <v>1017</v>
      </c>
      <c r="BW58" s="113"/>
      <c r="BX58" s="113"/>
      <c r="BY58" s="113"/>
      <c r="BZ58" s="113"/>
      <c r="CA58" s="113"/>
      <c r="CB58" s="113"/>
      <c r="CC58" s="113"/>
      <c r="CD58" s="32"/>
      <c r="CE58" s="32"/>
      <c r="CF58" s="32"/>
      <c r="CG58" s="32"/>
      <c r="CH58" s="32"/>
      <c r="CI58" s="32"/>
      <c r="CJ58" s="32"/>
      <c r="CK58" s="32"/>
      <c r="CL58" s="32"/>
      <c r="CM58" s="32"/>
      <c r="CN58" s="32"/>
    </row>
    <row r="59" spans="1:92" ht="21" customHeight="1">
      <c r="A59" s="109">
        <v>57</v>
      </c>
      <c r="B59" s="23" t="s">
        <v>1146</v>
      </c>
      <c r="C59" s="111" t="s">
        <v>993</v>
      </c>
      <c r="D59" s="110" t="s">
        <v>767</v>
      </c>
      <c r="E59" s="111" t="s">
        <v>994</v>
      </c>
      <c r="F59" s="111" t="s">
        <v>95</v>
      </c>
      <c r="G59" s="24" t="s">
        <v>164</v>
      </c>
      <c r="H59" s="112" t="s">
        <v>992</v>
      </c>
      <c r="I59" s="13">
        <v>3660</v>
      </c>
      <c r="J59" s="14">
        <v>3100</v>
      </c>
      <c r="K59" s="120">
        <v>342.9</v>
      </c>
      <c r="L59" s="121">
        <v>76.48</v>
      </c>
      <c r="M59" s="121">
        <v>72.36</v>
      </c>
      <c r="N59" s="121">
        <v>38.94</v>
      </c>
      <c r="O59" s="15"/>
      <c r="P59" s="41" t="s">
        <v>415</v>
      </c>
      <c r="Q59" s="37" t="s">
        <v>270</v>
      </c>
      <c r="R59" s="37">
        <v>30</v>
      </c>
      <c r="S59" s="37">
        <v>38</v>
      </c>
      <c r="T59" s="37">
        <v>43</v>
      </c>
      <c r="U59" s="37">
        <v>48</v>
      </c>
      <c r="V59" s="109"/>
      <c r="W59" s="109">
        <v>159</v>
      </c>
      <c r="X59" s="94">
        <v>10000</v>
      </c>
      <c r="Y59" s="94">
        <v>17000</v>
      </c>
      <c r="Z59" s="94">
        <v>24000</v>
      </c>
      <c r="AA59" s="94">
        <v>30000</v>
      </c>
      <c r="AB59" s="94">
        <v>44000</v>
      </c>
      <c r="AC59" s="94">
        <v>58000</v>
      </c>
      <c r="AD59" s="94">
        <v>78000</v>
      </c>
      <c r="AE59" s="94">
        <v>94000</v>
      </c>
      <c r="AF59" s="96">
        <v>106000</v>
      </c>
      <c r="AG59" s="96">
        <v>115000</v>
      </c>
      <c r="AH59" s="96">
        <v>122000</v>
      </c>
      <c r="AI59" s="96">
        <v>130000</v>
      </c>
      <c r="AJ59" s="94"/>
      <c r="AK59" s="32"/>
      <c r="AL59" s="113">
        <v>3312000</v>
      </c>
      <c r="AM59" s="95">
        <v>21000</v>
      </c>
      <c r="AN59" s="95">
        <v>9</v>
      </c>
      <c r="AO59" s="96">
        <v>42000</v>
      </c>
      <c r="AP59" s="96">
        <v>4</v>
      </c>
      <c r="AQ59" s="97">
        <v>126000</v>
      </c>
      <c r="AR59" s="134">
        <v>2</v>
      </c>
      <c r="AS59" s="135"/>
      <c r="AT59" s="135"/>
      <c r="AU59" s="113">
        <v>2436000</v>
      </c>
      <c r="AV59" s="113">
        <v>5748000</v>
      </c>
      <c r="AW59" s="113">
        <v>357</v>
      </c>
      <c r="AX59" s="113"/>
      <c r="AY59" s="113">
        <v>466</v>
      </c>
      <c r="AZ59" s="113"/>
      <c r="BA59" s="82" t="s">
        <v>640</v>
      </c>
      <c r="BB59" s="32"/>
      <c r="BC59" s="32"/>
      <c r="BD59" s="32"/>
      <c r="BE59" s="32"/>
      <c r="BF59" s="32"/>
      <c r="BG59" s="32"/>
      <c r="BH59" s="32"/>
      <c r="BI59" s="32"/>
      <c r="BJ59" s="32"/>
      <c r="BK59" s="32"/>
      <c r="BL59" s="32"/>
      <c r="BM59" s="32">
        <v>1</v>
      </c>
      <c r="BN59" s="32"/>
      <c r="BO59" s="32">
        <v>1</v>
      </c>
      <c r="BP59" s="32"/>
      <c r="BQ59" s="32"/>
      <c r="BR59" s="32"/>
      <c r="BS59" s="32"/>
      <c r="BT59" s="32"/>
      <c r="BU59" s="32"/>
      <c r="BV59" s="113" t="s">
        <v>753</v>
      </c>
      <c r="BW59" s="113"/>
      <c r="BX59" s="113"/>
      <c r="BY59" s="113">
        <v>1</v>
      </c>
      <c r="BZ59" s="113">
        <v>9</v>
      </c>
      <c r="CA59" s="113"/>
      <c r="CB59" s="113"/>
      <c r="CC59" s="113"/>
      <c r="CD59" s="32"/>
      <c r="CE59" s="32"/>
      <c r="CF59" s="32"/>
      <c r="CG59" s="32"/>
      <c r="CH59" s="32"/>
      <c r="CI59" s="32"/>
      <c r="CJ59" s="32"/>
      <c r="CK59" s="32"/>
      <c r="CL59" s="32"/>
      <c r="CM59" s="32"/>
      <c r="CN59" s="32"/>
    </row>
    <row r="60" spans="1:92" ht="21" customHeight="1">
      <c r="A60" s="109">
        <v>58</v>
      </c>
      <c r="B60" s="23" t="s">
        <v>1147</v>
      </c>
      <c r="C60" s="111" t="s">
        <v>812</v>
      </c>
      <c r="D60" s="110" t="s">
        <v>810</v>
      </c>
      <c r="E60" s="111" t="s">
        <v>811</v>
      </c>
      <c r="F60" s="111" t="s">
        <v>95</v>
      </c>
      <c r="G60" s="18" t="s">
        <v>89</v>
      </c>
      <c r="H60" s="112" t="s">
        <v>878</v>
      </c>
      <c r="I60" s="13">
        <v>3112</v>
      </c>
      <c r="J60" s="14">
        <v>3109</v>
      </c>
      <c r="K60" s="120">
        <v>336.9</v>
      </c>
      <c r="L60" s="121">
        <v>78.709999999999994</v>
      </c>
      <c r="M60" s="121">
        <v>50.36</v>
      </c>
      <c r="N60" s="121">
        <v>59.53</v>
      </c>
      <c r="O60" s="15"/>
      <c r="P60" s="41" t="s">
        <v>415</v>
      </c>
      <c r="Q60" s="22">
        <v>35</v>
      </c>
      <c r="R60" s="37">
        <v>38</v>
      </c>
      <c r="S60" s="37">
        <v>42</v>
      </c>
      <c r="T60" s="37">
        <v>48</v>
      </c>
      <c r="U60" s="109"/>
      <c r="V60" s="109"/>
      <c r="W60" s="109">
        <v>163</v>
      </c>
      <c r="X60" s="94">
        <v>10000</v>
      </c>
      <c r="Y60" s="94">
        <v>17000</v>
      </c>
      <c r="Z60" s="94">
        <v>24000</v>
      </c>
      <c r="AA60" s="94">
        <v>30000</v>
      </c>
      <c r="AB60" s="94">
        <v>44000</v>
      </c>
      <c r="AC60" s="94">
        <v>58000</v>
      </c>
      <c r="AD60" s="94">
        <v>78000</v>
      </c>
      <c r="AE60" s="94">
        <v>94000</v>
      </c>
      <c r="AF60" s="94"/>
      <c r="AG60" s="94"/>
      <c r="AH60" s="94"/>
      <c r="AI60" s="94"/>
      <c r="AJ60" s="94"/>
      <c r="AK60" s="32"/>
      <c r="AL60" s="113"/>
      <c r="AM60" s="95">
        <v>20000</v>
      </c>
      <c r="AN60" s="95">
        <v>6</v>
      </c>
      <c r="AO60" s="96">
        <v>40000</v>
      </c>
      <c r="AP60" s="96">
        <v>3</v>
      </c>
      <c r="AQ60" s="97">
        <v>120000</v>
      </c>
      <c r="AR60" s="134">
        <v>1</v>
      </c>
      <c r="AS60" s="135"/>
      <c r="AT60" s="135"/>
      <c r="AU60" s="113"/>
      <c r="AV60" s="113"/>
      <c r="AW60" s="113">
        <v>351</v>
      </c>
      <c r="AX60" s="113"/>
      <c r="AY60" s="113">
        <v>455</v>
      </c>
      <c r="AZ60" s="113"/>
      <c r="BA60" s="82" t="s">
        <v>605</v>
      </c>
      <c r="BB60" s="32"/>
      <c r="BC60" s="32"/>
      <c r="BD60" s="32"/>
      <c r="BE60" s="32"/>
      <c r="BF60" s="32"/>
      <c r="BG60" s="32"/>
      <c r="BH60" s="32">
        <v>1</v>
      </c>
      <c r="BI60" s="32"/>
      <c r="BJ60" s="32"/>
      <c r="BK60" s="32"/>
      <c r="BL60" s="32"/>
      <c r="BM60" s="32"/>
      <c r="BN60" s="32"/>
      <c r="BO60" s="32"/>
      <c r="BP60" s="32">
        <v>1</v>
      </c>
      <c r="BQ60" s="32"/>
      <c r="BR60" s="32"/>
      <c r="BS60" s="32"/>
      <c r="BT60" s="32"/>
      <c r="BU60" s="32"/>
      <c r="BV60" s="113"/>
      <c r="BW60" s="113"/>
      <c r="BX60" s="113"/>
      <c r="BY60" s="113">
        <v>1</v>
      </c>
      <c r="BZ60" s="113">
        <v>5</v>
      </c>
      <c r="CA60" s="113"/>
      <c r="CB60" s="113"/>
      <c r="CC60" s="113"/>
      <c r="CD60" s="32"/>
      <c r="CE60" s="32"/>
      <c r="CF60" s="32"/>
      <c r="CG60" s="32"/>
      <c r="CH60" s="32"/>
      <c r="CI60" s="32"/>
      <c r="CJ60" s="32"/>
      <c r="CK60" s="32"/>
      <c r="CL60" s="77"/>
      <c r="CM60" s="32"/>
      <c r="CN60" s="32"/>
    </row>
    <row r="61" spans="1:92" ht="21" customHeight="1">
      <c r="A61" s="109">
        <v>59</v>
      </c>
      <c r="B61" s="23" t="s">
        <v>1148</v>
      </c>
      <c r="C61" s="111" t="s">
        <v>925</v>
      </c>
      <c r="D61" s="110" t="s">
        <v>74</v>
      </c>
      <c r="E61" s="111" t="s">
        <v>924</v>
      </c>
      <c r="F61" s="111" t="s">
        <v>95</v>
      </c>
      <c r="G61" s="24" t="s">
        <v>164</v>
      </c>
      <c r="H61" s="112" t="s">
        <v>926</v>
      </c>
      <c r="I61" s="13">
        <v>3121</v>
      </c>
      <c r="J61" s="38">
        <v>3121</v>
      </c>
      <c r="K61" s="130">
        <v>303.10000000000002</v>
      </c>
      <c r="L61" s="131">
        <v>76.12</v>
      </c>
      <c r="M61" s="131">
        <v>91.7</v>
      </c>
      <c r="N61" s="131">
        <v>80.03</v>
      </c>
      <c r="O61" s="39"/>
      <c r="P61" s="41" t="s">
        <v>415</v>
      </c>
      <c r="Q61" s="37" t="s">
        <v>270</v>
      </c>
      <c r="R61" s="37">
        <v>35</v>
      </c>
      <c r="S61" s="37">
        <v>38</v>
      </c>
      <c r="T61" s="37">
        <v>48</v>
      </c>
      <c r="U61" s="37">
        <v>58</v>
      </c>
      <c r="V61" s="109"/>
      <c r="W61" s="109">
        <v>179</v>
      </c>
      <c r="X61" s="94"/>
      <c r="Y61" s="94"/>
      <c r="Z61" s="94"/>
      <c r="AA61" s="94"/>
      <c r="AB61" s="94"/>
      <c r="AC61" s="94"/>
      <c r="AD61" s="94"/>
      <c r="AE61" s="94"/>
      <c r="AF61" s="94"/>
      <c r="AG61" s="94"/>
      <c r="AH61" s="94"/>
      <c r="AI61" s="94"/>
      <c r="AJ61" s="94"/>
      <c r="AK61" s="32"/>
      <c r="AL61" s="113"/>
      <c r="AM61" s="95">
        <v>17500</v>
      </c>
      <c r="AN61" s="95">
        <v>9</v>
      </c>
      <c r="AO61" s="96">
        <v>35000</v>
      </c>
      <c r="AP61" s="96">
        <v>4</v>
      </c>
      <c r="AQ61" s="97">
        <v>105000</v>
      </c>
      <c r="AR61" s="134">
        <v>2</v>
      </c>
      <c r="AS61" s="135"/>
      <c r="AT61" s="135"/>
      <c r="AU61" s="113">
        <v>2030000</v>
      </c>
      <c r="AV61" s="113"/>
      <c r="AW61" s="113">
        <v>316</v>
      </c>
      <c r="AX61" s="113"/>
      <c r="AY61" s="113">
        <v>403</v>
      </c>
      <c r="AZ61" s="113"/>
      <c r="BA61" s="82" t="s">
        <v>636</v>
      </c>
      <c r="BB61" s="32"/>
      <c r="BC61" s="32"/>
      <c r="BD61" s="32"/>
      <c r="BE61" s="32"/>
      <c r="BF61" s="32"/>
      <c r="BG61" s="32"/>
      <c r="BH61" s="32"/>
      <c r="BI61" s="32">
        <v>1</v>
      </c>
      <c r="BJ61" s="32"/>
      <c r="BK61" s="32"/>
      <c r="BL61" s="32"/>
      <c r="BM61" s="32"/>
      <c r="BN61" s="32"/>
      <c r="BO61" s="32">
        <v>1</v>
      </c>
      <c r="BP61" s="32"/>
      <c r="BQ61" s="84"/>
      <c r="BR61" s="32"/>
      <c r="BS61" s="32"/>
      <c r="BT61" s="32">
        <v>1</v>
      </c>
      <c r="BU61" s="32"/>
      <c r="BV61" s="81" t="s">
        <v>1149</v>
      </c>
      <c r="BW61" s="113"/>
      <c r="BX61" s="113"/>
      <c r="BY61" s="113"/>
      <c r="BZ61" s="113"/>
      <c r="CA61" s="113"/>
      <c r="CB61" s="113"/>
      <c r="CC61" s="113"/>
      <c r="CD61" s="32"/>
      <c r="CE61" s="32"/>
      <c r="CF61" s="32"/>
      <c r="CG61" s="32"/>
      <c r="CH61" s="32"/>
      <c r="CI61" s="32"/>
      <c r="CJ61" s="32"/>
      <c r="CK61" s="32"/>
      <c r="CL61" s="77"/>
      <c r="CM61" s="32"/>
      <c r="CN61" s="32"/>
    </row>
    <row r="62" spans="1:92" ht="21" customHeight="1">
      <c r="A62" s="109">
        <v>60</v>
      </c>
      <c r="B62" s="23" t="s">
        <v>1150</v>
      </c>
      <c r="C62" s="111" t="s">
        <v>808</v>
      </c>
      <c r="D62" s="110" t="s">
        <v>806</v>
      </c>
      <c r="E62" s="111" t="s">
        <v>807</v>
      </c>
      <c r="F62" s="111" t="s">
        <v>95</v>
      </c>
      <c r="G62" s="18" t="s">
        <v>89</v>
      </c>
      <c r="H62" s="112" t="s">
        <v>878</v>
      </c>
      <c r="I62" s="13">
        <v>3144</v>
      </c>
      <c r="J62" s="38">
        <v>3148</v>
      </c>
      <c r="K62" s="130">
        <v>305.3</v>
      </c>
      <c r="L62" s="131">
        <v>76.739999999999995</v>
      </c>
      <c r="M62" s="131">
        <v>82.8</v>
      </c>
      <c r="N62" s="131">
        <v>74.069999999999993</v>
      </c>
      <c r="O62" s="39"/>
      <c r="P62" s="41" t="s">
        <v>415</v>
      </c>
      <c r="Q62" s="22">
        <v>35</v>
      </c>
      <c r="R62" s="37">
        <v>38</v>
      </c>
      <c r="S62" s="37">
        <v>42</v>
      </c>
      <c r="T62" s="37">
        <v>48</v>
      </c>
      <c r="U62" s="37"/>
      <c r="V62" s="109"/>
      <c r="W62" s="109">
        <v>163</v>
      </c>
      <c r="X62" s="94"/>
      <c r="Y62" s="94"/>
      <c r="Z62" s="94"/>
      <c r="AA62" s="94"/>
      <c r="AB62" s="94"/>
      <c r="AC62" s="94"/>
      <c r="AD62" s="94"/>
      <c r="AE62" s="94"/>
      <c r="AF62" s="94"/>
      <c r="AG62" s="94"/>
      <c r="AH62" s="94"/>
      <c r="AI62" s="94"/>
      <c r="AJ62" s="94"/>
      <c r="AK62" s="32"/>
      <c r="AL62" s="113"/>
      <c r="AM62" s="95">
        <v>17500</v>
      </c>
      <c r="AN62" s="95">
        <v>6</v>
      </c>
      <c r="AO62" s="96">
        <v>35000</v>
      </c>
      <c r="AP62" s="96">
        <v>3</v>
      </c>
      <c r="AQ62" s="97">
        <v>105000</v>
      </c>
      <c r="AR62" s="134">
        <v>1</v>
      </c>
      <c r="AS62" s="135"/>
      <c r="AT62" s="135"/>
      <c r="AU62" s="113">
        <v>1260000</v>
      </c>
      <c r="AV62" s="113"/>
      <c r="AW62" s="113">
        <v>318</v>
      </c>
      <c r="AX62" s="113">
        <v>327</v>
      </c>
      <c r="AY62" s="113">
        <v>415</v>
      </c>
      <c r="AZ62" s="113"/>
      <c r="BA62" s="82" t="s">
        <v>641</v>
      </c>
      <c r="BB62" s="32"/>
      <c r="BC62" s="32"/>
      <c r="BD62" s="32"/>
      <c r="BE62" s="32"/>
      <c r="BF62" s="32"/>
      <c r="BG62" s="32"/>
      <c r="BH62" s="32"/>
      <c r="BI62" s="32"/>
      <c r="BJ62" s="32"/>
      <c r="BK62" s="32"/>
      <c r="BL62" s="32"/>
      <c r="BM62" s="32"/>
      <c r="BN62" s="32">
        <v>1</v>
      </c>
      <c r="BO62" s="32"/>
      <c r="BP62" s="32">
        <v>1</v>
      </c>
      <c r="BQ62" s="84" t="s">
        <v>799</v>
      </c>
      <c r="BR62" s="32"/>
      <c r="BS62" s="32"/>
      <c r="BT62" s="32"/>
      <c r="BU62" s="32"/>
      <c r="BV62" s="81" t="s">
        <v>809</v>
      </c>
      <c r="BW62" s="113"/>
      <c r="BX62" s="113"/>
      <c r="BY62" s="113">
        <v>1</v>
      </c>
      <c r="BZ62" s="113">
        <v>5</v>
      </c>
      <c r="CA62" s="113"/>
      <c r="CB62" s="113"/>
      <c r="CC62" s="113"/>
      <c r="CD62" s="32"/>
      <c r="CE62" s="32"/>
      <c r="CF62" s="32"/>
      <c r="CG62" s="32"/>
      <c r="CH62" s="32"/>
      <c r="CI62" s="32"/>
      <c r="CJ62" s="32"/>
      <c r="CK62" s="32"/>
      <c r="CL62" s="32"/>
      <c r="CM62" s="32"/>
      <c r="CN62" s="32"/>
    </row>
    <row r="63" spans="1:92" ht="21" customHeight="1">
      <c r="A63" s="109">
        <v>61</v>
      </c>
      <c r="B63" s="23" t="s">
        <v>1450</v>
      </c>
      <c r="C63" s="111" t="s">
        <v>1451</v>
      </c>
      <c r="D63" s="110" t="s">
        <v>99</v>
      </c>
      <c r="E63" s="111" t="s">
        <v>1452</v>
      </c>
      <c r="F63" s="111" t="s">
        <v>95</v>
      </c>
      <c r="G63" s="18" t="s">
        <v>89</v>
      </c>
      <c r="H63" s="115" t="s">
        <v>1443</v>
      </c>
      <c r="I63" s="13"/>
      <c r="J63" s="14">
        <v>3210</v>
      </c>
      <c r="K63" s="120">
        <v>312.10000000000002</v>
      </c>
      <c r="L63" s="121">
        <v>79.72</v>
      </c>
      <c r="M63" s="121">
        <v>84.61</v>
      </c>
      <c r="N63" s="121">
        <v>70.45</v>
      </c>
      <c r="O63" s="15"/>
      <c r="P63" s="41" t="s">
        <v>415</v>
      </c>
      <c r="Q63" s="22">
        <v>35</v>
      </c>
      <c r="R63" s="37">
        <v>38</v>
      </c>
      <c r="S63" s="22">
        <v>48</v>
      </c>
      <c r="T63" s="37">
        <v>58</v>
      </c>
      <c r="U63" s="37"/>
      <c r="V63" s="109"/>
      <c r="W63" s="109"/>
      <c r="X63" s="96">
        <v>15000</v>
      </c>
      <c r="Y63" s="96">
        <v>18000</v>
      </c>
      <c r="Z63" s="96">
        <v>28000</v>
      </c>
      <c r="AA63" s="105">
        <v>36000</v>
      </c>
      <c r="AB63" s="105">
        <v>54000</v>
      </c>
      <c r="AC63" s="105">
        <v>72000</v>
      </c>
      <c r="AD63" s="105">
        <v>102000</v>
      </c>
      <c r="AE63" s="94">
        <v>124000</v>
      </c>
      <c r="AF63" s="94">
        <v>136000</v>
      </c>
      <c r="AG63" s="94">
        <v>150000</v>
      </c>
      <c r="AH63" s="94">
        <v>154000</v>
      </c>
      <c r="AI63" s="94"/>
      <c r="AJ63" s="94"/>
      <c r="AK63" s="32"/>
      <c r="AL63" s="113">
        <v>3556000</v>
      </c>
      <c r="AM63" s="95">
        <v>28000</v>
      </c>
      <c r="AN63" s="95">
        <v>6</v>
      </c>
      <c r="AO63" s="96">
        <v>56000</v>
      </c>
      <c r="AP63" s="96">
        <v>3</v>
      </c>
      <c r="AQ63" s="97">
        <v>168000</v>
      </c>
      <c r="AR63" s="134">
        <v>1</v>
      </c>
      <c r="AS63" s="135"/>
      <c r="AT63" s="135"/>
      <c r="AU63" s="113">
        <v>2016000</v>
      </c>
      <c r="AV63" s="113">
        <v>5572000</v>
      </c>
      <c r="AW63" s="113">
        <v>325</v>
      </c>
      <c r="AX63" s="113"/>
      <c r="AY63" s="113">
        <v>414</v>
      </c>
      <c r="AZ63" s="113"/>
      <c r="BA63" s="82" t="s">
        <v>901</v>
      </c>
      <c r="BB63" s="32"/>
      <c r="BC63" s="32"/>
      <c r="BD63" s="32"/>
      <c r="BE63" s="32"/>
      <c r="BF63" s="32"/>
      <c r="BG63" s="32"/>
      <c r="BH63" s="32"/>
      <c r="BI63" s="32"/>
      <c r="BJ63" s="32"/>
      <c r="BK63" s="32"/>
      <c r="BL63" s="32"/>
      <c r="BM63" s="32"/>
      <c r="BN63" s="32"/>
      <c r="BO63" s="32"/>
      <c r="BP63" s="32"/>
      <c r="BQ63" s="32"/>
      <c r="BR63" s="32"/>
      <c r="BS63" s="32"/>
      <c r="BT63" s="32"/>
      <c r="BU63" s="32"/>
      <c r="BV63" s="81" t="s">
        <v>747</v>
      </c>
      <c r="BW63" s="113"/>
      <c r="BX63" s="113"/>
      <c r="BY63" s="113"/>
      <c r="BZ63" s="113"/>
      <c r="CA63" s="113"/>
      <c r="CB63" s="113"/>
      <c r="CC63" s="113"/>
      <c r="CD63" s="32"/>
      <c r="CE63" s="32"/>
      <c r="CF63" s="32"/>
      <c r="CG63" s="32"/>
      <c r="CH63" s="32"/>
      <c r="CI63" s="32"/>
      <c r="CJ63" s="32"/>
      <c r="CK63" s="32"/>
      <c r="CL63" s="32"/>
      <c r="CM63" s="32"/>
      <c r="CN63" s="32"/>
    </row>
    <row r="64" spans="1:92" ht="21" customHeight="1">
      <c r="A64" s="109">
        <v>62</v>
      </c>
      <c r="B64" s="23" t="s">
        <v>1390</v>
      </c>
      <c r="C64" s="111" t="s">
        <v>1391</v>
      </c>
      <c r="D64" s="110" t="s">
        <v>99</v>
      </c>
      <c r="E64" s="111" t="s">
        <v>1392</v>
      </c>
      <c r="F64" s="111" t="s">
        <v>95</v>
      </c>
      <c r="G64" s="18" t="s">
        <v>89</v>
      </c>
      <c r="H64" s="115" t="s">
        <v>1393</v>
      </c>
      <c r="I64" s="13"/>
      <c r="J64" s="14">
        <v>3229</v>
      </c>
      <c r="K64" s="120">
        <v>312.10000000000002</v>
      </c>
      <c r="L64" s="121">
        <v>87.92</v>
      </c>
      <c r="M64" s="121">
        <v>63.47</v>
      </c>
      <c r="N64" s="121">
        <v>62.72</v>
      </c>
      <c r="O64" s="15"/>
      <c r="P64" s="41" t="s">
        <v>415</v>
      </c>
      <c r="Q64" s="22">
        <v>35</v>
      </c>
      <c r="R64" s="37">
        <v>38</v>
      </c>
      <c r="S64" s="17">
        <v>48</v>
      </c>
      <c r="T64" s="17">
        <v>58</v>
      </c>
      <c r="U64" s="37"/>
      <c r="V64" s="109"/>
      <c r="W64" s="109"/>
      <c r="X64" s="96">
        <v>15000</v>
      </c>
      <c r="Y64" s="96">
        <v>18000</v>
      </c>
      <c r="Z64" s="96">
        <v>28000</v>
      </c>
      <c r="AA64" s="105">
        <v>36000</v>
      </c>
      <c r="AB64" s="105">
        <v>54000</v>
      </c>
      <c r="AC64" s="105">
        <v>72000</v>
      </c>
      <c r="AD64" s="105">
        <v>102000</v>
      </c>
      <c r="AE64" s="105">
        <v>124000</v>
      </c>
      <c r="AF64" s="105">
        <v>136000</v>
      </c>
      <c r="AG64" s="105">
        <v>150000</v>
      </c>
      <c r="AH64" s="105">
        <v>154000</v>
      </c>
      <c r="AI64" s="94"/>
      <c r="AJ64" s="94"/>
      <c r="AK64" s="32"/>
      <c r="AL64" s="113">
        <v>3556000</v>
      </c>
      <c r="AM64" s="95">
        <v>28000</v>
      </c>
      <c r="AN64" s="95">
        <v>6</v>
      </c>
      <c r="AO64" s="96">
        <v>56000</v>
      </c>
      <c r="AP64" s="96">
        <v>3</v>
      </c>
      <c r="AQ64" s="97">
        <v>168000</v>
      </c>
      <c r="AR64" s="134">
        <v>1</v>
      </c>
      <c r="AS64" s="135"/>
      <c r="AT64" s="135"/>
      <c r="AU64" s="113">
        <v>2016000</v>
      </c>
      <c r="AV64" s="113">
        <v>5572000</v>
      </c>
      <c r="AW64" s="113">
        <v>325</v>
      </c>
      <c r="AX64" s="113"/>
      <c r="AY64" s="113">
        <v>414</v>
      </c>
      <c r="AZ64" s="113"/>
      <c r="BA64" s="82" t="s">
        <v>641</v>
      </c>
      <c r="BB64" s="32"/>
      <c r="BC64" s="32"/>
      <c r="BD64" s="32"/>
      <c r="BE64" s="32"/>
      <c r="BF64" s="32"/>
      <c r="BG64" s="32"/>
      <c r="BH64" s="32"/>
      <c r="BI64" s="32"/>
      <c r="BJ64" s="32"/>
      <c r="BK64" s="32"/>
      <c r="BL64" s="32"/>
      <c r="BM64" s="32"/>
      <c r="BN64" s="32"/>
      <c r="BO64" s="32"/>
      <c r="BP64" s="32"/>
      <c r="BQ64" s="32"/>
      <c r="BR64" s="32"/>
      <c r="BS64" s="32"/>
      <c r="BT64" s="32"/>
      <c r="BU64" s="32"/>
      <c r="BV64" s="81" t="s">
        <v>1394</v>
      </c>
      <c r="BW64" s="113"/>
      <c r="BX64" s="113"/>
      <c r="BY64" s="113"/>
      <c r="BZ64" s="113"/>
      <c r="CA64" s="113"/>
      <c r="CB64" s="113"/>
      <c r="CC64" s="113"/>
      <c r="CD64" s="32"/>
      <c r="CE64" s="32"/>
      <c r="CF64" s="32"/>
      <c r="CG64" s="32"/>
      <c r="CH64" s="32"/>
      <c r="CI64" s="32"/>
      <c r="CJ64" s="32"/>
      <c r="CK64" s="32"/>
      <c r="CL64" s="32"/>
      <c r="CM64" s="32"/>
      <c r="CN64" s="32"/>
    </row>
    <row r="65" spans="1:92" ht="21" customHeight="1">
      <c r="A65" s="109">
        <v>63</v>
      </c>
      <c r="B65" s="23" t="s">
        <v>1151</v>
      </c>
      <c r="C65" s="111" t="s">
        <v>1029</v>
      </c>
      <c r="D65" s="110" t="s">
        <v>273</v>
      </c>
      <c r="E65" s="111" t="s">
        <v>1030</v>
      </c>
      <c r="F65" s="111" t="s">
        <v>95</v>
      </c>
      <c r="G65" s="24" t="s">
        <v>164</v>
      </c>
      <c r="H65" s="115" t="s">
        <v>1031</v>
      </c>
      <c r="I65" s="13"/>
      <c r="J65" s="14">
        <v>3244</v>
      </c>
      <c r="K65" s="120">
        <v>320.60000000000002</v>
      </c>
      <c r="L65" s="121">
        <v>80.98</v>
      </c>
      <c r="M65" s="121">
        <v>71.28</v>
      </c>
      <c r="N65" s="121">
        <v>61.34</v>
      </c>
      <c r="O65" s="15"/>
      <c r="P65" s="41" t="s">
        <v>415</v>
      </c>
      <c r="Q65" s="16">
        <v>35</v>
      </c>
      <c r="R65" s="16">
        <v>35</v>
      </c>
      <c r="S65" s="37">
        <v>36</v>
      </c>
      <c r="T65" s="37">
        <v>38</v>
      </c>
      <c r="U65" s="37">
        <v>42</v>
      </c>
      <c r="V65" s="109"/>
      <c r="W65" s="109">
        <v>186</v>
      </c>
      <c r="X65" s="96">
        <v>16000</v>
      </c>
      <c r="Y65" s="96">
        <v>20000</v>
      </c>
      <c r="Z65" s="96">
        <v>25000</v>
      </c>
      <c r="AA65" s="94">
        <v>33000</v>
      </c>
      <c r="AB65" s="94">
        <v>46000</v>
      </c>
      <c r="AC65" s="94">
        <v>62000</v>
      </c>
      <c r="AD65" s="94"/>
      <c r="AE65" s="94"/>
      <c r="AF65" s="94"/>
      <c r="AG65" s="94"/>
      <c r="AH65" s="94"/>
      <c r="AI65" s="94"/>
      <c r="AJ65" s="94"/>
      <c r="AK65" s="32"/>
      <c r="AL65" s="113"/>
      <c r="AM65" s="95">
        <v>30000</v>
      </c>
      <c r="AN65" s="95">
        <v>9</v>
      </c>
      <c r="AO65" s="96">
        <v>60000</v>
      </c>
      <c r="AP65" s="96">
        <v>4</v>
      </c>
      <c r="AQ65" s="97">
        <v>180000</v>
      </c>
      <c r="AR65" s="134">
        <v>2</v>
      </c>
      <c r="AS65" s="135"/>
      <c r="AT65" s="135"/>
      <c r="AU65" s="113"/>
      <c r="AV65" s="113"/>
      <c r="AW65" s="113">
        <v>334</v>
      </c>
      <c r="AX65" s="113"/>
      <c r="AY65" s="113">
        <v>427</v>
      </c>
      <c r="AZ65" s="113"/>
      <c r="BA65" s="113" t="s">
        <v>901</v>
      </c>
      <c r="BB65" s="32"/>
      <c r="BC65" s="32"/>
      <c r="BD65" s="32"/>
      <c r="BE65" s="32">
        <v>1</v>
      </c>
      <c r="BF65" s="32"/>
      <c r="BG65" s="32"/>
      <c r="BH65" s="32"/>
      <c r="BI65" s="32"/>
      <c r="BJ65" s="32"/>
      <c r="BK65" s="32"/>
      <c r="BL65" s="32"/>
      <c r="BM65" s="32"/>
      <c r="BN65" s="32"/>
      <c r="BO65" s="32"/>
      <c r="BP65" s="32"/>
      <c r="BQ65" s="32"/>
      <c r="BR65" s="32"/>
      <c r="BS65" s="32"/>
      <c r="BT65" s="32"/>
      <c r="BU65" s="32">
        <v>1</v>
      </c>
      <c r="BV65" s="81" t="s">
        <v>113</v>
      </c>
      <c r="BW65" s="113"/>
      <c r="BX65" s="113"/>
      <c r="BY65" s="113"/>
      <c r="BZ65" s="113"/>
      <c r="CA65" s="113"/>
      <c r="CB65" s="113"/>
      <c r="CC65" s="113"/>
      <c r="CD65" s="32"/>
      <c r="CE65" s="32"/>
      <c r="CF65" s="32"/>
      <c r="CG65" s="32"/>
      <c r="CH65" s="32"/>
      <c r="CI65" s="32"/>
      <c r="CJ65" s="32"/>
      <c r="CK65" s="32"/>
      <c r="CL65" s="77"/>
      <c r="CM65" s="32"/>
      <c r="CN65" s="32"/>
    </row>
    <row r="66" spans="1:92" ht="21" customHeight="1">
      <c r="A66" s="109">
        <v>64</v>
      </c>
      <c r="B66" s="23" t="s">
        <v>1422</v>
      </c>
      <c r="C66" s="111" t="s">
        <v>1423</v>
      </c>
      <c r="D66" s="110" t="s">
        <v>126</v>
      </c>
      <c r="E66" s="111" t="s">
        <v>1424</v>
      </c>
      <c r="F66" s="111" t="s">
        <v>95</v>
      </c>
      <c r="G66" s="18" t="s">
        <v>89</v>
      </c>
      <c r="H66" s="115" t="s">
        <v>1425</v>
      </c>
      <c r="I66" s="13"/>
      <c r="J66" s="14">
        <v>3246</v>
      </c>
      <c r="K66" s="120">
        <v>321</v>
      </c>
      <c r="L66" s="121">
        <v>75.52</v>
      </c>
      <c r="M66" s="121">
        <v>70.650000000000006</v>
      </c>
      <c r="N66" s="121">
        <v>74.61</v>
      </c>
      <c r="O66" s="15"/>
      <c r="P66" s="41" t="s">
        <v>415</v>
      </c>
      <c r="Q66" s="17">
        <v>35</v>
      </c>
      <c r="R66" s="17">
        <v>38</v>
      </c>
      <c r="S66" s="17">
        <v>48</v>
      </c>
      <c r="T66" s="17">
        <v>58</v>
      </c>
      <c r="U66" s="17"/>
      <c r="V66" s="109"/>
      <c r="W66" s="109"/>
      <c r="X66" s="96">
        <v>15000</v>
      </c>
      <c r="Y66" s="96">
        <v>18000</v>
      </c>
      <c r="Z66" s="96">
        <v>28000</v>
      </c>
      <c r="AA66" s="105">
        <v>36000</v>
      </c>
      <c r="AB66" s="105">
        <v>54000</v>
      </c>
      <c r="AC66" s="105">
        <v>72000</v>
      </c>
      <c r="AD66" s="105">
        <v>102000</v>
      </c>
      <c r="AE66" s="105">
        <v>124000</v>
      </c>
      <c r="AF66" s="105">
        <v>136000</v>
      </c>
      <c r="AG66" s="105">
        <v>150000</v>
      </c>
      <c r="AH66" s="105">
        <v>154000</v>
      </c>
      <c r="AI66" s="94"/>
      <c r="AJ66" s="94"/>
      <c r="AK66" s="32"/>
      <c r="AL66" s="113">
        <v>3556000</v>
      </c>
      <c r="AM66" s="95">
        <v>28000</v>
      </c>
      <c r="AN66" s="95">
        <v>6</v>
      </c>
      <c r="AO66" s="96">
        <v>56000</v>
      </c>
      <c r="AP66" s="96">
        <v>3</v>
      </c>
      <c r="AQ66" s="97">
        <v>168000</v>
      </c>
      <c r="AR66" s="134">
        <v>1</v>
      </c>
      <c r="AS66" s="135"/>
      <c r="AT66" s="135"/>
      <c r="AU66" s="113">
        <v>2016000</v>
      </c>
      <c r="AV66" s="113">
        <v>5572000</v>
      </c>
      <c r="AW66" s="113">
        <v>334</v>
      </c>
      <c r="AX66" s="113"/>
      <c r="AY66" s="113">
        <v>428</v>
      </c>
      <c r="AZ66" s="113"/>
      <c r="BA66" s="82" t="s">
        <v>605</v>
      </c>
      <c r="BB66" s="32"/>
      <c r="BC66" s="32"/>
      <c r="BD66" s="32"/>
      <c r="BE66" s="32"/>
      <c r="BF66" s="32"/>
      <c r="BG66" s="32"/>
      <c r="BH66" s="32"/>
      <c r="BI66" s="32"/>
      <c r="BJ66" s="32"/>
      <c r="BK66" s="32"/>
      <c r="BL66" s="32"/>
      <c r="BM66" s="32"/>
      <c r="BN66" s="32"/>
      <c r="BO66" s="32"/>
      <c r="BP66" s="32"/>
      <c r="BQ66" s="32"/>
      <c r="BR66" s="32"/>
      <c r="BS66" s="32"/>
      <c r="BT66" s="32"/>
      <c r="BU66" s="32"/>
      <c r="BV66" s="81"/>
      <c r="BW66" s="113"/>
      <c r="BX66" s="113"/>
      <c r="BY66" s="113"/>
      <c r="BZ66" s="113"/>
      <c r="CA66" s="113"/>
      <c r="CB66" s="113"/>
      <c r="CC66" s="113"/>
      <c r="CD66" s="32"/>
      <c r="CE66" s="32"/>
      <c r="CF66" s="32"/>
      <c r="CG66" s="32"/>
      <c r="CH66" s="32"/>
      <c r="CI66" s="32"/>
      <c r="CJ66" s="32"/>
      <c r="CK66" s="32"/>
      <c r="CL66" s="77"/>
      <c r="CM66" s="32"/>
      <c r="CN66" s="32"/>
    </row>
    <row r="67" spans="1:92" ht="21" customHeight="1">
      <c r="A67" s="109">
        <v>65</v>
      </c>
      <c r="B67" s="23" t="s">
        <v>1568</v>
      </c>
      <c r="C67" s="111" t="s">
        <v>1569</v>
      </c>
      <c r="D67" s="110" t="s">
        <v>1534</v>
      </c>
      <c r="E67" s="111" t="s">
        <v>1570</v>
      </c>
      <c r="F67" s="111" t="s">
        <v>95</v>
      </c>
      <c r="G67" s="24" t="s">
        <v>164</v>
      </c>
      <c r="H67" s="115" t="s">
        <v>1561</v>
      </c>
      <c r="I67" s="13"/>
      <c r="J67" s="14">
        <v>3258</v>
      </c>
      <c r="K67" s="126">
        <v>315.10000000000002</v>
      </c>
      <c r="L67" s="127">
        <v>80.38</v>
      </c>
      <c r="M67" s="127">
        <v>73.430000000000007</v>
      </c>
      <c r="N67" s="127">
        <v>56.83</v>
      </c>
      <c r="O67" s="15"/>
      <c r="P67" s="41" t="s">
        <v>415</v>
      </c>
      <c r="Q67" s="17">
        <v>35</v>
      </c>
      <c r="R67" s="17">
        <v>35</v>
      </c>
      <c r="S67" s="17">
        <v>36</v>
      </c>
      <c r="T67" s="17">
        <v>38</v>
      </c>
      <c r="U67" s="17">
        <v>42</v>
      </c>
      <c r="V67" s="109"/>
      <c r="W67" s="109">
        <v>186</v>
      </c>
      <c r="X67" s="96"/>
      <c r="Y67" s="96"/>
      <c r="Z67" s="96"/>
      <c r="AA67" s="96"/>
      <c r="AB67" s="96"/>
      <c r="AC67" s="96"/>
      <c r="AD67" s="96"/>
      <c r="AE67" s="96"/>
      <c r="AF67" s="96"/>
      <c r="AG67" s="96"/>
      <c r="AH67" s="96"/>
      <c r="AI67" s="94"/>
      <c r="AJ67" s="94"/>
      <c r="AK67" s="32"/>
      <c r="AL67" s="113"/>
      <c r="AM67" s="95"/>
      <c r="AN67" s="95"/>
      <c r="AO67" s="96"/>
      <c r="AP67" s="96"/>
      <c r="AQ67" s="97"/>
      <c r="AR67" s="134"/>
      <c r="AS67" s="135"/>
      <c r="AT67" s="135"/>
      <c r="AU67" s="113"/>
      <c r="AV67" s="113"/>
      <c r="AW67" s="113">
        <v>338</v>
      </c>
      <c r="AX67" s="113"/>
      <c r="AY67" s="113">
        <v>431</v>
      </c>
      <c r="AZ67" s="113"/>
      <c r="BA67" s="82" t="s">
        <v>605</v>
      </c>
      <c r="BB67" s="32"/>
      <c r="BC67" s="32"/>
      <c r="BD67" s="32"/>
      <c r="BE67" s="32"/>
      <c r="BF67" s="32"/>
      <c r="BG67" s="32"/>
      <c r="BH67" s="32"/>
      <c r="BI67" s="32"/>
      <c r="BJ67" s="32"/>
      <c r="BK67" s="32"/>
      <c r="BL67" s="32"/>
      <c r="BM67" s="32"/>
      <c r="BN67" s="32"/>
      <c r="BO67" s="32"/>
      <c r="BP67" s="32"/>
      <c r="BQ67" s="32"/>
      <c r="BR67" s="32"/>
      <c r="BS67" s="32"/>
      <c r="BT67" s="32"/>
      <c r="BU67" s="32"/>
      <c r="BV67" s="81" t="s">
        <v>1571</v>
      </c>
      <c r="BW67" s="113"/>
      <c r="BX67" s="113"/>
      <c r="BY67" s="113"/>
      <c r="BZ67" s="113"/>
      <c r="CA67" s="113"/>
      <c r="CB67" s="113"/>
      <c r="CC67" s="113"/>
      <c r="CD67" s="32"/>
      <c r="CE67" s="32"/>
      <c r="CF67" s="32"/>
      <c r="CG67" s="32"/>
      <c r="CH67" s="32"/>
      <c r="CI67" s="32"/>
      <c r="CJ67" s="32"/>
      <c r="CK67" s="32"/>
      <c r="CL67" s="77"/>
      <c r="CM67" s="32"/>
      <c r="CN67" s="32"/>
    </row>
    <row r="68" spans="1:92" ht="21" customHeight="1">
      <c r="A68" s="109">
        <v>66</v>
      </c>
      <c r="B68" s="23" t="s">
        <v>1152</v>
      </c>
      <c r="C68" s="111" t="s">
        <v>1088</v>
      </c>
      <c r="D68" s="110" t="s">
        <v>102</v>
      </c>
      <c r="E68" s="111" t="s">
        <v>1089</v>
      </c>
      <c r="F68" s="111" t="s">
        <v>95</v>
      </c>
      <c r="G68" s="18" t="s">
        <v>89</v>
      </c>
      <c r="H68" s="115" t="s">
        <v>1090</v>
      </c>
      <c r="I68" s="13"/>
      <c r="J68" s="14">
        <v>3288</v>
      </c>
      <c r="K68" s="120">
        <v>335.1</v>
      </c>
      <c r="L68" s="121">
        <v>75.319999999999993</v>
      </c>
      <c r="M68" s="121">
        <v>51.68</v>
      </c>
      <c r="N68" s="121">
        <v>59.18</v>
      </c>
      <c r="O68" s="15"/>
      <c r="P68" s="41" t="s">
        <v>415</v>
      </c>
      <c r="Q68" s="17">
        <v>35</v>
      </c>
      <c r="R68" s="17">
        <v>38</v>
      </c>
      <c r="S68" s="17">
        <v>48</v>
      </c>
      <c r="T68" s="17">
        <v>58</v>
      </c>
      <c r="U68" s="17"/>
      <c r="V68" s="109"/>
      <c r="W68" s="109">
        <v>179</v>
      </c>
      <c r="X68" s="96">
        <v>16000</v>
      </c>
      <c r="Y68" s="96">
        <v>20000</v>
      </c>
      <c r="Z68" s="96">
        <v>25000</v>
      </c>
      <c r="AA68" s="96">
        <v>33000</v>
      </c>
      <c r="AB68" s="96">
        <v>46000</v>
      </c>
      <c r="AC68" s="96">
        <v>62000</v>
      </c>
      <c r="AD68" s="96">
        <v>87000</v>
      </c>
      <c r="AE68" s="96">
        <v>118000</v>
      </c>
      <c r="AF68" s="96">
        <v>138000</v>
      </c>
      <c r="AG68" s="96">
        <v>154000</v>
      </c>
      <c r="AH68" s="96">
        <v>159000</v>
      </c>
      <c r="AI68" s="94"/>
      <c r="AJ68" s="94"/>
      <c r="AK68" s="32"/>
      <c r="AL68" s="113">
        <v>3432000</v>
      </c>
      <c r="AM68" s="95">
        <v>28000</v>
      </c>
      <c r="AN68" s="95">
        <v>6</v>
      </c>
      <c r="AO68" s="96">
        <v>56000</v>
      </c>
      <c r="AP68" s="96">
        <v>3</v>
      </c>
      <c r="AQ68" s="97">
        <v>168000</v>
      </c>
      <c r="AR68" s="134">
        <v>1</v>
      </c>
      <c r="AS68" s="135"/>
      <c r="AT68" s="135"/>
      <c r="AU68" s="113">
        <v>2016000</v>
      </c>
      <c r="AV68" s="113"/>
      <c r="AW68" s="113">
        <v>349</v>
      </c>
      <c r="AX68" s="113"/>
      <c r="AY68" s="113">
        <v>452</v>
      </c>
      <c r="AZ68" s="113"/>
      <c r="BA68" s="82" t="s">
        <v>641</v>
      </c>
      <c r="BB68" s="32"/>
      <c r="BC68" s="32"/>
      <c r="BD68" s="32"/>
      <c r="BE68" s="32"/>
      <c r="BF68" s="32"/>
      <c r="BG68" s="32"/>
      <c r="BH68" s="32"/>
      <c r="BI68" s="32"/>
      <c r="BJ68" s="32"/>
      <c r="BK68" s="32"/>
      <c r="BL68" s="32"/>
      <c r="BM68" s="32"/>
      <c r="BN68" s="32">
        <v>1</v>
      </c>
      <c r="BO68" s="32"/>
      <c r="BP68" s="32"/>
      <c r="BQ68" s="32"/>
      <c r="BR68" s="32"/>
      <c r="BS68" s="32"/>
      <c r="BT68" s="32"/>
      <c r="BU68" s="32"/>
      <c r="BV68" s="81" t="s">
        <v>1017</v>
      </c>
      <c r="BW68" s="113"/>
      <c r="BX68" s="113"/>
      <c r="BY68" s="113"/>
      <c r="BZ68" s="113"/>
      <c r="CA68" s="113"/>
      <c r="CB68" s="113"/>
      <c r="CC68" s="113"/>
      <c r="CD68" s="32"/>
      <c r="CE68" s="32"/>
      <c r="CF68" s="32"/>
      <c r="CG68" s="32"/>
      <c r="CH68" s="32"/>
      <c r="CI68" s="32"/>
      <c r="CJ68" s="32"/>
      <c r="CK68" s="32"/>
      <c r="CL68" s="32"/>
      <c r="CM68" s="32"/>
      <c r="CN68" s="32"/>
    </row>
    <row r="69" spans="1:92" ht="21" customHeight="1">
      <c r="A69" s="109">
        <v>67</v>
      </c>
      <c r="B69" s="23" t="s">
        <v>1153</v>
      </c>
      <c r="C69" s="111" t="s">
        <v>840</v>
      </c>
      <c r="D69" s="110" t="s">
        <v>810</v>
      </c>
      <c r="E69" s="111" t="s">
        <v>839</v>
      </c>
      <c r="F69" s="111" t="s">
        <v>95</v>
      </c>
      <c r="G69" s="24" t="s">
        <v>164</v>
      </c>
      <c r="H69" s="115" t="s">
        <v>915</v>
      </c>
      <c r="I69" s="13">
        <v>3289</v>
      </c>
      <c r="J69" s="14">
        <v>3289</v>
      </c>
      <c r="K69" s="120">
        <v>333.1</v>
      </c>
      <c r="L69" s="121">
        <v>76.78</v>
      </c>
      <c r="M69" s="121">
        <v>66.13</v>
      </c>
      <c r="N69" s="121">
        <v>77.099999999999994</v>
      </c>
      <c r="O69" s="15"/>
      <c r="P69" s="41" t="s">
        <v>415</v>
      </c>
      <c r="Q69" s="37" t="s">
        <v>270</v>
      </c>
      <c r="R69" s="17">
        <v>35</v>
      </c>
      <c r="S69" s="17">
        <v>38</v>
      </c>
      <c r="T69" s="17">
        <v>48</v>
      </c>
      <c r="U69" s="17">
        <v>58</v>
      </c>
      <c r="V69" s="109"/>
      <c r="W69" s="109">
        <v>179</v>
      </c>
      <c r="X69" s="94"/>
      <c r="Y69" s="94"/>
      <c r="Z69" s="94"/>
      <c r="AA69" s="94"/>
      <c r="AB69" s="94"/>
      <c r="AC69" s="94"/>
      <c r="AD69" s="94"/>
      <c r="AE69" s="94"/>
      <c r="AF69" s="94"/>
      <c r="AG69" s="94"/>
      <c r="AH69" s="94"/>
      <c r="AI69" s="94"/>
      <c r="AJ69" s="94"/>
      <c r="AK69" s="32"/>
      <c r="AL69" s="113"/>
      <c r="AM69" s="95">
        <v>20000</v>
      </c>
      <c r="AN69" s="95">
        <v>9</v>
      </c>
      <c r="AO69" s="96">
        <v>40000</v>
      </c>
      <c r="AP69" s="96">
        <v>4</v>
      </c>
      <c r="AQ69" s="97">
        <v>120000</v>
      </c>
      <c r="AR69" s="134">
        <v>2</v>
      </c>
      <c r="AS69" s="135"/>
      <c r="AT69" s="135"/>
      <c r="AU69" s="113">
        <v>2320000</v>
      </c>
      <c r="AV69" s="113"/>
      <c r="AW69" s="113">
        <v>347</v>
      </c>
      <c r="AX69" s="113"/>
      <c r="AY69" s="113">
        <v>449</v>
      </c>
      <c r="AZ69" s="113"/>
      <c r="BA69" s="113" t="s">
        <v>640</v>
      </c>
      <c r="BB69" s="32"/>
      <c r="BC69" s="32"/>
      <c r="BD69" s="32"/>
      <c r="BE69" s="32"/>
      <c r="BF69" s="32"/>
      <c r="BG69" s="32"/>
      <c r="BH69" s="32"/>
      <c r="BI69" s="32"/>
      <c r="BJ69" s="32"/>
      <c r="BK69" s="32"/>
      <c r="BL69" s="32"/>
      <c r="BM69" s="32">
        <v>1</v>
      </c>
      <c r="BN69" s="32"/>
      <c r="BO69" s="32">
        <v>1</v>
      </c>
      <c r="BP69" s="32"/>
      <c r="BQ69" s="32" t="s">
        <v>800</v>
      </c>
      <c r="BR69" s="32"/>
      <c r="BS69" s="32"/>
      <c r="BT69" s="32"/>
      <c r="BU69" s="32"/>
      <c r="BV69" s="81" t="s">
        <v>812</v>
      </c>
      <c r="BW69" s="113"/>
      <c r="BX69" s="113"/>
      <c r="BY69" s="113">
        <v>1</v>
      </c>
      <c r="BZ69" s="113">
        <v>6</v>
      </c>
      <c r="CA69" s="113"/>
      <c r="CB69" s="113"/>
      <c r="CC69" s="113"/>
      <c r="CD69" s="32"/>
      <c r="CE69" s="32"/>
      <c r="CF69" s="32"/>
      <c r="CG69" s="32"/>
      <c r="CH69" s="32"/>
      <c r="CI69" s="32"/>
      <c r="CJ69" s="32"/>
      <c r="CK69" s="32"/>
      <c r="CL69" s="32"/>
      <c r="CM69" s="32"/>
      <c r="CN69" s="32"/>
    </row>
    <row r="70" spans="1:92" ht="21" customHeight="1">
      <c r="A70" s="109">
        <v>68</v>
      </c>
      <c r="B70" s="23" t="s">
        <v>1154</v>
      </c>
      <c r="C70" s="111" t="s">
        <v>917</v>
      </c>
      <c r="D70" s="110" t="s">
        <v>273</v>
      </c>
      <c r="E70" s="111" t="s">
        <v>916</v>
      </c>
      <c r="F70" s="111" t="s">
        <v>95</v>
      </c>
      <c r="G70" s="24" t="s">
        <v>164</v>
      </c>
      <c r="H70" s="112" t="s">
        <v>937</v>
      </c>
      <c r="I70" s="13">
        <v>3483</v>
      </c>
      <c r="J70" s="38">
        <v>3289</v>
      </c>
      <c r="K70" s="130">
        <v>338.7</v>
      </c>
      <c r="L70" s="131">
        <v>78.28</v>
      </c>
      <c r="M70" s="131">
        <v>48.14</v>
      </c>
      <c r="N70" s="131">
        <v>62.98</v>
      </c>
      <c r="O70" s="39"/>
      <c r="P70" s="42" t="s">
        <v>420</v>
      </c>
      <c r="Q70" s="22">
        <v>35</v>
      </c>
      <c r="R70" s="37">
        <v>35</v>
      </c>
      <c r="S70" s="37">
        <v>36</v>
      </c>
      <c r="T70" s="37">
        <v>38</v>
      </c>
      <c r="U70" s="37">
        <v>42</v>
      </c>
      <c r="V70" s="28"/>
      <c r="W70" s="28">
        <v>186</v>
      </c>
      <c r="X70" s="94">
        <v>25400</v>
      </c>
      <c r="Y70" s="94">
        <v>29000</v>
      </c>
      <c r="Z70" s="94">
        <v>36300</v>
      </c>
      <c r="AA70" s="94">
        <v>47100</v>
      </c>
      <c r="AB70" s="94">
        <v>65300</v>
      </c>
      <c r="AC70" s="94">
        <v>87000</v>
      </c>
      <c r="AD70" s="94">
        <v>123500</v>
      </c>
      <c r="AE70" s="94">
        <v>167000</v>
      </c>
      <c r="AF70" s="94">
        <v>196000</v>
      </c>
      <c r="AG70" s="94">
        <v>218000</v>
      </c>
      <c r="AH70" s="105">
        <v>225000</v>
      </c>
      <c r="AI70" s="105">
        <v>232000</v>
      </c>
      <c r="AJ70" s="94"/>
      <c r="AK70" s="32"/>
      <c r="AL70" s="113">
        <v>5806400</v>
      </c>
      <c r="AM70" s="95">
        <v>40000</v>
      </c>
      <c r="AN70" s="95">
        <v>9</v>
      </c>
      <c r="AO70" s="96">
        <v>80000</v>
      </c>
      <c r="AP70" s="96">
        <v>4</v>
      </c>
      <c r="AQ70" s="97">
        <v>240000</v>
      </c>
      <c r="AR70" s="134">
        <v>2</v>
      </c>
      <c r="AS70" s="135"/>
      <c r="AT70" s="135"/>
      <c r="AU70" s="32">
        <v>4640000</v>
      </c>
      <c r="AV70" s="32">
        <v>10446400</v>
      </c>
      <c r="AW70" s="32">
        <v>352</v>
      </c>
      <c r="AX70" s="32"/>
      <c r="AY70" s="32">
        <v>458</v>
      </c>
      <c r="AZ70" s="113"/>
      <c r="BA70" s="82" t="s">
        <v>605</v>
      </c>
      <c r="BB70" s="32"/>
      <c r="BC70" s="32"/>
      <c r="BD70" s="32"/>
      <c r="BE70" s="32">
        <v>1</v>
      </c>
      <c r="BF70" s="32"/>
      <c r="BG70" s="32"/>
      <c r="BH70" s="32">
        <v>1</v>
      </c>
      <c r="BI70" s="32"/>
      <c r="BJ70" s="32"/>
      <c r="BK70" s="32"/>
      <c r="BL70" s="32"/>
      <c r="BM70" s="32"/>
      <c r="BN70" s="32"/>
      <c r="BO70" s="32"/>
      <c r="BP70" s="32"/>
      <c r="BQ70" s="32"/>
      <c r="BR70" s="32"/>
      <c r="BS70" s="32"/>
      <c r="BT70" s="32"/>
      <c r="BU70" s="32">
        <v>1</v>
      </c>
      <c r="BV70" s="81" t="s">
        <v>113</v>
      </c>
      <c r="BW70" s="113"/>
      <c r="BX70" s="113"/>
      <c r="BY70" s="113">
        <v>1</v>
      </c>
      <c r="BZ70" s="113">
        <v>6</v>
      </c>
      <c r="CA70" s="113"/>
      <c r="CB70" s="113"/>
      <c r="CC70" s="113"/>
      <c r="CD70" s="32"/>
      <c r="CE70" s="32"/>
      <c r="CF70" s="32"/>
      <c r="CG70" s="32"/>
      <c r="CH70" s="32"/>
      <c r="CI70" s="32"/>
      <c r="CJ70" s="32"/>
      <c r="CK70" s="32"/>
      <c r="CL70" s="32"/>
      <c r="CM70" s="32"/>
      <c r="CN70" s="32"/>
    </row>
    <row r="71" spans="1:92" ht="21" customHeight="1">
      <c r="A71" s="109">
        <v>69</v>
      </c>
      <c r="B71" s="23" t="s">
        <v>1155</v>
      </c>
      <c r="C71" s="111" t="s">
        <v>884</v>
      </c>
      <c r="D71" s="110" t="s">
        <v>158</v>
      </c>
      <c r="E71" s="111" t="s">
        <v>883</v>
      </c>
      <c r="F71" s="111" t="s">
        <v>95</v>
      </c>
      <c r="G71" s="18" t="s">
        <v>89</v>
      </c>
      <c r="H71" s="112" t="s">
        <v>926</v>
      </c>
      <c r="I71" s="13">
        <v>3334</v>
      </c>
      <c r="J71" s="38">
        <v>3334</v>
      </c>
      <c r="K71" s="130">
        <v>319.60000000000002</v>
      </c>
      <c r="L71" s="131">
        <v>82.32</v>
      </c>
      <c r="M71" s="131">
        <v>62.53</v>
      </c>
      <c r="N71" s="131">
        <v>63.22</v>
      </c>
      <c r="O71" s="39"/>
      <c r="P71" s="41" t="s">
        <v>415</v>
      </c>
      <c r="Q71" s="17">
        <v>35</v>
      </c>
      <c r="R71" s="17">
        <v>38</v>
      </c>
      <c r="S71" s="17">
        <v>48</v>
      </c>
      <c r="T71" s="17">
        <v>58</v>
      </c>
      <c r="U71" s="37"/>
      <c r="V71" s="109"/>
      <c r="W71" s="109">
        <v>179</v>
      </c>
      <c r="X71" s="94">
        <v>15000</v>
      </c>
      <c r="Y71" s="94">
        <v>18000</v>
      </c>
      <c r="Z71" s="94">
        <v>28000</v>
      </c>
      <c r="AA71" s="94">
        <v>36000</v>
      </c>
      <c r="AB71" s="102">
        <v>54000</v>
      </c>
      <c r="AC71" s="102">
        <v>72500</v>
      </c>
      <c r="AD71" s="102">
        <v>102000</v>
      </c>
      <c r="AE71" s="105">
        <v>124000</v>
      </c>
      <c r="AF71" s="105">
        <v>136000</v>
      </c>
      <c r="AG71" s="105">
        <v>150000</v>
      </c>
      <c r="AH71" s="105">
        <v>154000</v>
      </c>
      <c r="AI71" s="94"/>
      <c r="AJ71" s="94"/>
      <c r="AK71" s="32"/>
      <c r="AL71" s="113">
        <v>3556000</v>
      </c>
      <c r="AM71" s="95">
        <v>20000</v>
      </c>
      <c r="AN71" s="95">
        <v>6</v>
      </c>
      <c r="AO71" s="96">
        <v>40000</v>
      </c>
      <c r="AP71" s="96">
        <v>3</v>
      </c>
      <c r="AQ71" s="97">
        <v>120000</v>
      </c>
      <c r="AR71" s="134">
        <v>1</v>
      </c>
      <c r="AS71" s="135"/>
      <c r="AT71" s="135"/>
      <c r="AU71" s="32">
        <v>1440000</v>
      </c>
      <c r="AV71" s="32">
        <v>4996000</v>
      </c>
      <c r="AW71" s="113">
        <v>333</v>
      </c>
      <c r="AX71" s="113"/>
      <c r="AY71" s="113">
        <v>425</v>
      </c>
      <c r="AZ71" s="113"/>
      <c r="BA71" s="82" t="s">
        <v>901</v>
      </c>
      <c r="BB71" s="32"/>
      <c r="BC71" s="32"/>
      <c r="BD71" s="32"/>
      <c r="BE71" s="32"/>
      <c r="BF71" s="32"/>
      <c r="BG71" s="32">
        <v>1</v>
      </c>
      <c r="BH71" s="32"/>
      <c r="BI71" s="32"/>
      <c r="BJ71" s="32"/>
      <c r="BK71" s="32"/>
      <c r="BL71" s="32"/>
      <c r="BM71" s="32"/>
      <c r="BN71" s="32"/>
      <c r="BO71" s="32"/>
      <c r="BP71" s="32"/>
      <c r="BQ71" s="32"/>
      <c r="BR71" s="32"/>
      <c r="BS71" s="32"/>
      <c r="BT71" s="32"/>
      <c r="BU71" s="32"/>
      <c r="BV71" s="81" t="s">
        <v>754</v>
      </c>
      <c r="BW71" s="113"/>
      <c r="BX71" s="113"/>
      <c r="BY71" s="113"/>
      <c r="BZ71" s="113"/>
      <c r="CA71" s="113"/>
      <c r="CB71" s="113"/>
      <c r="CC71" s="113"/>
      <c r="CD71" s="32"/>
      <c r="CE71" s="32"/>
      <c r="CF71" s="32"/>
      <c r="CG71" s="32"/>
      <c r="CH71" s="32"/>
      <c r="CI71" s="32"/>
      <c r="CJ71" s="32"/>
      <c r="CK71" s="32"/>
      <c r="CL71" s="32"/>
      <c r="CM71" s="32"/>
      <c r="CN71" s="32"/>
    </row>
    <row r="72" spans="1:92" ht="21" customHeight="1">
      <c r="A72" s="109">
        <v>70</v>
      </c>
      <c r="B72" s="23" t="s">
        <v>1156</v>
      </c>
      <c r="C72" s="111" t="s">
        <v>946</v>
      </c>
      <c r="D72" s="110" t="s">
        <v>946</v>
      </c>
      <c r="E72" s="111" t="s">
        <v>947</v>
      </c>
      <c r="F72" s="111" t="s">
        <v>95</v>
      </c>
      <c r="G72" s="24" t="s">
        <v>164</v>
      </c>
      <c r="H72" s="112" t="s">
        <v>943</v>
      </c>
      <c r="I72" s="13">
        <v>3859</v>
      </c>
      <c r="J72" s="38">
        <v>3377</v>
      </c>
      <c r="K72" s="130">
        <v>307.8</v>
      </c>
      <c r="L72" s="131">
        <v>89.55</v>
      </c>
      <c r="M72" s="131">
        <v>78.930000000000007</v>
      </c>
      <c r="N72" s="131">
        <v>68.930000000000007</v>
      </c>
      <c r="O72" s="39"/>
      <c r="P72" s="42" t="s">
        <v>420</v>
      </c>
      <c r="Q72" s="37" t="s">
        <v>270</v>
      </c>
      <c r="R72" s="75">
        <v>38</v>
      </c>
      <c r="S72" s="75">
        <v>45</v>
      </c>
      <c r="T72" s="75">
        <v>48</v>
      </c>
      <c r="U72" s="37">
        <v>50</v>
      </c>
      <c r="V72" s="28"/>
      <c r="W72" s="109">
        <v>181</v>
      </c>
      <c r="X72" s="94">
        <v>25400</v>
      </c>
      <c r="Y72" s="94">
        <v>29000</v>
      </c>
      <c r="Z72" s="94">
        <v>36300</v>
      </c>
      <c r="AA72" s="94">
        <v>47100</v>
      </c>
      <c r="AB72" s="94">
        <v>65300</v>
      </c>
      <c r="AC72" s="94">
        <v>87000</v>
      </c>
      <c r="AD72" s="94">
        <v>123500</v>
      </c>
      <c r="AE72" s="94">
        <v>167000</v>
      </c>
      <c r="AF72" s="94">
        <v>196000</v>
      </c>
      <c r="AG72" s="94">
        <v>218000</v>
      </c>
      <c r="AH72" s="94">
        <v>225000</v>
      </c>
      <c r="AI72" s="94">
        <v>232000</v>
      </c>
      <c r="AJ72" s="94"/>
      <c r="AK72" s="32"/>
      <c r="AL72" s="113">
        <v>5806400</v>
      </c>
      <c r="AM72" s="95">
        <v>40000</v>
      </c>
      <c r="AN72" s="95">
        <v>9</v>
      </c>
      <c r="AO72" s="96">
        <v>80000</v>
      </c>
      <c r="AP72" s="96">
        <v>4</v>
      </c>
      <c r="AQ72" s="97">
        <v>240000</v>
      </c>
      <c r="AR72" s="134">
        <v>2</v>
      </c>
      <c r="AS72" s="135"/>
      <c r="AT72" s="135"/>
      <c r="AU72" s="32">
        <v>4640000</v>
      </c>
      <c r="AV72" s="32">
        <v>10446400</v>
      </c>
      <c r="AW72" s="32">
        <v>321</v>
      </c>
      <c r="AX72" s="32">
        <v>333</v>
      </c>
      <c r="AY72" s="32">
        <v>422</v>
      </c>
      <c r="AZ72" s="113"/>
      <c r="BA72" s="82" t="s">
        <v>640</v>
      </c>
      <c r="BB72" s="32"/>
      <c r="BC72" s="32"/>
      <c r="BD72" s="32"/>
      <c r="BE72" s="32"/>
      <c r="BF72" s="32"/>
      <c r="BG72" s="32"/>
      <c r="BH72" s="32"/>
      <c r="BI72" s="32"/>
      <c r="BJ72" s="32"/>
      <c r="BK72" s="32"/>
      <c r="BL72" s="32"/>
      <c r="BM72" s="32">
        <v>1</v>
      </c>
      <c r="BN72" s="32"/>
      <c r="BO72" s="32">
        <v>1</v>
      </c>
      <c r="BP72" s="32"/>
      <c r="BQ72" s="32"/>
      <c r="BR72" s="32"/>
      <c r="BS72" s="32"/>
      <c r="BT72" s="32"/>
      <c r="BU72" s="32"/>
      <c r="BV72" s="81" t="s">
        <v>948</v>
      </c>
      <c r="BW72" s="113"/>
      <c r="BX72" s="113"/>
      <c r="BY72" s="113">
        <v>1</v>
      </c>
      <c r="BZ72" s="113">
        <v>6</v>
      </c>
      <c r="CA72" s="113"/>
      <c r="CB72" s="113"/>
      <c r="CC72" s="113"/>
      <c r="CD72" s="32"/>
      <c r="CE72" s="73"/>
      <c r="CF72" s="73"/>
      <c r="CG72" s="73"/>
      <c r="CH72" s="73"/>
      <c r="CI72" s="73"/>
      <c r="CJ72" s="73"/>
      <c r="CK72" s="73"/>
      <c r="CL72" s="32"/>
      <c r="CM72" s="32"/>
      <c r="CN72" s="32"/>
    </row>
    <row r="73" spans="1:92" ht="21" customHeight="1">
      <c r="A73" s="109">
        <v>71</v>
      </c>
      <c r="B73" s="23" t="s">
        <v>1157</v>
      </c>
      <c r="C73" s="111" t="s">
        <v>1018</v>
      </c>
      <c r="D73" s="110" t="s">
        <v>99</v>
      </c>
      <c r="E73" s="111" t="s">
        <v>1019</v>
      </c>
      <c r="F73" s="111" t="s">
        <v>95</v>
      </c>
      <c r="G73" s="24" t="s">
        <v>164</v>
      </c>
      <c r="H73" s="112" t="s">
        <v>1016</v>
      </c>
      <c r="I73" s="13">
        <v>3971</v>
      </c>
      <c r="J73" s="38">
        <v>3403</v>
      </c>
      <c r="K73" s="130">
        <v>326.3</v>
      </c>
      <c r="L73" s="131">
        <v>88.03</v>
      </c>
      <c r="M73" s="131">
        <v>72.48</v>
      </c>
      <c r="N73" s="131">
        <v>58.56</v>
      </c>
      <c r="O73" s="39"/>
      <c r="P73" s="42" t="s">
        <v>420</v>
      </c>
      <c r="Q73" s="22">
        <v>35</v>
      </c>
      <c r="R73" s="37">
        <v>35</v>
      </c>
      <c r="S73" s="37">
        <v>36</v>
      </c>
      <c r="T73" s="37">
        <v>38</v>
      </c>
      <c r="U73" s="37">
        <v>42</v>
      </c>
      <c r="V73" s="28"/>
      <c r="W73" s="109">
        <v>186</v>
      </c>
      <c r="X73" s="96">
        <v>16000</v>
      </c>
      <c r="Y73" s="96">
        <v>20000</v>
      </c>
      <c r="Z73" s="96">
        <v>30000</v>
      </c>
      <c r="AA73" s="96">
        <v>45000</v>
      </c>
      <c r="AB73" s="96">
        <v>65000</v>
      </c>
      <c r="AC73" s="96">
        <v>87000</v>
      </c>
      <c r="AD73" s="96">
        <v>124000</v>
      </c>
      <c r="AE73" s="96">
        <v>167000</v>
      </c>
      <c r="AF73" s="96">
        <v>196000</v>
      </c>
      <c r="AG73" s="96">
        <v>218000</v>
      </c>
      <c r="AH73" s="96">
        <v>225000</v>
      </c>
      <c r="AI73" s="96">
        <v>232000</v>
      </c>
      <c r="AJ73" s="94"/>
      <c r="AK73" s="32"/>
      <c r="AL73" s="113">
        <v>5700000</v>
      </c>
      <c r="AM73" s="95">
        <v>40000</v>
      </c>
      <c r="AN73" s="95">
        <v>9</v>
      </c>
      <c r="AO73" s="96">
        <v>80000</v>
      </c>
      <c r="AP73" s="96">
        <v>4</v>
      </c>
      <c r="AQ73" s="97">
        <v>240000</v>
      </c>
      <c r="AR73" s="134">
        <v>2</v>
      </c>
      <c r="AS73" s="135"/>
      <c r="AT73" s="135"/>
      <c r="AU73" s="32">
        <v>4640000</v>
      </c>
      <c r="AV73" s="32">
        <v>10340000</v>
      </c>
      <c r="AW73" s="32">
        <v>340</v>
      </c>
      <c r="AX73" s="32"/>
      <c r="AY73" s="32">
        <v>437</v>
      </c>
      <c r="AZ73" s="113"/>
      <c r="BA73" s="82" t="s">
        <v>636</v>
      </c>
      <c r="BB73" s="32"/>
      <c r="BC73" s="32"/>
      <c r="BD73" s="32"/>
      <c r="BE73" s="32"/>
      <c r="BF73" s="32"/>
      <c r="BG73" s="32"/>
      <c r="BH73" s="32"/>
      <c r="BI73" s="32">
        <v>1</v>
      </c>
      <c r="BJ73" s="32"/>
      <c r="BK73" s="32"/>
      <c r="BL73" s="32"/>
      <c r="BM73" s="32"/>
      <c r="BN73" s="32"/>
      <c r="BO73" s="32"/>
      <c r="BP73" s="32"/>
      <c r="BQ73" s="32"/>
      <c r="BR73" s="32"/>
      <c r="BS73" s="32"/>
      <c r="BT73" s="32"/>
      <c r="BU73" s="32"/>
      <c r="BV73" s="81" t="s">
        <v>747</v>
      </c>
      <c r="BW73" s="113"/>
      <c r="BX73" s="113"/>
      <c r="BY73" s="113">
        <v>1</v>
      </c>
      <c r="BZ73" s="113">
        <v>6</v>
      </c>
      <c r="CA73" s="113"/>
      <c r="CB73" s="113"/>
      <c r="CC73" s="113"/>
      <c r="CD73" s="32"/>
      <c r="CE73" s="32"/>
      <c r="CF73" s="32"/>
      <c r="CG73" s="32"/>
      <c r="CH73" s="32"/>
      <c r="CI73" s="32"/>
      <c r="CJ73" s="32"/>
      <c r="CK73" s="32"/>
      <c r="CL73" s="32"/>
      <c r="CM73" s="32"/>
      <c r="CN73" s="32"/>
    </row>
    <row r="74" spans="1:92" ht="21" customHeight="1">
      <c r="A74" s="109">
        <v>72</v>
      </c>
      <c r="B74" s="23" t="s">
        <v>1158</v>
      </c>
      <c r="C74" s="111" t="s">
        <v>1050</v>
      </c>
      <c r="D74" s="110" t="s">
        <v>1110</v>
      </c>
      <c r="E74" s="111" t="s">
        <v>1051</v>
      </c>
      <c r="F74" s="111" t="s">
        <v>95</v>
      </c>
      <c r="G74" s="26" t="s">
        <v>173</v>
      </c>
      <c r="H74" s="112" t="s">
        <v>1049</v>
      </c>
      <c r="I74" s="13"/>
      <c r="J74" s="38">
        <v>3424</v>
      </c>
      <c r="K74" s="130">
        <v>318.7</v>
      </c>
      <c r="L74" s="131">
        <v>90.06</v>
      </c>
      <c r="M74" s="131">
        <v>76.680000000000007</v>
      </c>
      <c r="N74" s="131">
        <v>61.55</v>
      </c>
      <c r="O74" s="39"/>
      <c r="P74" s="42" t="s">
        <v>420</v>
      </c>
      <c r="Q74" s="22">
        <v>35</v>
      </c>
      <c r="R74" s="37">
        <v>35</v>
      </c>
      <c r="S74" s="37">
        <v>35</v>
      </c>
      <c r="T74" s="37">
        <v>35</v>
      </c>
      <c r="U74" s="37">
        <v>36</v>
      </c>
      <c r="V74" s="37">
        <v>36</v>
      </c>
      <c r="W74" s="109"/>
      <c r="X74" s="96">
        <v>16000</v>
      </c>
      <c r="Y74" s="96">
        <v>20000</v>
      </c>
      <c r="Z74" s="96">
        <v>25000</v>
      </c>
      <c r="AA74" s="96">
        <v>41000</v>
      </c>
      <c r="AB74" s="96">
        <v>57000</v>
      </c>
      <c r="AC74" s="96">
        <v>78000</v>
      </c>
      <c r="AD74" s="96">
        <v>106000</v>
      </c>
      <c r="AE74" s="96">
        <v>140000</v>
      </c>
      <c r="AF74" s="96">
        <v>180000</v>
      </c>
      <c r="AG74" s="96">
        <v>215000</v>
      </c>
      <c r="AH74" s="96">
        <v>235000</v>
      </c>
      <c r="AI74" s="96">
        <v>252000</v>
      </c>
      <c r="AJ74" s="96">
        <v>260000</v>
      </c>
      <c r="AK74" s="100"/>
      <c r="AL74" s="113">
        <v>6500000</v>
      </c>
      <c r="AM74" s="95">
        <v>36000</v>
      </c>
      <c r="AN74" s="95">
        <v>7</v>
      </c>
      <c r="AO74" s="96">
        <v>72000</v>
      </c>
      <c r="AP74" s="96">
        <v>5</v>
      </c>
      <c r="AQ74" s="97">
        <v>216000</v>
      </c>
      <c r="AR74" s="134">
        <v>3</v>
      </c>
      <c r="AS74" s="135"/>
      <c r="AT74" s="135"/>
      <c r="AU74" s="32">
        <v>5040000</v>
      </c>
      <c r="AV74" s="32">
        <v>11540000</v>
      </c>
      <c r="AW74" s="32">
        <v>332</v>
      </c>
      <c r="AX74" s="32"/>
      <c r="AY74" s="32">
        <v>424</v>
      </c>
      <c r="AZ74" s="113"/>
      <c r="BA74" s="82" t="s">
        <v>639</v>
      </c>
      <c r="BB74" s="32"/>
      <c r="BC74" s="32"/>
      <c r="BD74" s="32"/>
      <c r="BE74" s="32"/>
      <c r="BF74" s="32"/>
      <c r="BG74" s="32"/>
      <c r="BH74" s="32"/>
      <c r="BI74" s="32"/>
      <c r="BJ74" s="32"/>
      <c r="BK74" s="32"/>
      <c r="BL74" s="32">
        <v>1</v>
      </c>
      <c r="BM74" s="32"/>
      <c r="BN74" s="32"/>
      <c r="BO74" s="32"/>
      <c r="BP74" s="32"/>
      <c r="BQ74" s="32"/>
      <c r="BR74" s="32"/>
      <c r="BS74" s="32"/>
      <c r="BT74" s="32"/>
      <c r="BU74" s="32"/>
      <c r="BV74" s="81"/>
      <c r="BW74" s="113"/>
      <c r="BX74" s="113"/>
      <c r="BY74" s="113"/>
      <c r="BZ74" s="113"/>
      <c r="CA74" s="113"/>
      <c r="CB74" s="113"/>
      <c r="CC74" s="113"/>
      <c r="CD74" s="32"/>
      <c r="CE74" s="32"/>
      <c r="CF74" s="32"/>
      <c r="CG74" s="32"/>
      <c r="CH74" s="32"/>
      <c r="CI74" s="32"/>
      <c r="CJ74" s="32"/>
      <c r="CK74" s="32"/>
      <c r="CL74" s="32"/>
      <c r="CM74" s="32"/>
      <c r="CN74" s="32"/>
    </row>
    <row r="75" spans="1:92" ht="21" customHeight="1">
      <c r="A75" s="109">
        <v>73</v>
      </c>
      <c r="B75" s="23" t="s">
        <v>1159</v>
      </c>
      <c r="C75" s="111" t="s">
        <v>972</v>
      </c>
      <c r="D75" s="110" t="s">
        <v>102</v>
      </c>
      <c r="E75" s="111" t="s">
        <v>973</v>
      </c>
      <c r="F75" s="111" t="s">
        <v>95</v>
      </c>
      <c r="G75" s="26" t="s">
        <v>173</v>
      </c>
      <c r="H75" s="112" t="s">
        <v>967</v>
      </c>
      <c r="I75" s="13">
        <v>4048</v>
      </c>
      <c r="J75" s="38">
        <v>3513</v>
      </c>
      <c r="K75" s="130">
        <v>335.6</v>
      </c>
      <c r="L75" s="131">
        <v>81.67</v>
      </c>
      <c r="M75" s="131">
        <v>60.63</v>
      </c>
      <c r="N75" s="131">
        <v>67.23</v>
      </c>
      <c r="O75" s="39"/>
      <c r="P75" s="42" t="s">
        <v>420</v>
      </c>
      <c r="Q75" s="37" t="s">
        <v>270</v>
      </c>
      <c r="R75" s="17">
        <v>35</v>
      </c>
      <c r="S75" s="75">
        <v>36</v>
      </c>
      <c r="T75" s="75">
        <v>36</v>
      </c>
      <c r="U75" s="37">
        <v>38</v>
      </c>
      <c r="V75" s="37">
        <v>40</v>
      </c>
      <c r="W75" s="109">
        <v>185</v>
      </c>
      <c r="X75" s="96">
        <v>16000</v>
      </c>
      <c r="Y75" s="96">
        <v>20000</v>
      </c>
      <c r="Z75" s="96">
        <v>25000</v>
      </c>
      <c r="AA75" s="96">
        <v>41000</v>
      </c>
      <c r="AB75" s="96">
        <v>57000</v>
      </c>
      <c r="AC75" s="96">
        <v>78000</v>
      </c>
      <c r="AD75" s="96">
        <v>106000</v>
      </c>
      <c r="AE75" s="96">
        <v>140000</v>
      </c>
      <c r="AF75" s="96">
        <v>180000</v>
      </c>
      <c r="AG75" s="96">
        <v>215000</v>
      </c>
      <c r="AH75" s="96">
        <v>235000</v>
      </c>
      <c r="AI75" s="96">
        <v>252000</v>
      </c>
      <c r="AJ75" s="96">
        <v>260000</v>
      </c>
      <c r="AK75" s="100"/>
      <c r="AL75" s="113">
        <v>6500000</v>
      </c>
      <c r="AM75" s="95">
        <v>36000</v>
      </c>
      <c r="AN75" s="95">
        <v>7</v>
      </c>
      <c r="AO75" s="96">
        <v>72000</v>
      </c>
      <c r="AP75" s="96">
        <v>5</v>
      </c>
      <c r="AQ75" s="97">
        <v>216000</v>
      </c>
      <c r="AR75" s="134">
        <v>3</v>
      </c>
      <c r="AS75" s="135"/>
      <c r="AT75" s="135"/>
      <c r="AU75" s="32">
        <v>5040000</v>
      </c>
      <c r="AV75" s="32">
        <v>11540000</v>
      </c>
      <c r="AW75" s="32">
        <v>349</v>
      </c>
      <c r="AX75" s="32"/>
      <c r="AY75" s="32">
        <v>453</v>
      </c>
      <c r="AZ75" s="113"/>
      <c r="BA75" s="82" t="s">
        <v>640</v>
      </c>
      <c r="BB75" s="32"/>
      <c r="BC75" s="32"/>
      <c r="BD75" s="32"/>
      <c r="BE75" s="32"/>
      <c r="BF75" s="32"/>
      <c r="BG75" s="32"/>
      <c r="BH75" s="32"/>
      <c r="BI75" s="32"/>
      <c r="BJ75" s="32"/>
      <c r="BK75" s="32"/>
      <c r="BL75" s="32"/>
      <c r="BM75" s="32">
        <v>1</v>
      </c>
      <c r="BN75" s="32"/>
      <c r="BO75" s="32">
        <v>1</v>
      </c>
      <c r="BP75" s="32"/>
      <c r="BQ75" s="32"/>
      <c r="BR75" s="32"/>
      <c r="BS75" s="32"/>
      <c r="BT75" s="32"/>
      <c r="BU75" s="32"/>
      <c r="BV75" s="81" t="s">
        <v>1160</v>
      </c>
      <c r="BW75" s="113"/>
      <c r="BX75" s="113"/>
      <c r="BY75" s="113">
        <v>1</v>
      </c>
      <c r="BZ75" s="113">
        <v>7</v>
      </c>
      <c r="CA75" s="113"/>
      <c r="CB75" s="113"/>
      <c r="CC75" s="113"/>
      <c r="CD75" s="32"/>
      <c r="CE75" s="32"/>
      <c r="CF75" s="32"/>
      <c r="CG75" s="32"/>
      <c r="CH75" s="32"/>
      <c r="CI75" s="32"/>
      <c r="CJ75" s="32"/>
      <c r="CK75" s="32"/>
      <c r="CL75" s="32"/>
      <c r="CM75" s="32"/>
      <c r="CN75" s="32"/>
    </row>
    <row r="76" spans="1:92" ht="21" customHeight="1">
      <c r="A76" s="109">
        <v>74</v>
      </c>
      <c r="B76" s="23" t="s">
        <v>1649</v>
      </c>
      <c r="C76" s="111" t="s">
        <v>1650</v>
      </c>
      <c r="D76" s="110" t="s">
        <v>77</v>
      </c>
      <c r="E76" s="111" t="s">
        <v>1651</v>
      </c>
      <c r="F76" s="111" t="s">
        <v>95</v>
      </c>
      <c r="G76" s="24" t="s">
        <v>164</v>
      </c>
      <c r="H76" s="112" t="s">
        <v>1646</v>
      </c>
      <c r="I76" s="13"/>
      <c r="J76" s="38">
        <v>3518</v>
      </c>
      <c r="K76" s="130">
        <v>342.6</v>
      </c>
      <c r="L76" s="131">
        <v>76.31</v>
      </c>
      <c r="M76" s="131">
        <v>51.13</v>
      </c>
      <c r="N76" s="131">
        <v>58.64</v>
      </c>
      <c r="O76" s="39"/>
      <c r="P76" s="42" t="s">
        <v>420</v>
      </c>
      <c r="Q76" s="22" t="s">
        <v>607</v>
      </c>
      <c r="R76" s="75" t="s">
        <v>607</v>
      </c>
      <c r="S76" s="75" t="s">
        <v>607</v>
      </c>
      <c r="T76" s="75" t="s">
        <v>607</v>
      </c>
      <c r="U76" s="37" t="s">
        <v>607</v>
      </c>
      <c r="V76" s="17"/>
      <c r="W76" s="109"/>
      <c r="X76" s="96"/>
      <c r="Y76" s="96"/>
      <c r="Z76" s="96"/>
      <c r="AA76" s="96"/>
      <c r="AB76" s="96"/>
      <c r="AC76" s="96"/>
      <c r="AD76" s="94"/>
      <c r="AE76" s="94"/>
      <c r="AF76" s="94"/>
      <c r="AG76" s="94"/>
      <c r="AH76" s="94"/>
      <c r="AI76" s="94"/>
      <c r="AJ76" s="96"/>
      <c r="AK76" s="100"/>
      <c r="AL76" s="113"/>
      <c r="AM76" s="95"/>
      <c r="AN76" s="95"/>
      <c r="AO76" s="96"/>
      <c r="AP76" s="96"/>
      <c r="AQ76" s="97"/>
      <c r="AR76" s="134"/>
      <c r="AS76" s="135"/>
      <c r="AT76" s="135"/>
      <c r="AU76" s="32"/>
      <c r="AV76" s="32"/>
      <c r="AW76" s="32"/>
      <c r="AX76" s="32"/>
      <c r="AY76" s="32"/>
      <c r="AZ76" s="113"/>
      <c r="BA76" s="82" t="s">
        <v>605</v>
      </c>
      <c r="BB76" s="32"/>
      <c r="BC76" s="32"/>
      <c r="BD76" s="32"/>
      <c r="BE76" s="32"/>
      <c r="BF76" s="32"/>
      <c r="BG76" s="32"/>
      <c r="BH76" s="32"/>
      <c r="BI76" s="32"/>
      <c r="BJ76" s="32"/>
      <c r="BK76" s="32"/>
      <c r="BL76" s="32"/>
      <c r="BM76" s="32"/>
      <c r="BN76" s="32"/>
      <c r="BO76" s="32"/>
      <c r="BP76" s="32"/>
      <c r="BQ76" s="32"/>
      <c r="BR76" s="32"/>
      <c r="BS76" s="32"/>
      <c r="BT76" s="32"/>
      <c r="BU76" s="32"/>
      <c r="BV76" s="81" t="s">
        <v>1652</v>
      </c>
      <c r="BW76" s="113"/>
      <c r="BX76" s="113"/>
      <c r="BY76" s="113"/>
      <c r="BZ76" s="113"/>
      <c r="CA76" s="113"/>
      <c r="CB76" s="113"/>
      <c r="CC76" s="113"/>
      <c r="CD76" s="32"/>
      <c r="CE76" s="32"/>
      <c r="CF76" s="32"/>
      <c r="CG76" s="32"/>
      <c r="CH76" s="32"/>
      <c r="CI76" s="32"/>
      <c r="CJ76" s="32"/>
      <c r="CK76" s="32"/>
      <c r="CL76" s="32"/>
      <c r="CM76" s="32"/>
      <c r="CN76" s="32"/>
    </row>
    <row r="77" spans="1:92" ht="21" customHeight="1">
      <c r="A77" s="109">
        <v>75</v>
      </c>
      <c r="B77" s="23" t="s">
        <v>1453</v>
      </c>
      <c r="C77" s="111" t="s">
        <v>1454</v>
      </c>
      <c r="D77" s="110" t="s">
        <v>944</v>
      </c>
      <c r="E77" s="111" t="s">
        <v>1455</v>
      </c>
      <c r="F77" s="111" t="s">
        <v>95</v>
      </c>
      <c r="G77" s="24" t="s">
        <v>164</v>
      </c>
      <c r="H77" s="112" t="s">
        <v>1443</v>
      </c>
      <c r="I77" s="13"/>
      <c r="J77" s="38">
        <v>3553</v>
      </c>
      <c r="K77" s="130">
        <v>315.7</v>
      </c>
      <c r="L77" s="131">
        <v>80.72</v>
      </c>
      <c r="M77" s="131">
        <v>80.22</v>
      </c>
      <c r="N77" s="131">
        <v>69.650000000000006</v>
      </c>
      <c r="O77" s="39"/>
      <c r="P77" s="42" t="s">
        <v>420</v>
      </c>
      <c r="Q77" s="22">
        <v>35</v>
      </c>
      <c r="R77" s="37">
        <v>35</v>
      </c>
      <c r="S77" s="37">
        <v>36</v>
      </c>
      <c r="T77" s="37">
        <v>38</v>
      </c>
      <c r="U77" s="37">
        <v>42</v>
      </c>
      <c r="V77" s="17"/>
      <c r="W77" s="109">
        <v>186</v>
      </c>
      <c r="X77" s="96">
        <v>16000</v>
      </c>
      <c r="Y77" s="96">
        <v>20000</v>
      </c>
      <c r="Z77" s="96">
        <v>30000</v>
      </c>
      <c r="AA77" s="96">
        <v>45000</v>
      </c>
      <c r="AB77" s="96">
        <v>65000</v>
      </c>
      <c r="AC77" s="96">
        <v>87000</v>
      </c>
      <c r="AD77" s="94">
        <v>124000</v>
      </c>
      <c r="AE77" s="94">
        <v>167000</v>
      </c>
      <c r="AF77" s="94">
        <v>196000</v>
      </c>
      <c r="AG77" s="94">
        <v>218000</v>
      </c>
      <c r="AH77" s="94">
        <v>225000</v>
      </c>
      <c r="AI77" s="94">
        <v>232000</v>
      </c>
      <c r="AJ77" s="96"/>
      <c r="AK77" s="100"/>
      <c r="AL77" s="113">
        <v>5700000</v>
      </c>
      <c r="AM77" s="95">
        <v>40500</v>
      </c>
      <c r="AN77" s="95">
        <v>7</v>
      </c>
      <c r="AO77" s="96">
        <v>81000</v>
      </c>
      <c r="AP77" s="96">
        <v>5</v>
      </c>
      <c r="AQ77" s="97">
        <v>243000</v>
      </c>
      <c r="AR77" s="134">
        <v>2</v>
      </c>
      <c r="AS77" s="135"/>
      <c r="AT77" s="135"/>
      <c r="AU77" s="32">
        <v>4698000</v>
      </c>
      <c r="AV77" s="32">
        <v>10398000</v>
      </c>
      <c r="AW77" s="32">
        <v>333</v>
      </c>
      <c r="AX77" s="32"/>
      <c r="AY77" s="32">
        <v>425</v>
      </c>
      <c r="AZ77" s="113"/>
      <c r="BA77" s="82" t="s">
        <v>605</v>
      </c>
      <c r="BB77" s="32"/>
      <c r="BC77" s="32"/>
      <c r="BD77" s="32"/>
      <c r="BE77" s="32"/>
      <c r="BF77" s="32"/>
      <c r="BG77" s="32"/>
      <c r="BH77" s="32"/>
      <c r="BI77" s="32"/>
      <c r="BJ77" s="32"/>
      <c r="BK77" s="32"/>
      <c r="BL77" s="32"/>
      <c r="BM77" s="32"/>
      <c r="BN77" s="32"/>
      <c r="BO77" s="32"/>
      <c r="BP77" s="32"/>
      <c r="BQ77" s="32"/>
      <c r="BR77" s="32"/>
      <c r="BS77" s="32"/>
      <c r="BT77" s="32"/>
      <c r="BU77" s="32"/>
      <c r="BV77" s="81"/>
      <c r="BW77" s="113"/>
      <c r="BX77" s="113"/>
      <c r="BY77" s="113"/>
      <c r="BZ77" s="113"/>
      <c r="CA77" s="113"/>
      <c r="CB77" s="113"/>
      <c r="CC77" s="113"/>
      <c r="CD77" s="32"/>
      <c r="CE77" s="32"/>
      <c r="CF77" s="32"/>
      <c r="CG77" s="32"/>
      <c r="CH77" s="32"/>
      <c r="CI77" s="32"/>
      <c r="CJ77" s="32"/>
      <c r="CK77" s="32"/>
      <c r="CL77" s="32"/>
      <c r="CM77" s="32"/>
      <c r="CN77" s="32"/>
    </row>
    <row r="78" spans="1:92" ht="21" customHeight="1">
      <c r="A78" s="109">
        <v>76</v>
      </c>
      <c r="B78" s="23" t="s">
        <v>1653</v>
      </c>
      <c r="C78" s="111" t="s">
        <v>1654</v>
      </c>
      <c r="D78" s="110" t="s">
        <v>102</v>
      </c>
      <c r="E78" s="111" t="s">
        <v>1655</v>
      </c>
      <c r="F78" s="111"/>
      <c r="G78" s="24" t="s">
        <v>164</v>
      </c>
      <c r="H78" s="112" t="s">
        <v>1646</v>
      </c>
      <c r="I78" s="13"/>
      <c r="J78" s="38">
        <v>3773</v>
      </c>
      <c r="K78" s="130">
        <v>322.10000000000002</v>
      </c>
      <c r="L78" s="131">
        <v>80.81</v>
      </c>
      <c r="M78" s="131">
        <v>72.849999999999994</v>
      </c>
      <c r="N78" s="131">
        <v>68.98</v>
      </c>
      <c r="O78" s="39"/>
      <c r="P78" s="42" t="s">
        <v>420</v>
      </c>
      <c r="Q78" s="37" t="s">
        <v>270</v>
      </c>
      <c r="R78" s="17" t="s">
        <v>607</v>
      </c>
      <c r="S78" s="17" t="s">
        <v>607</v>
      </c>
      <c r="T78" s="17" t="s">
        <v>607</v>
      </c>
      <c r="U78" s="17" t="s">
        <v>607</v>
      </c>
      <c r="V78" s="17"/>
      <c r="W78" s="109"/>
      <c r="X78" s="96"/>
      <c r="Y78" s="96"/>
      <c r="Z78" s="96"/>
      <c r="AA78" s="96"/>
      <c r="AB78" s="96"/>
      <c r="AC78" s="96"/>
      <c r="AD78" s="96"/>
      <c r="AE78" s="96"/>
      <c r="AF78" s="96"/>
      <c r="AG78" s="96"/>
      <c r="AH78" s="96"/>
      <c r="AI78" s="96"/>
      <c r="AJ78" s="96"/>
      <c r="AK78" s="100"/>
      <c r="AL78" s="113"/>
      <c r="AM78" s="95"/>
      <c r="AN78" s="95"/>
      <c r="AO78" s="96"/>
      <c r="AP78" s="96"/>
      <c r="AQ78" s="97"/>
      <c r="AR78" s="134"/>
      <c r="AS78" s="135"/>
      <c r="AT78" s="135"/>
      <c r="AU78" s="32"/>
      <c r="AV78" s="32"/>
      <c r="AW78" s="32"/>
      <c r="AX78" s="32"/>
      <c r="AY78" s="32"/>
      <c r="AZ78" s="113"/>
      <c r="BA78" s="82" t="s">
        <v>640</v>
      </c>
      <c r="BB78" s="32"/>
      <c r="BC78" s="32"/>
      <c r="BD78" s="32"/>
      <c r="BE78" s="32"/>
      <c r="BF78" s="32"/>
      <c r="BG78" s="32"/>
      <c r="BH78" s="32"/>
      <c r="BI78" s="32"/>
      <c r="BJ78" s="32"/>
      <c r="BK78" s="32"/>
      <c r="BL78" s="32"/>
      <c r="BM78" s="32"/>
      <c r="BN78" s="32"/>
      <c r="BO78" s="32"/>
      <c r="BP78" s="32"/>
      <c r="BQ78" s="32"/>
      <c r="BR78" s="32"/>
      <c r="BS78" s="32"/>
      <c r="BT78" s="32"/>
      <c r="BU78" s="32"/>
      <c r="BV78" s="81" t="s">
        <v>1017</v>
      </c>
      <c r="BW78" s="113"/>
      <c r="BX78" s="113"/>
      <c r="BY78" s="113"/>
      <c r="BZ78" s="113"/>
      <c r="CA78" s="113"/>
      <c r="CB78" s="113"/>
      <c r="CC78" s="113"/>
      <c r="CD78" s="32"/>
      <c r="CE78" s="32"/>
      <c r="CF78" s="32"/>
      <c r="CG78" s="32"/>
      <c r="CH78" s="32"/>
      <c r="CI78" s="32"/>
      <c r="CJ78" s="32"/>
      <c r="CK78" s="32"/>
      <c r="CL78" s="77"/>
      <c r="CM78" s="32"/>
      <c r="CN78" s="32"/>
    </row>
    <row r="79" spans="1:92" ht="21" customHeight="1">
      <c r="A79" s="109">
        <v>77</v>
      </c>
      <c r="B79" s="23" t="s">
        <v>1370</v>
      </c>
      <c r="C79" s="111" t="s">
        <v>1371</v>
      </c>
      <c r="D79" s="110" t="s">
        <v>767</v>
      </c>
      <c r="E79" s="111" t="s">
        <v>1372</v>
      </c>
      <c r="F79" s="111" t="s">
        <v>95</v>
      </c>
      <c r="G79" s="24" t="s">
        <v>164</v>
      </c>
      <c r="H79" s="112" t="s">
        <v>1373</v>
      </c>
      <c r="I79" s="13"/>
      <c r="J79" s="38">
        <v>3832</v>
      </c>
      <c r="K79" s="130">
        <v>336.3</v>
      </c>
      <c r="L79" s="131">
        <v>83.68</v>
      </c>
      <c r="M79" s="131">
        <v>63.95</v>
      </c>
      <c r="N79" s="131">
        <v>46.53</v>
      </c>
      <c r="O79" s="39"/>
      <c r="P79" s="42" t="s">
        <v>420</v>
      </c>
      <c r="Q79" s="37" t="s">
        <v>270</v>
      </c>
      <c r="R79" s="17">
        <v>35</v>
      </c>
      <c r="S79" s="17">
        <v>38</v>
      </c>
      <c r="T79" s="17">
        <v>48</v>
      </c>
      <c r="U79" s="17">
        <v>58</v>
      </c>
      <c r="V79" s="17"/>
      <c r="W79" s="109"/>
      <c r="X79" s="96">
        <v>16000</v>
      </c>
      <c r="Y79" s="96">
        <v>20000</v>
      </c>
      <c r="Z79" s="96">
        <v>30000</v>
      </c>
      <c r="AA79" s="96">
        <v>45000</v>
      </c>
      <c r="AB79" s="96">
        <v>65000</v>
      </c>
      <c r="AC79" s="96">
        <v>87000</v>
      </c>
      <c r="AD79" s="96">
        <v>124000</v>
      </c>
      <c r="AE79" s="96">
        <v>167000</v>
      </c>
      <c r="AF79" s="96">
        <v>196000</v>
      </c>
      <c r="AG79" s="96">
        <v>218000</v>
      </c>
      <c r="AH79" s="96">
        <v>225000</v>
      </c>
      <c r="AI79" s="96">
        <v>232000</v>
      </c>
      <c r="AJ79" s="96"/>
      <c r="AK79" s="100"/>
      <c r="AL79" s="113">
        <v>5700000</v>
      </c>
      <c r="AM79" s="95">
        <v>48000</v>
      </c>
      <c r="AN79" s="95">
        <v>7</v>
      </c>
      <c r="AO79" s="96">
        <v>96000</v>
      </c>
      <c r="AP79" s="96">
        <v>5</v>
      </c>
      <c r="AQ79" s="97">
        <v>288000</v>
      </c>
      <c r="AR79" s="134">
        <v>2</v>
      </c>
      <c r="AS79" s="135"/>
      <c r="AT79" s="135"/>
      <c r="AU79" s="32">
        <v>5568000</v>
      </c>
      <c r="AV79" s="32">
        <v>11268000</v>
      </c>
      <c r="AW79" s="32">
        <v>350</v>
      </c>
      <c r="AX79" s="32"/>
      <c r="AY79" s="32">
        <v>454</v>
      </c>
      <c r="AZ79" s="113"/>
      <c r="BA79" s="82" t="s">
        <v>640</v>
      </c>
      <c r="BB79" s="32"/>
      <c r="BC79" s="32"/>
      <c r="BD79" s="32"/>
      <c r="BE79" s="32"/>
      <c r="BF79" s="32"/>
      <c r="BG79" s="32"/>
      <c r="BH79" s="32"/>
      <c r="BI79" s="32"/>
      <c r="BJ79" s="32"/>
      <c r="BK79" s="32"/>
      <c r="BL79" s="32"/>
      <c r="BM79" s="32">
        <v>1</v>
      </c>
      <c r="BN79" s="32"/>
      <c r="BO79" s="32">
        <v>1</v>
      </c>
      <c r="BP79" s="32"/>
      <c r="BQ79" s="32"/>
      <c r="BR79" s="32"/>
      <c r="BS79" s="32"/>
      <c r="BT79" s="32"/>
      <c r="BU79" s="32"/>
      <c r="BV79" s="81" t="s">
        <v>753</v>
      </c>
      <c r="BW79" s="113"/>
      <c r="BX79" s="113"/>
      <c r="BY79" s="113"/>
      <c r="BZ79" s="113"/>
      <c r="CA79" s="113"/>
      <c r="CB79" s="113"/>
      <c r="CC79" s="113"/>
      <c r="CD79" s="32"/>
      <c r="CE79" s="32"/>
      <c r="CF79" s="32"/>
      <c r="CG79" s="32"/>
      <c r="CH79" s="32"/>
      <c r="CI79" s="32"/>
      <c r="CJ79" s="32"/>
      <c r="CK79" s="32"/>
      <c r="CL79" s="32"/>
      <c r="CM79" s="32"/>
      <c r="CN79" s="32"/>
    </row>
    <row r="80" spans="1:92" ht="21" customHeight="1">
      <c r="A80" s="109">
        <v>78</v>
      </c>
      <c r="B80" s="23" t="s">
        <v>1572</v>
      </c>
      <c r="C80" s="111" t="s">
        <v>1573</v>
      </c>
      <c r="D80" s="110" t="s">
        <v>1129</v>
      </c>
      <c r="E80" s="111" t="s">
        <v>1574</v>
      </c>
      <c r="F80" s="111" t="s">
        <v>95</v>
      </c>
      <c r="G80" s="24" t="s">
        <v>164</v>
      </c>
      <c r="H80" s="112" t="s">
        <v>1555</v>
      </c>
      <c r="I80" s="13"/>
      <c r="J80" s="38">
        <v>3922</v>
      </c>
      <c r="K80" s="130">
        <v>353.9</v>
      </c>
      <c r="L80" s="131">
        <v>77.55</v>
      </c>
      <c r="M80" s="131">
        <v>52.96</v>
      </c>
      <c r="N80" s="131">
        <v>43.03</v>
      </c>
      <c r="O80" s="39"/>
      <c r="P80" s="42" t="s">
        <v>420</v>
      </c>
      <c r="Q80" s="17" t="s">
        <v>270</v>
      </c>
      <c r="R80" s="75">
        <v>30</v>
      </c>
      <c r="S80" s="75">
        <v>35</v>
      </c>
      <c r="T80" s="75">
        <v>40</v>
      </c>
      <c r="U80" s="75">
        <v>45</v>
      </c>
      <c r="V80" s="17"/>
      <c r="W80" s="109">
        <v>150</v>
      </c>
      <c r="X80" s="96">
        <v>16000</v>
      </c>
      <c r="Y80" s="96">
        <v>20000</v>
      </c>
      <c r="Z80" s="96">
        <v>25000</v>
      </c>
      <c r="AA80" s="96">
        <v>33000</v>
      </c>
      <c r="AB80" s="96">
        <v>46000</v>
      </c>
      <c r="AC80" s="96">
        <v>62000</v>
      </c>
      <c r="AD80" s="96">
        <v>87000</v>
      </c>
      <c r="AE80" s="96">
        <v>118000</v>
      </c>
      <c r="AF80" s="96">
        <v>138000</v>
      </c>
      <c r="AG80" s="96">
        <v>154000</v>
      </c>
      <c r="AH80" s="96">
        <v>159000</v>
      </c>
      <c r="AI80" s="96">
        <v>164000</v>
      </c>
      <c r="AJ80" s="96"/>
      <c r="AK80" s="100"/>
      <c r="AL80" s="113">
        <v>4088000</v>
      </c>
      <c r="AM80" s="95">
        <v>45000</v>
      </c>
      <c r="AN80" s="95">
        <v>9</v>
      </c>
      <c r="AO80" s="96">
        <v>90000</v>
      </c>
      <c r="AP80" s="96">
        <v>4</v>
      </c>
      <c r="AQ80" s="97">
        <v>270000</v>
      </c>
      <c r="AR80" s="134">
        <v>2</v>
      </c>
      <c r="AS80" s="135"/>
      <c r="AT80" s="135"/>
      <c r="AU80" s="32">
        <v>5220000</v>
      </c>
      <c r="AV80" s="32">
        <v>9308000</v>
      </c>
      <c r="AW80" s="32">
        <v>368</v>
      </c>
      <c r="AX80" s="32"/>
      <c r="AY80" s="32">
        <v>485</v>
      </c>
      <c r="AZ80" s="113"/>
      <c r="BA80" s="82" t="s">
        <v>640</v>
      </c>
      <c r="BB80" s="32"/>
      <c r="BC80" s="32"/>
      <c r="BD80" s="32"/>
      <c r="BE80" s="32"/>
      <c r="BF80" s="32"/>
      <c r="BG80" s="32"/>
      <c r="BH80" s="32"/>
      <c r="BI80" s="32"/>
      <c r="BJ80" s="32"/>
      <c r="BK80" s="32"/>
      <c r="BL80" s="32"/>
      <c r="BM80" s="32"/>
      <c r="BN80" s="32"/>
      <c r="BO80" s="32">
        <v>1</v>
      </c>
      <c r="BP80" s="32"/>
      <c r="BQ80" s="32"/>
      <c r="BR80" s="32"/>
      <c r="BS80" s="32"/>
      <c r="BT80" s="32"/>
      <c r="BU80" s="32"/>
      <c r="BV80" s="81" t="s">
        <v>748</v>
      </c>
      <c r="BW80" s="113"/>
      <c r="BX80" s="113"/>
      <c r="BY80" s="113"/>
      <c r="BZ80" s="113"/>
      <c r="CA80" s="113"/>
      <c r="CB80" s="113"/>
      <c r="CC80" s="113"/>
      <c r="CD80" s="32"/>
      <c r="CE80" s="32"/>
      <c r="CF80" s="32"/>
      <c r="CG80" s="32"/>
      <c r="CH80" s="32"/>
      <c r="CI80" s="32"/>
      <c r="CJ80" s="32"/>
      <c r="CK80" s="32"/>
      <c r="CL80" s="32"/>
      <c r="CM80" s="32"/>
      <c r="CN80" s="32"/>
    </row>
    <row r="81" spans="1:92" ht="21" customHeight="1">
      <c r="A81" s="109">
        <v>79</v>
      </c>
      <c r="B81" s="23" t="s">
        <v>1354</v>
      </c>
      <c r="C81" s="111" t="s">
        <v>1355</v>
      </c>
      <c r="D81" s="110" t="s">
        <v>1269</v>
      </c>
      <c r="E81" s="111" t="s">
        <v>1356</v>
      </c>
      <c r="F81" s="111" t="s">
        <v>95</v>
      </c>
      <c r="G81" s="24" t="s">
        <v>164</v>
      </c>
      <c r="H81" s="112" t="s">
        <v>1368</v>
      </c>
      <c r="I81" s="13"/>
      <c r="J81" s="38">
        <v>3937</v>
      </c>
      <c r="K81" s="130">
        <v>331.8</v>
      </c>
      <c r="L81" s="131">
        <v>82.95</v>
      </c>
      <c r="M81" s="131">
        <v>62</v>
      </c>
      <c r="N81" s="131">
        <v>59.08</v>
      </c>
      <c r="O81" s="39"/>
      <c r="P81" s="42" t="s">
        <v>420</v>
      </c>
      <c r="Q81" s="22">
        <v>35</v>
      </c>
      <c r="R81" s="37">
        <v>35</v>
      </c>
      <c r="S81" s="37">
        <v>36</v>
      </c>
      <c r="T81" s="37">
        <v>38</v>
      </c>
      <c r="U81" s="37">
        <v>42</v>
      </c>
      <c r="V81" s="17"/>
      <c r="W81" s="109"/>
      <c r="X81" s="96">
        <v>16000</v>
      </c>
      <c r="Y81" s="96">
        <v>20000</v>
      </c>
      <c r="Z81" s="96">
        <v>30000</v>
      </c>
      <c r="AA81" s="96">
        <v>45000</v>
      </c>
      <c r="AB81" s="96">
        <v>65000</v>
      </c>
      <c r="AC81" s="96">
        <v>87000</v>
      </c>
      <c r="AD81" s="96">
        <v>124000</v>
      </c>
      <c r="AE81" s="96">
        <v>167000</v>
      </c>
      <c r="AF81" s="96">
        <v>196000</v>
      </c>
      <c r="AG81" s="96">
        <v>218000</v>
      </c>
      <c r="AH81" s="96">
        <v>225000</v>
      </c>
      <c r="AI81" s="96">
        <v>232000</v>
      </c>
      <c r="AJ81" s="96"/>
      <c r="AK81" s="100"/>
      <c r="AL81" s="113">
        <v>5700000</v>
      </c>
      <c r="AM81" s="95">
        <v>48000</v>
      </c>
      <c r="AN81" s="95">
        <v>7</v>
      </c>
      <c r="AO81" s="96">
        <v>96000</v>
      </c>
      <c r="AP81" s="96">
        <v>5</v>
      </c>
      <c r="AQ81" s="97">
        <v>288000</v>
      </c>
      <c r="AR81" s="134">
        <v>2</v>
      </c>
      <c r="AS81" s="135"/>
      <c r="AT81" s="135"/>
      <c r="AU81" s="32">
        <v>5568000</v>
      </c>
      <c r="AV81" s="32">
        <v>11268000</v>
      </c>
      <c r="AW81" s="32">
        <v>345</v>
      </c>
      <c r="AX81" s="32"/>
      <c r="AY81" s="32">
        <v>447</v>
      </c>
      <c r="AZ81" s="113"/>
      <c r="BA81" s="82" t="s">
        <v>605</v>
      </c>
      <c r="BB81" s="32"/>
      <c r="BC81" s="32"/>
      <c r="BD81" s="32"/>
      <c r="BE81" s="32"/>
      <c r="BF81" s="32"/>
      <c r="BG81" s="32"/>
      <c r="BH81" s="32">
        <v>1</v>
      </c>
      <c r="BI81" s="32"/>
      <c r="BJ81" s="32"/>
      <c r="BK81" s="32"/>
      <c r="BL81" s="32"/>
      <c r="BM81" s="32"/>
      <c r="BN81" s="32"/>
      <c r="BO81" s="32"/>
      <c r="BP81" s="32"/>
      <c r="BQ81" s="32"/>
      <c r="BR81" s="32"/>
      <c r="BS81" s="32"/>
      <c r="BT81" s="32"/>
      <c r="BU81" s="32"/>
      <c r="BV81" s="81" t="s">
        <v>1369</v>
      </c>
      <c r="BW81" s="113"/>
      <c r="BX81" s="113"/>
      <c r="BY81" s="113"/>
      <c r="BZ81" s="113"/>
      <c r="CA81" s="113"/>
      <c r="CB81" s="113"/>
      <c r="CC81" s="113"/>
      <c r="CD81" s="32"/>
      <c r="CE81" s="32"/>
      <c r="CF81" s="32"/>
      <c r="CG81" s="32"/>
      <c r="CH81" s="32"/>
      <c r="CI81" s="32"/>
      <c r="CJ81" s="32"/>
      <c r="CK81" s="32"/>
      <c r="CL81" s="32"/>
      <c r="CM81" s="32"/>
      <c r="CN81" s="32"/>
    </row>
    <row r="82" spans="1:92" ht="21" customHeight="1">
      <c r="A82" s="109">
        <v>80</v>
      </c>
      <c r="B82" s="23" t="s">
        <v>1575</v>
      </c>
      <c r="C82" s="111" t="s">
        <v>1576</v>
      </c>
      <c r="D82" s="110" t="s">
        <v>141</v>
      </c>
      <c r="E82" s="111" t="s">
        <v>1577</v>
      </c>
      <c r="F82" s="111" t="s">
        <v>95</v>
      </c>
      <c r="G82" s="26" t="s">
        <v>173</v>
      </c>
      <c r="H82" s="112" t="s">
        <v>1567</v>
      </c>
      <c r="I82" s="13"/>
      <c r="J82" s="38">
        <v>3995</v>
      </c>
      <c r="K82" s="130">
        <v>334.5</v>
      </c>
      <c r="L82" s="131">
        <v>81.86</v>
      </c>
      <c r="M82" s="131">
        <v>64.86</v>
      </c>
      <c r="N82" s="131">
        <v>62.63</v>
      </c>
      <c r="O82" s="39"/>
      <c r="P82" s="42" t="s">
        <v>420</v>
      </c>
      <c r="Q82" s="37" t="s">
        <v>270</v>
      </c>
      <c r="R82" s="17">
        <v>40</v>
      </c>
      <c r="S82" s="75">
        <v>42</v>
      </c>
      <c r="T82" s="17">
        <v>44</v>
      </c>
      <c r="U82" s="75">
        <v>46</v>
      </c>
      <c r="V82" s="17">
        <v>48</v>
      </c>
      <c r="W82" s="109">
        <v>220</v>
      </c>
      <c r="X82" s="96">
        <v>16000</v>
      </c>
      <c r="Y82" s="96">
        <v>20000</v>
      </c>
      <c r="Z82" s="96">
        <v>25000</v>
      </c>
      <c r="AA82" s="96">
        <v>33000</v>
      </c>
      <c r="AB82" s="96">
        <v>46000</v>
      </c>
      <c r="AC82" s="96">
        <v>62000</v>
      </c>
      <c r="AD82" s="96">
        <v>87000</v>
      </c>
      <c r="AE82" s="96">
        <v>118000</v>
      </c>
      <c r="AF82" s="96">
        <v>138000</v>
      </c>
      <c r="AG82" s="96">
        <v>154000</v>
      </c>
      <c r="AH82" s="96">
        <v>159000</v>
      </c>
      <c r="AI82" s="96">
        <v>164000</v>
      </c>
      <c r="AJ82" s="96"/>
      <c r="AK82" s="100"/>
      <c r="AL82" s="113"/>
      <c r="AM82" s="95"/>
      <c r="AN82" s="95">
        <v>7</v>
      </c>
      <c r="AO82" s="96"/>
      <c r="AP82" s="96">
        <v>5</v>
      </c>
      <c r="AQ82" s="97"/>
      <c r="AR82" s="134">
        <v>3</v>
      </c>
      <c r="AS82" s="135"/>
      <c r="AT82" s="135"/>
      <c r="AU82" s="32"/>
      <c r="AV82" s="32"/>
      <c r="AW82" s="32">
        <v>354</v>
      </c>
      <c r="AX82" s="32"/>
      <c r="AY82" s="32">
        <v>460</v>
      </c>
      <c r="AZ82" s="113"/>
      <c r="BA82" s="82" t="s">
        <v>636</v>
      </c>
      <c r="BB82" s="32"/>
      <c r="BC82" s="32"/>
      <c r="BD82" s="32"/>
      <c r="BE82" s="32"/>
      <c r="BF82" s="32"/>
      <c r="BG82" s="32"/>
      <c r="BH82" s="32"/>
      <c r="BI82" s="32"/>
      <c r="BJ82" s="32"/>
      <c r="BK82" s="32"/>
      <c r="BL82" s="32"/>
      <c r="BM82" s="32"/>
      <c r="BN82" s="32"/>
      <c r="BO82" s="32"/>
      <c r="BP82" s="32"/>
      <c r="BQ82" s="32"/>
      <c r="BR82" s="32"/>
      <c r="BS82" s="32"/>
      <c r="BT82" s="32"/>
      <c r="BU82" s="32"/>
      <c r="BV82" s="81" t="s">
        <v>802</v>
      </c>
      <c r="BW82" s="113"/>
      <c r="BX82" s="113"/>
      <c r="BY82" s="113"/>
      <c r="BZ82" s="113"/>
      <c r="CA82" s="113"/>
      <c r="CB82" s="113"/>
      <c r="CC82" s="113"/>
      <c r="CD82" s="32"/>
      <c r="CE82" s="32"/>
      <c r="CF82" s="32"/>
      <c r="CG82" s="32"/>
      <c r="CH82" s="32"/>
      <c r="CI82" s="32"/>
      <c r="CJ82" s="32"/>
      <c r="CK82" s="32"/>
      <c r="CL82" s="32"/>
      <c r="CM82" s="32"/>
      <c r="CN82" s="32"/>
    </row>
    <row r="83" spans="1:92" ht="21" customHeight="1">
      <c r="A83" s="109">
        <v>81</v>
      </c>
      <c r="B83" s="23" t="s">
        <v>1161</v>
      </c>
      <c r="C83" s="111" t="s">
        <v>1091</v>
      </c>
      <c r="D83" s="110" t="s">
        <v>158</v>
      </c>
      <c r="E83" s="111" t="s">
        <v>1092</v>
      </c>
      <c r="F83" s="111" t="s">
        <v>95</v>
      </c>
      <c r="G83" s="24" t="s">
        <v>164</v>
      </c>
      <c r="H83" s="112" t="s">
        <v>1090</v>
      </c>
      <c r="I83" s="13"/>
      <c r="J83" s="38">
        <v>4009</v>
      </c>
      <c r="K83" s="130">
        <v>341.6</v>
      </c>
      <c r="L83" s="131">
        <v>81.23</v>
      </c>
      <c r="M83" s="131">
        <v>65</v>
      </c>
      <c r="N83" s="131">
        <v>52.13</v>
      </c>
      <c r="O83" s="39"/>
      <c r="P83" s="42" t="s">
        <v>420</v>
      </c>
      <c r="Q83" s="37" t="s">
        <v>270</v>
      </c>
      <c r="R83" s="17">
        <v>35</v>
      </c>
      <c r="S83" s="17">
        <v>38</v>
      </c>
      <c r="T83" s="17">
        <v>48</v>
      </c>
      <c r="U83" s="17">
        <v>58</v>
      </c>
      <c r="V83" s="17"/>
      <c r="W83" s="109">
        <v>179</v>
      </c>
      <c r="X83" s="96">
        <v>16000</v>
      </c>
      <c r="Y83" s="96">
        <v>20000</v>
      </c>
      <c r="Z83" s="96">
        <v>30000</v>
      </c>
      <c r="AA83" s="96">
        <v>45000</v>
      </c>
      <c r="AB83" s="96">
        <v>65000</v>
      </c>
      <c r="AC83" s="96">
        <v>87000</v>
      </c>
      <c r="AD83" s="96">
        <v>124000</v>
      </c>
      <c r="AE83" s="96">
        <v>167000</v>
      </c>
      <c r="AF83" s="96">
        <v>196000</v>
      </c>
      <c r="AG83" s="96">
        <v>218000</v>
      </c>
      <c r="AH83" s="96">
        <v>225000</v>
      </c>
      <c r="AI83" s="96">
        <v>232000</v>
      </c>
      <c r="AJ83" s="96"/>
      <c r="AK83" s="100"/>
      <c r="AL83" s="113">
        <v>5700000</v>
      </c>
      <c r="AM83" s="95">
        <v>56000</v>
      </c>
      <c r="AN83" s="95">
        <v>7</v>
      </c>
      <c r="AO83" s="96">
        <v>112000</v>
      </c>
      <c r="AP83" s="96">
        <v>5</v>
      </c>
      <c r="AQ83" s="97">
        <v>336000</v>
      </c>
      <c r="AR83" s="134">
        <v>2</v>
      </c>
      <c r="AS83" s="135"/>
      <c r="AT83" s="135"/>
      <c r="AU83" s="32">
        <v>6496000</v>
      </c>
      <c r="AV83" s="32">
        <v>12196000</v>
      </c>
      <c r="AW83" s="32">
        <v>355</v>
      </c>
      <c r="AX83" s="32"/>
      <c r="AY83" s="32">
        <v>463</v>
      </c>
      <c r="AZ83" s="113"/>
      <c r="BA83" s="82" t="s">
        <v>640</v>
      </c>
      <c r="BB83" s="32"/>
      <c r="BC83" s="32"/>
      <c r="BD83" s="32"/>
      <c r="BE83" s="32"/>
      <c r="BF83" s="32"/>
      <c r="BG83" s="32"/>
      <c r="BH83" s="32"/>
      <c r="BI83" s="32"/>
      <c r="BJ83" s="32"/>
      <c r="BK83" s="32"/>
      <c r="BL83" s="32"/>
      <c r="BM83" s="32">
        <v>1</v>
      </c>
      <c r="BN83" s="32"/>
      <c r="BO83" s="32">
        <v>1</v>
      </c>
      <c r="BP83" s="32"/>
      <c r="BQ83" s="32"/>
      <c r="BR83" s="32"/>
      <c r="BS83" s="32"/>
      <c r="BT83" s="32"/>
      <c r="BU83" s="32"/>
      <c r="BV83" s="81" t="s">
        <v>754</v>
      </c>
      <c r="BW83" s="113"/>
      <c r="BX83" s="113"/>
      <c r="BY83" s="113"/>
      <c r="BZ83" s="113"/>
      <c r="CA83" s="113"/>
      <c r="CB83" s="113"/>
      <c r="CC83" s="113"/>
      <c r="CD83" s="32"/>
      <c r="CE83" s="32"/>
      <c r="CF83" s="32"/>
      <c r="CG83" s="32"/>
      <c r="CH83" s="32"/>
      <c r="CI83" s="32"/>
      <c r="CJ83" s="32"/>
      <c r="CK83" s="32"/>
      <c r="CL83" s="77"/>
      <c r="CM83" s="32"/>
      <c r="CN83" s="32"/>
    </row>
    <row r="84" spans="1:92" ht="21" customHeight="1">
      <c r="A84" s="109">
        <v>82</v>
      </c>
      <c r="B84" s="23" t="s">
        <v>1162</v>
      </c>
      <c r="C84" s="111" t="s">
        <v>1073</v>
      </c>
      <c r="D84" s="110" t="s">
        <v>158</v>
      </c>
      <c r="E84" s="111" t="s">
        <v>1074</v>
      </c>
      <c r="F84" s="111" t="s">
        <v>95</v>
      </c>
      <c r="G84" s="24" t="s">
        <v>164</v>
      </c>
      <c r="H84" s="112" t="s">
        <v>1071</v>
      </c>
      <c r="I84" s="13"/>
      <c r="J84" s="38">
        <v>4073</v>
      </c>
      <c r="K84" s="130">
        <v>348.8</v>
      </c>
      <c r="L84" s="131">
        <v>80.459999999999994</v>
      </c>
      <c r="M84" s="131">
        <v>54.89</v>
      </c>
      <c r="N84" s="131">
        <v>60.3</v>
      </c>
      <c r="O84" s="39"/>
      <c r="P84" s="42" t="s">
        <v>420</v>
      </c>
      <c r="Q84" s="37" t="s">
        <v>270</v>
      </c>
      <c r="R84" s="17">
        <v>35</v>
      </c>
      <c r="S84" s="17">
        <v>38</v>
      </c>
      <c r="T84" s="17">
        <v>48</v>
      </c>
      <c r="U84" s="17">
        <v>58</v>
      </c>
      <c r="V84" s="17"/>
      <c r="W84" s="109">
        <v>179</v>
      </c>
      <c r="X84" s="96">
        <v>16000</v>
      </c>
      <c r="Y84" s="96">
        <v>20000</v>
      </c>
      <c r="Z84" s="96">
        <v>30000</v>
      </c>
      <c r="AA84" s="96">
        <v>45000</v>
      </c>
      <c r="AB84" s="96">
        <v>65000</v>
      </c>
      <c r="AC84" s="96">
        <v>87000</v>
      </c>
      <c r="AD84" s="96">
        <v>124000</v>
      </c>
      <c r="AE84" s="96">
        <v>167000</v>
      </c>
      <c r="AF84" s="96">
        <v>196000</v>
      </c>
      <c r="AG84" s="96">
        <v>218000</v>
      </c>
      <c r="AH84" s="96">
        <v>225000</v>
      </c>
      <c r="AI84" s="96">
        <v>232000</v>
      </c>
      <c r="AJ84" s="96"/>
      <c r="AK84" s="100"/>
      <c r="AL84" s="113">
        <v>5700000</v>
      </c>
      <c r="AM84" s="95">
        <v>56000</v>
      </c>
      <c r="AN84" s="95">
        <v>9</v>
      </c>
      <c r="AO84" s="96">
        <v>112000</v>
      </c>
      <c r="AP84" s="96">
        <v>4</v>
      </c>
      <c r="AQ84" s="97">
        <v>336000</v>
      </c>
      <c r="AR84" s="134">
        <v>2</v>
      </c>
      <c r="AS84" s="135"/>
      <c r="AT84" s="135"/>
      <c r="AU84" s="32">
        <v>6496000</v>
      </c>
      <c r="AV84" s="32">
        <v>12196000</v>
      </c>
      <c r="AW84" s="32">
        <v>363</v>
      </c>
      <c r="AX84" s="32"/>
      <c r="AY84" s="32">
        <v>476</v>
      </c>
      <c r="AZ84" s="113"/>
      <c r="BA84" s="82" t="s">
        <v>640</v>
      </c>
      <c r="BB84" s="32"/>
      <c r="BC84" s="32"/>
      <c r="BD84" s="32"/>
      <c r="BE84" s="32"/>
      <c r="BF84" s="32"/>
      <c r="BG84" s="32"/>
      <c r="BH84" s="32"/>
      <c r="BI84" s="32"/>
      <c r="BJ84" s="32"/>
      <c r="BK84" s="32"/>
      <c r="BL84" s="32"/>
      <c r="BM84" s="32">
        <v>1</v>
      </c>
      <c r="BN84" s="32"/>
      <c r="BO84" s="32">
        <v>1</v>
      </c>
      <c r="BP84" s="32"/>
      <c r="BQ84" s="32"/>
      <c r="BR84" s="32"/>
      <c r="BS84" s="32"/>
      <c r="BT84" s="32"/>
      <c r="BU84" s="32"/>
      <c r="BV84" s="81" t="s">
        <v>1075</v>
      </c>
      <c r="BW84" s="113"/>
      <c r="BX84" s="113"/>
      <c r="BY84" s="113"/>
      <c r="BZ84" s="113"/>
      <c r="CA84" s="113"/>
      <c r="CB84" s="113"/>
      <c r="CC84" s="113"/>
      <c r="CD84" s="32"/>
      <c r="CE84" s="32"/>
      <c r="CF84" s="32"/>
      <c r="CG84" s="32"/>
      <c r="CH84" s="32"/>
      <c r="CI84" s="32"/>
      <c r="CJ84" s="32"/>
      <c r="CK84" s="32"/>
      <c r="CL84" s="77"/>
      <c r="CM84" s="32"/>
      <c r="CN84" s="32"/>
    </row>
    <row r="85" spans="1:92" ht="21" customHeight="1">
      <c r="A85" s="109">
        <v>83</v>
      </c>
      <c r="B85" s="23" t="s">
        <v>1536</v>
      </c>
      <c r="C85" s="111" t="s">
        <v>1537</v>
      </c>
      <c r="D85" s="110" t="s">
        <v>74</v>
      </c>
      <c r="E85" s="111" t="s">
        <v>1538</v>
      </c>
      <c r="F85" s="111" t="s">
        <v>95</v>
      </c>
      <c r="G85" s="24" t="s">
        <v>164</v>
      </c>
      <c r="H85" s="112" t="s">
        <v>1529</v>
      </c>
      <c r="I85" s="13"/>
      <c r="J85" s="38">
        <v>4098</v>
      </c>
      <c r="K85" s="130">
        <v>345</v>
      </c>
      <c r="L85" s="131">
        <v>81.150000000000006</v>
      </c>
      <c r="M85" s="131">
        <v>54.32</v>
      </c>
      <c r="N85" s="131">
        <v>62.04</v>
      </c>
      <c r="O85" s="39"/>
      <c r="P85" s="42" t="s">
        <v>420</v>
      </c>
      <c r="Q85" s="22">
        <v>35</v>
      </c>
      <c r="R85" s="37">
        <v>35</v>
      </c>
      <c r="S85" s="37">
        <v>36</v>
      </c>
      <c r="T85" s="37">
        <v>38</v>
      </c>
      <c r="U85" s="37">
        <v>42</v>
      </c>
      <c r="V85" s="17"/>
      <c r="W85" s="109"/>
      <c r="X85" s="96">
        <v>16000</v>
      </c>
      <c r="Y85" s="96">
        <v>20000</v>
      </c>
      <c r="Z85" s="96">
        <v>30000</v>
      </c>
      <c r="AA85" s="96">
        <v>45000</v>
      </c>
      <c r="AB85" s="96">
        <v>65000</v>
      </c>
      <c r="AC85" s="96">
        <v>87000</v>
      </c>
      <c r="AD85" s="96">
        <v>124000</v>
      </c>
      <c r="AE85" s="96">
        <v>167000</v>
      </c>
      <c r="AF85" s="96">
        <v>196000</v>
      </c>
      <c r="AG85" s="96">
        <v>218000</v>
      </c>
      <c r="AH85" s="96">
        <v>225000</v>
      </c>
      <c r="AI85" s="96">
        <v>232000</v>
      </c>
      <c r="AJ85" s="96"/>
      <c r="AK85" s="100"/>
      <c r="AL85" s="113">
        <v>5700000</v>
      </c>
      <c r="AM85" s="95">
        <v>52500</v>
      </c>
      <c r="AN85" s="95">
        <v>9</v>
      </c>
      <c r="AO85" s="96">
        <v>105000</v>
      </c>
      <c r="AP85" s="96">
        <v>4</v>
      </c>
      <c r="AQ85" s="97">
        <v>315000</v>
      </c>
      <c r="AR85" s="134">
        <v>2</v>
      </c>
      <c r="AS85" s="135"/>
      <c r="AT85" s="135"/>
      <c r="AU85" s="32">
        <v>6090000</v>
      </c>
      <c r="AV85" s="32">
        <v>11790000</v>
      </c>
      <c r="AW85" s="32">
        <v>359</v>
      </c>
      <c r="AX85" s="32"/>
      <c r="AY85" s="32">
        <v>469</v>
      </c>
      <c r="AZ85" s="113"/>
      <c r="BA85" s="82" t="s">
        <v>605</v>
      </c>
      <c r="BB85" s="32"/>
      <c r="BC85" s="32"/>
      <c r="BD85" s="32"/>
      <c r="BE85" s="32"/>
      <c r="BF85" s="32"/>
      <c r="BG85" s="32"/>
      <c r="BH85" s="32"/>
      <c r="BI85" s="32"/>
      <c r="BJ85" s="32"/>
      <c r="BK85" s="32"/>
      <c r="BL85" s="32"/>
      <c r="BM85" s="32"/>
      <c r="BN85" s="32"/>
      <c r="BO85" s="32"/>
      <c r="BP85" s="32"/>
      <c r="BQ85" s="32"/>
      <c r="BR85" s="32"/>
      <c r="BS85" s="32"/>
      <c r="BT85" s="32"/>
      <c r="BU85" s="32"/>
      <c r="BV85" s="81"/>
      <c r="BW85" s="113"/>
      <c r="BX85" s="113"/>
      <c r="BY85" s="113"/>
      <c r="BZ85" s="113"/>
      <c r="CA85" s="113"/>
      <c r="CB85" s="113"/>
      <c r="CC85" s="113"/>
      <c r="CD85" s="32"/>
      <c r="CE85" s="32"/>
      <c r="CF85" s="32"/>
      <c r="CG85" s="32"/>
      <c r="CH85" s="32"/>
      <c r="CI85" s="32"/>
      <c r="CJ85" s="32"/>
      <c r="CK85" s="32"/>
      <c r="CL85" s="32"/>
      <c r="CM85" s="32"/>
      <c r="CN85" s="32"/>
    </row>
    <row r="86" spans="1:92" ht="21" customHeight="1">
      <c r="A86" s="109">
        <v>84</v>
      </c>
      <c r="B86" s="110" t="s">
        <v>129</v>
      </c>
      <c r="C86" s="111" t="s">
        <v>588</v>
      </c>
      <c r="D86" s="110" t="s">
        <v>1163</v>
      </c>
      <c r="E86" s="111" t="s">
        <v>130</v>
      </c>
      <c r="F86" s="111" t="s">
        <v>131</v>
      </c>
      <c r="G86" s="12" t="s">
        <v>66</v>
      </c>
      <c r="H86" s="112" t="s">
        <v>296</v>
      </c>
      <c r="I86" s="13">
        <v>2633</v>
      </c>
      <c r="J86" s="14">
        <v>2633</v>
      </c>
      <c r="K86" s="120">
        <v>329.7</v>
      </c>
      <c r="L86" s="121">
        <v>80.209999999999994</v>
      </c>
      <c r="M86" s="121">
        <v>45.2</v>
      </c>
      <c r="N86" s="121">
        <v>56.71</v>
      </c>
      <c r="O86" s="32">
        <v>5.9660000000000002</v>
      </c>
      <c r="P86" s="41" t="s">
        <v>415</v>
      </c>
      <c r="Q86" s="16">
        <v>35</v>
      </c>
      <c r="R86" s="16">
        <v>35</v>
      </c>
      <c r="S86" s="16">
        <v>50</v>
      </c>
      <c r="T86" s="109"/>
      <c r="U86" s="109"/>
      <c r="V86" s="109"/>
      <c r="W86" s="109">
        <v>120</v>
      </c>
      <c r="X86" s="105">
        <v>6000</v>
      </c>
      <c r="Y86" s="105">
        <v>7500</v>
      </c>
      <c r="Z86" s="105">
        <v>12000</v>
      </c>
      <c r="AA86" s="105">
        <v>15000</v>
      </c>
      <c r="AB86" s="105">
        <v>22000</v>
      </c>
      <c r="AC86" s="105">
        <v>35000</v>
      </c>
      <c r="AD86" s="105">
        <v>49000</v>
      </c>
      <c r="AE86" s="105">
        <v>74000</v>
      </c>
      <c r="AF86" s="105">
        <v>92000</v>
      </c>
      <c r="AG86" s="105">
        <v>117000</v>
      </c>
      <c r="AH86" s="94"/>
      <c r="AI86" s="94"/>
      <c r="AJ86" s="94"/>
      <c r="AK86" s="32"/>
      <c r="AL86" s="113">
        <v>1718000</v>
      </c>
      <c r="AM86" s="95">
        <v>12500</v>
      </c>
      <c r="AN86" s="95">
        <v>6</v>
      </c>
      <c r="AO86" s="96">
        <v>25000</v>
      </c>
      <c r="AP86" s="96">
        <v>1</v>
      </c>
      <c r="AQ86" s="97">
        <v>75000</v>
      </c>
      <c r="AR86" s="134">
        <v>1</v>
      </c>
      <c r="AS86" s="135"/>
      <c r="AT86" s="135"/>
      <c r="AU86" s="113">
        <v>700000</v>
      </c>
      <c r="AV86" s="113">
        <v>2418000</v>
      </c>
      <c r="AW86" s="113">
        <v>342</v>
      </c>
      <c r="AX86" s="113"/>
      <c r="AY86" s="113">
        <v>441</v>
      </c>
      <c r="AZ86" s="113">
        <v>1</v>
      </c>
      <c r="BA86" s="113" t="s">
        <v>633</v>
      </c>
      <c r="BB86" s="32">
        <v>1</v>
      </c>
      <c r="BC86" s="32"/>
      <c r="BD86" s="32">
        <v>1</v>
      </c>
      <c r="BE86" s="32">
        <v>1</v>
      </c>
      <c r="BF86" s="32"/>
      <c r="BG86" s="32"/>
      <c r="BH86" s="32"/>
      <c r="BI86" s="32"/>
      <c r="BJ86" s="32"/>
      <c r="BK86" s="32"/>
      <c r="BL86" s="32"/>
      <c r="BM86" s="32"/>
      <c r="BN86" s="32"/>
      <c r="BO86" s="32"/>
      <c r="BP86" s="32"/>
      <c r="BQ86" s="32" t="s">
        <v>799</v>
      </c>
      <c r="BR86" s="32"/>
      <c r="BS86" s="32"/>
      <c r="BT86" s="32"/>
      <c r="BU86" s="32">
        <v>1</v>
      </c>
      <c r="BV86" s="81" t="s">
        <v>750</v>
      </c>
      <c r="BW86" s="113"/>
      <c r="BX86" s="113"/>
      <c r="BY86" s="113">
        <v>1</v>
      </c>
      <c r="BZ86" s="113">
        <v>5</v>
      </c>
      <c r="CA86" s="113"/>
      <c r="CB86" s="113"/>
      <c r="CC86" s="113"/>
      <c r="CD86" s="32"/>
      <c r="CE86" s="32"/>
      <c r="CF86" s="32"/>
      <c r="CG86" s="32"/>
      <c r="CH86" s="32"/>
      <c r="CI86" s="32"/>
      <c r="CJ86" s="32"/>
      <c r="CK86" s="32"/>
      <c r="CL86" s="32"/>
      <c r="CM86" s="32"/>
      <c r="CN86" s="32"/>
    </row>
    <row r="87" spans="1:92" ht="21" customHeight="1">
      <c r="A87" s="109">
        <v>85</v>
      </c>
      <c r="B87" s="110" t="s">
        <v>134</v>
      </c>
      <c r="C87" s="111" t="s">
        <v>589</v>
      </c>
      <c r="D87" s="110" t="s">
        <v>115</v>
      </c>
      <c r="E87" s="111" t="s">
        <v>330</v>
      </c>
      <c r="F87" s="111" t="s">
        <v>131</v>
      </c>
      <c r="G87" s="18" t="s">
        <v>89</v>
      </c>
      <c r="H87" s="112" t="s">
        <v>296</v>
      </c>
      <c r="I87" s="13">
        <v>2816</v>
      </c>
      <c r="J87" s="14">
        <v>2816</v>
      </c>
      <c r="K87" s="122">
        <v>362.8</v>
      </c>
      <c r="L87" s="123">
        <v>77.540000000000006</v>
      </c>
      <c r="M87" s="123">
        <v>34.11</v>
      </c>
      <c r="N87" s="123">
        <v>48.64</v>
      </c>
      <c r="O87" s="113">
        <v>4.88</v>
      </c>
      <c r="P87" s="41" t="s">
        <v>415</v>
      </c>
      <c r="Q87" s="16">
        <v>40</v>
      </c>
      <c r="R87" s="16">
        <v>18</v>
      </c>
      <c r="S87" s="16">
        <v>24</v>
      </c>
      <c r="T87" s="16">
        <v>36</v>
      </c>
      <c r="U87" s="109"/>
      <c r="V87" s="109"/>
      <c r="W87" s="109">
        <v>118</v>
      </c>
      <c r="X87" s="105">
        <v>6000</v>
      </c>
      <c r="Y87" s="105">
        <v>7500</v>
      </c>
      <c r="Z87" s="105">
        <v>12000</v>
      </c>
      <c r="AA87" s="94">
        <v>20000</v>
      </c>
      <c r="AB87" s="94">
        <v>35000</v>
      </c>
      <c r="AC87" s="94">
        <v>45000</v>
      </c>
      <c r="AD87" s="94">
        <v>64000</v>
      </c>
      <c r="AE87" s="94">
        <v>78000</v>
      </c>
      <c r="AF87" s="94">
        <v>86000</v>
      </c>
      <c r="AG87" s="94">
        <v>94000</v>
      </c>
      <c r="AH87" s="94">
        <v>100000</v>
      </c>
      <c r="AI87" s="94"/>
      <c r="AJ87" s="94"/>
      <c r="AK87" s="32"/>
      <c r="AL87" s="113">
        <v>2190000</v>
      </c>
      <c r="AM87" s="95">
        <v>15000</v>
      </c>
      <c r="AN87" s="95">
        <v>6</v>
      </c>
      <c r="AO87" s="96">
        <v>30000</v>
      </c>
      <c r="AP87" s="96">
        <v>4</v>
      </c>
      <c r="AQ87" s="97">
        <v>90000</v>
      </c>
      <c r="AR87" s="134">
        <v>2</v>
      </c>
      <c r="AS87" s="135"/>
      <c r="AT87" s="135"/>
      <c r="AU87" s="113">
        <v>1560000</v>
      </c>
      <c r="AV87" s="113">
        <v>3750000</v>
      </c>
      <c r="AW87" s="113">
        <v>377</v>
      </c>
      <c r="AX87" s="113"/>
      <c r="AY87" s="113">
        <v>500</v>
      </c>
      <c r="AZ87" s="113">
        <v>1</v>
      </c>
      <c r="BA87" s="113" t="s">
        <v>633</v>
      </c>
      <c r="BB87" s="32"/>
      <c r="BC87" s="32"/>
      <c r="BD87" s="32">
        <v>1</v>
      </c>
      <c r="BE87" s="32">
        <v>1</v>
      </c>
      <c r="BF87" s="32"/>
      <c r="BG87" s="32">
        <v>1</v>
      </c>
      <c r="BH87" s="32"/>
      <c r="BI87" s="32"/>
      <c r="BJ87" s="32"/>
      <c r="BK87" s="32"/>
      <c r="BL87" s="32"/>
      <c r="BM87" s="32"/>
      <c r="BN87" s="32"/>
      <c r="BO87" s="32"/>
      <c r="BP87" s="32"/>
      <c r="BQ87" s="84" t="s">
        <v>1164</v>
      </c>
      <c r="BR87" s="32"/>
      <c r="BS87" s="32"/>
      <c r="BT87" s="32"/>
      <c r="BU87" s="32">
        <v>1</v>
      </c>
      <c r="BV87" s="81" t="s">
        <v>1165</v>
      </c>
      <c r="BW87" s="113"/>
      <c r="BX87" s="113"/>
      <c r="BY87" s="113">
        <v>1</v>
      </c>
      <c r="BZ87" s="113">
        <v>6</v>
      </c>
      <c r="CA87" s="113"/>
      <c r="CB87" s="113"/>
      <c r="CC87" s="113"/>
      <c r="CD87" s="32"/>
      <c r="CE87" s="32"/>
      <c r="CF87" s="32"/>
      <c r="CG87" s="32"/>
      <c r="CH87" s="32"/>
      <c r="CI87" s="32"/>
      <c r="CJ87" s="32"/>
      <c r="CK87" s="32"/>
      <c r="CL87" s="77"/>
      <c r="CM87" s="32"/>
      <c r="CN87" s="32"/>
    </row>
    <row r="88" spans="1:92" ht="21" customHeight="1">
      <c r="A88" s="109">
        <v>86</v>
      </c>
      <c r="B88" s="110" t="s">
        <v>136</v>
      </c>
      <c r="C88" s="111" t="s">
        <v>590</v>
      </c>
      <c r="D88" s="110" t="s">
        <v>77</v>
      </c>
      <c r="E88" s="111" t="s">
        <v>331</v>
      </c>
      <c r="F88" s="111" t="s">
        <v>131</v>
      </c>
      <c r="G88" s="18" t="s">
        <v>89</v>
      </c>
      <c r="H88" s="112" t="s">
        <v>296</v>
      </c>
      <c r="I88" s="13">
        <v>2816</v>
      </c>
      <c r="J88" s="14">
        <v>2827</v>
      </c>
      <c r="K88" s="120">
        <v>303.39999999999998</v>
      </c>
      <c r="L88" s="121">
        <v>77.319999999999993</v>
      </c>
      <c r="M88" s="121">
        <v>86.2</v>
      </c>
      <c r="N88" s="121">
        <v>68.94</v>
      </c>
      <c r="O88" s="32">
        <v>8.9659999999999993</v>
      </c>
      <c r="P88" s="41" t="s">
        <v>415</v>
      </c>
      <c r="Q88" s="16">
        <v>40</v>
      </c>
      <c r="R88" s="16">
        <v>18</v>
      </c>
      <c r="S88" s="16">
        <v>24</v>
      </c>
      <c r="T88" s="16">
        <v>36</v>
      </c>
      <c r="U88" s="109"/>
      <c r="V88" s="109"/>
      <c r="W88" s="109">
        <v>118</v>
      </c>
      <c r="X88" s="94">
        <v>14200</v>
      </c>
      <c r="Y88" s="94">
        <v>15600</v>
      </c>
      <c r="Z88" s="94">
        <v>18500</v>
      </c>
      <c r="AA88" s="94">
        <v>22800</v>
      </c>
      <c r="AB88" s="94">
        <v>34100</v>
      </c>
      <c r="AC88" s="94">
        <v>45500</v>
      </c>
      <c r="AD88" s="94">
        <v>64000</v>
      </c>
      <c r="AE88" s="94">
        <v>78000</v>
      </c>
      <c r="AF88" s="94">
        <v>85500</v>
      </c>
      <c r="AG88" s="94">
        <v>94000</v>
      </c>
      <c r="AH88" s="94">
        <v>97000</v>
      </c>
      <c r="AI88" s="94"/>
      <c r="AJ88" s="94"/>
      <c r="AK88" s="32"/>
      <c r="AL88" s="113">
        <v>2276800</v>
      </c>
      <c r="AM88" s="95">
        <v>15000</v>
      </c>
      <c r="AN88" s="95">
        <v>6</v>
      </c>
      <c r="AO88" s="96">
        <v>30000</v>
      </c>
      <c r="AP88" s="96">
        <v>4</v>
      </c>
      <c r="AQ88" s="97">
        <v>90000</v>
      </c>
      <c r="AR88" s="134">
        <v>2</v>
      </c>
      <c r="AS88" s="135"/>
      <c r="AT88" s="135"/>
      <c r="AU88" s="113">
        <v>1560000</v>
      </c>
      <c r="AV88" s="113">
        <v>3836800</v>
      </c>
      <c r="AW88" s="113">
        <v>316</v>
      </c>
      <c r="AX88" s="113"/>
      <c r="AY88" s="113">
        <v>404</v>
      </c>
      <c r="AZ88" s="113">
        <v>1</v>
      </c>
      <c r="BA88" s="113" t="s">
        <v>633</v>
      </c>
      <c r="BB88" s="32"/>
      <c r="BC88" s="32"/>
      <c r="BD88" s="32">
        <v>1</v>
      </c>
      <c r="BE88" s="32">
        <v>1</v>
      </c>
      <c r="BF88" s="32"/>
      <c r="BG88" s="32"/>
      <c r="BH88" s="32"/>
      <c r="BI88" s="32"/>
      <c r="BJ88" s="32"/>
      <c r="BK88" s="32"/>
      <c r="BL88" s="32"/>
      <c r="BM88" s="32"/>
      <c r="BN88" s="32"/>
      <c r="BO88" s="32"/>
      <c r="BP88" s="32"/>
      <c r="BQ88" s="32" t="s">
        <v>800</v>
      </c>
      <c r="BR88" s="32"/>
      <c r="BS88" s="32"/>
      <c r="BT88" s="32"/>
      <c r="BU88" s="32">
        <v>1</v>
      </c>
      <c r="BV88" s="81" t="s">
        <v>1166</v>
      </c>
      <c r="BW88" s="113"/>
      <c r="BX88" s="113"/>
      <c r="BY88" s="113"/>
      <c r="BZ88" s="113"/>
      <c r="CA88" s="113"/>
      <c r="CB88" s="113"/>
      <c r="CC88" s="113"/>
      <c r="CD88" s="32"/>
      <c r="CE88" s="73"/>
      <c r="CF88" s="73"/>
      <c r="CG88" s="73"/>
      <c r="CH88" s="73"/>
      <c r="CI88" s="73"/>
      <c r="CJ88" s="73"/>
      <c r="CK88" s="73"/>
      <c r="CL88" s="32"/>
      <c r="CM88" s="32"/>
      <c r="CN88" s="32"/>
    </row>
    <row r="89" spans="1:92" ht="21" customHeight="1">
      <c r="A89" s="109">
        <v>87</v>
      </c>
      <c r="B89" s="110" t="s">
        <v>140</v>
      </c>
      <c r="C89" s="111" t="s">
        <v>591</v>
      </c>
      <c r="D89" s="110" t="s">
        <v>141</v>
      </c>
      <c r="E89" s="111" t="s">
        <v>332</v>
      </c>
      <c r="F89" s="111" t="s">
        <v>131</v>
      </c>
      <c r="G89" s="18" t="s">
        <v>89</v>
      </c>
      <c r="H89" s="112" t="s">
        <v>296</v>
      </c>
      <c r="I89" s="13">
        <v>2983</v>
      </c>
      <c r="J89" s="14">
        <v>2983</v>
      </c>
      <c r="K89" s="120">
        <v>336.6</v>
      </c>
      <c r="L89" s="121">
        <v>81.05</v>
      </c>
      <c r="M89" s="121">
        <v>45.56</v>
      </c>
      <c r="N89" s="121">
        <v>68.209999999999994</v>
      </c>
      <c r="O89" s="32">
        <v>7.6159999999999997</v>
      </c>
      <c r="P89" s="41" t="s">
        <v>415</v>
      </c>
      <c r="Q89" s="16">
        <v>40</v>
      </c>
      <c r="R89" s="16">
        <v>18</v>
      </c>
      <c r="S89" s="16">
        <v>24</v>
      </c>
      <c r="T89" s="16">
        <v>36</v>
      </c>
      <c r="U89" s="109"/>
      <c r="V89" s="109"/>
      <c r="W89" s="109">
        <v>118</v>
      </c>
      <c r="X89" s="105">
        <v>14200</v>
      </c>
      <c r="Y89" s="105">
        <v>15600</v>
      </c>
      <c r="Z89" s="105">
        <v>18500</v>
      </c>
      <c r="AA89" s="105">
        <v>22800</v>
      </c>
      <c r="AB89" s="105">
        <v>34100</v>
      </c>
      <c r="AC89" s="105">
        <v>45500</v>
      </c>
      <c r="AD89" s="105">
        <v>64000</v>
      </c>
      <c r="AE89" s="105">
        <v>78000</v>
      </c>
      <c r="AF89" s="105">
        <v>85500</v>
      </c>
      <c r="AG89" s="105">
        <v>94000</v>
      </c>
      <c r="AH89" s="105">
        <v>97000</v>
      </c>
      <c r="AI89" s="94"/>
      <c r="AJ89" s="94"/>
      <c r="AK89" s="32"/>
      <c r="AL89" s="113">
        <v>2276800</v>
      </c>
      <c r="AM89" s="95">
        <v>15000</v>
      </c>
      <c r="AN89" s="95">
        <v>6</v>
      </c>
      <c r="AO89" s="96">
        <v>30000</v>
      </c>
      <c r="AP89" s="96">
        <v>4</v>
      </c>
      <c r="AQ89" s="97">
        <v>90000</v>
      </c>
      <c r="AR89" s="134">
        <v>2</v>
      </c>
      <c r="AS89" s="135"/>
      <c r="AT89" s="135"/>
      <c r="AU89" s="113">
        <v>1560000</v>
      </c>
      <c r="AV89" s="113">
        <v>3836800</v>
      </c>
      <c r="AW89" s="113">
        <v>350</v>
      </c>
      <c r="AX89" s="113"/>
      <c r="AY89" s="113">
        <v>455</v>
      </c>
      <c r="AZ89" s="113"/>
      <c r="BA89" s="113" t="s">
        <v>632</v>
      </c>
      <c r="BB89" s="32"/>
      <c r="BC89" s="32">
        <v>1</v>
      </c>
      <c r="BD89" s="32"/>
      <c r="BE89" s="32">
        <v>1</v>
      </c>
      <c r="BF89" s="32"/>
      <c r="BG89" s="32"/>
      <c r="BH89" s="32"/>
      <c r="BI89" s="32"/>
      <c r="BJ89" s="32"/>
      <c r="BK89" s="32"/>
      <c r="BL89" s="32"/>
      <c r="BM89" s="32"/>
      <c r="BN89" s="32"/>
      <c r="BO89" s="32"/>
      <c r="BP89" s="32"/>
      <c r="BQ89" s="32" t="s">
        <v>736</v>
      </c>
      <c r="BR89" s="32">
        <v>1</v>
      </c>
      <c r="BS89" s="32"/>
      <c r="BT89" s="32"/>
      <c r="BU89" s="32">
        <v>1</v>
      </c>
      <c r="BV89" s="81" t="s">
        <v>1167</v>
      </c>
      <c r="BW89" s="113"/>
      <c r="BX89" s="113"/>
      <c r="BY89" s="113">
        <v>1</v>
      </c>
      <c r="BZ89" s="113">
        <v>12</v>
      </c>
      <c r="CA89" s="113"/>
      <c r="CB89" s="113"/>
      <c r="CC89" s="113"/>
      <c r="CD89" s="32"/>
      <c r="CE89" s="32"/>
      <c r="CF89" s="32"/>
      <c r="CG89" s="32"/>
      <c r="CH89" s="32"/>
      <c r="CI89" s="32"/>
      <c r="CJ89" s="32"/>
      <c r="CK89" s="32"/>
      <c r="CL89" s="32"/>
      <c r="CM89" s="32"/>
      <c r="CN89" s="32"/>
    </row>
    <row r="90" spans="1:92" ht="21" customHeight="1">
      <c r="A90" s="109">
        <v>88</v>
      </c>
      <c r="B90" s="110" t="s">
        <v>143</v>
      </c>
      <c r="C90" s="111" t="s">
        <v>144</v>
      </c>
      <c r="D90" s="110" t="s">
        <v>1129</v>
      </c>
      <c r="E90" s="111" t="s">
        <v>333</v>
      </c>
      <c r="F90" s="111" t="s">
        <v>131</v>
      </c>
      <c r="G90" s="18" t="s">
        <v>89</v>
      </c>
      <c r="H90" s="112" t="s">
        <v>296</v>
      </c>
      <c r="I90" s="13">
        <v>3012</v>
      </c>
      <c r="J90" s="14">
        <v>3000</v>
      </c>
      <c r="K90" s="120">
        <v>343.1</v>
      </c>
      <c r="L90" s="121">
        <v>78.7</v>
      </c>
      <c r="M90" s="121">
        <v>47.8</v>
      </c>
      <c r="N90" s="121">
        <v>64.790000000000006</v>
      </c>
      <c r="O90" s="32">
        <v>6.8659999999999997</v>
      </c>
      <c r="P90" s="41" t="s">
        <v>415</v>
      </c>
      <c r="Q90" s="16">
        <v>40</v>
      </c>
      <c r="R90" s="16">
        <v>18</v>
      </c>
      <c r="S90" s="16">
        <v>24</v>
      </c>
      <c r="T90" s="16">
        <v>36</v>
      </c>
      <c r="U90" s="109"/>
      <c r="V90" s="109"/>
      <c r="W90" s="109">
        <v>118</v>
      </c>
      <c r="X90" s="105">
        <v>8000</v>
      </c>
      <c r="Y90" s="105">
        <v>12000</v>
      </c>
      <c r="Z90" s="105">
        <v>15000</v>
      </c>
      <c r="AA90" s="105">
        <v>28000</v>
      </c>
      <c r="AB90" s="105">
        <v>44000</v>
      </c>
      <c r="AC90" s="105">
        <v>58000</v>
      </c>
      <c r="AD90" s="105">
        <v>81000</v>
      </c>
      <c r="AE90" s="105">
        <v>99000</v>
      </c>
      <c r="AF90" s="105">
        <v>110000</v>
      </c>
      <c r="AG90" s="105">
        <v>120000</v>
      </c>
      <c r="AH90" s="105">
        <v>125000</v>
      </c>
      <c r="AI90" s="94"/>
      <c r="AJ90" s="94"/>
      <c r="AK90" s="32"/>
      <c r="AL90" s="113">
        <v>2800000</v>
      </c>
      <c r="AM90" s="95">
        <v>17500</v>
      </c>
      <c r="AN90" s="95">
        <v>6</v>
      </c>
      <c r="AO90" s="96">
        <v>35000</v>
      </c>
      <c r="AP90" s="96">
        <v>4</v>
      </c>
      <c r="AQ90" s="97">
        <v>105000</v>
      </c>
      <c r="AR90" s="134">
        <v>2</v>
      </c>
      <c r="AS90" s="135"/>
      <c r="AT90" s="135"/>
      <c r="AU90" s="113">
        <v>1820000</v>
      </c>
      <c r="AV90" s="113">
        <v>4620000</v>
      </c>
      <c r="AW90" s="113">
        <v>357</v>
      </c>
      <c r="AX90" s="113"/>
      <c r="AY90" s="113">
        <v>466</v>
      </c>
      <c r="AZ90" s="113">
        <v>1</v>
      </c>
      <c r="BA90" s="113" t="s">
        <v>633</v>
      </c>
      <c r="BB90" s="32"/>
      <c r="BC90" s="32"/>
      <c r="BD90" s="32"/>
      <c r="BE90" s="32">
        <v>1</v>
      </c>
      <c r="BF90" s="32"/>
      <c r="BG90" s="32">
        <v>1</v>
      </c>
      <c r="BH90" s="32"/>
      <c r="BI90" s="32"/>
      <c r="BJ90" s="32"/>
      <c r="BK90" s="32"/>
      <c r="BL90" s="32"/>
      <c r="BM90" s="32"/>
      <c r="BN90" s="32"/>
      <c r="BO90" s="32"/>
      <c r="BP90" s="32"/>
      <c r="BQ90" s="32" t="s">
        <v>827</v>
      </c>
      <c r="BR90" s="32"/>
      <c r="BS90" s="32"/>
      <c r="BT90" s="32"/>
      <c r="BU90" s="32">
        <v>1</v>
      </c>
      <c r="BV90" s="81" t="s">
        <v>1168</v>
      </c>
      <c r="BW90" s="113"/>
      <c r="BX90" s="113"/>
      <c r="BY90" s="113">
        <v>1</v>
      </c>
      <c r="BZ90" s="113">
        <v>6</v>
      </c>
      <c r="CA90" s="113"/>
      <c r="CB90" s="113"/>
      <c r="CC90" s="113"/>
      <c r="CD90" s="32"/>
      <c r="CE90" s="32"/>
      <c r="CF90" s="32"/>
      <c r="CG90" s="32"/>
      <c r="CH90" s="32"/>
      <c r="CI90" s="32"/>
      <c r="CJ90" s="32"/>
      <c r="CK90" s="32"/>
      <c r="CL90" s="32"/>
      <c r="CM90" s="32"/>
      <c r="CN90" s="32"/>
    </row>
    <row r="91" spans="1:92" ht="21" customHeight="1">
      <c r="A91" s="109">
        <v>89</v>
      </c>
      <c r="B91" s="110" t="s">
        <v>1395</v>
      </c>
      <c r="C91" s="111" t="s">
        <v>1396</v>
      </c>
      <c r="D91" s="110" t="s">
        <v>115</v>
      </c>
      <c r="E91" s="111" t="s">
        <v>1397</v>
      </c>
      <c r="F91" s="111" t="s">
        <v>131</v>
      </c>
      <c r="G91" s="18" t="s">
        <v>89</v>
      </c>
      <c r="H91" s="149" t="s">
        <v>1393</v>
      </c>
      <c r="I91" s="13"/>
      <c r="J91" s="14">
        <v>3025</v>
      </c>
      <c r="K91" s="120">
        <v>335.2</v>
      </c>
      <c r="L91" s="121">
        <v>75.650000000000006</v>
      </c>
      <c r="M91" s="121">
        <v>46.89</v>
      </c>
      <c r="N91" s="121">
        <v>73.819999999999993</v>
      </c>
      <c r="O91" s="15"/>
      <c r="P91" s="41" t="s">
        <v>415</v>
      </c>
      <c r="Q91" s="16">
        <v>25</v>
      </c>
      <c r="R91" s="16">
        <v>30</v>
      </c>
      <c r="S91" s="16">
        <v>35</v>
      </c>
      <c r="T91" s="16">
        <v>40</v>
      </c>
      <c r="U91" s="109"/>
      <c r="V91" s="109"/>
      <c r="W91" s="109">
        <v>130</v>
      </c>
      <c r="X91" s="105">
        <v>8000</v>
      </c>
      <c r="Y91" s="105">
        <v>12000</v>
      </c>
      <c r="Z91" s="105">
        <v>15000</v>
      </c>
      <c r="AA91" s="105">
        <v>28000</v>
      </c>
      <c r="AB91" s="105">
        <v>44000</v>
      </c>
      <c r="AC91" s="105">
        <v>58000</v>
      </c>
      <c r="AD91" s="105">
        <v>81000</v>
      </c>
      <c r="AE91" s="105">
        <v>99000</v>
      </c>
      <c r="AF91" s="105">
        <v>110000</v>
      </c>
      <c r="AG91" s="105">
        <v>120000</v>
      </c>
      <c r="AH91" s="105">
        <v>125000</v>
      </c>
      <c r="AI91" s="94"/>
      <c r="AJ91" s="94"/>
      <c r="AK91" s="32"/>
      <c r="AL91" s="113">
        <v>2800000</v>
      </c>
      <c r="AM91" s="95">
        <v>22750</v>
      </c>
      <c r="AN91" s="95">
        <v>6</v>
      </c>
      <c r="AO91" s="96">
        <v>45500</v>
      </c>
      <c r="AP91" s="96">
        <v>4</v>
      </c>
      <c r="AQ91" s="97">
        <v>136500</v>
      </c>
      <c r="AR91" s="134">
        <v>2</v>
      </c>
      <c r="AS91" s="135"/>
      <c r="AT91" s="135"/>
      <c r="AU91" s="113">
        <v>2366000</v>
      </c>
      <c r="AV91" s="113">
        <v>5166000</v>
      </c>
      <c r="AW91" s="113">
        <v>349</v>
      </c>
      <c r="AX91" s="113"/>
      <c r="AY91" s="113">
        <v>452</v>
      </c>
      <c r="AZ91" s="113"/>
      <c r="BA91" s="113" t="s">
        <v>605</v>
      </c>
      <c r="BB91" s="32"/>
      <c r="BC91" s="32"/>
      <c r="BD91" s="32"/>
      <c r="BE91" s="32"/>
      <c r="BF91" s="32"/>
      <c r="BG91" s="32"/>
      <c r="BH91" s="32"/>
      <c r="BI91" s="32"/>
      <c r="BJ91" s="32"/>
      <c r="BK91" s="32"/>
      <c r="BL91" s="32"/>
      <c r="BM91" s="32"/>
      <c r="BN91" s="32"/>
      <c r="BO91" s="32"/>
      <c r="BP91" s="32"/>
      <c r="BQ91" s="32"/>
      <c r="BR91" s="32"/>
      <c r="BS91" s="32"/>
      <c r="BT91" s="32"/>
      <c r="BU91" s="32"/>
      <c r="BV91" s="81" t="s">
        <v>752</v>
      </c>
      <c r="BW91" s="113"/>
      <c r="BX91" s="113"/>
      <c r="BY91" s="113"/>
      <c r="BZ91" s="113"/>
      <c r="CA91" s="113"/>
      <c r="CB91" s="113"/>
      <c r="CC91" s="113"/>
      <c r="CD91" s="32"/>
      <c r="CE91" s="32"/>
      <c r="CF91" s="32"/>
      <c r="CG91" s="32"/>
      <c r="CH91" s="32"/>
      <c r="CI91" s="32"/>
      <c r="CJ91" s="32"/>
      <c r="CK91" s="32"/>
      <c r="CL91" s="32"/>
      <c r="CM91" s="32"/>
      <c r="CN91" s="32"/>
    </row>
    <row r="92" spans="1:92" ht="21" customHeight="1">
      <c r="A92" s="109">
        <v>90</v>
      </c>
      <c r="B92" s="110" t="s">
        <v>145</v>
      </c>
      <c r="C92" s="111" t="s">
        <v>592</v>
      </c>
      <c r="D92" s="110" t="s">
        <v>765</v>
      </c>
      <c r="E92" s="111" t="s">
        <v>146</v>
      </c>
      <c r="F92" s="111" t="s">
        <v>131</v>
      </c>
      <c r="G92" s="18" t="s">
        <v>89</v>
      </c>
      <c r="H92" s="112" t="s">
        <v>296</v>
      </c>
      <c r="I92" s="13">
        <v>3003</v>
      </c>
      <c r="J92" s="14">
        <v>3026</v>
      </c>
      <c r="K92" s="120">
        <v>318</v>
      </c>
      <c r="L92" s="121">
        <v>78.22</v>
      </c>
      <c r="M92" s="121">
        <v>86.5</v>
      </c>
      <c r="N92" s="121">
        <v>60.57</v>
      </c>
      <c r="O92" s="32">
        <v>6.7160000000000002</v>
      </c>
      <c r="P92" s="41" t="s">
        <v>415</v>
      </c>
      <c r="Q92" s="16">
        <v>40</v>
      </c>
      <c r="R92" s="16">
        <v>18</v>
      </c>
      <c r="S92" s="16">
        <v>24</v>
      </c>
      <c r="T92" s="16">
        <v>36</v>
      </c>
      <c r="U92" s="109"/>
      <c r="V92" s="109"/>
      <c r="W92" s="109">
        <v>118</v>
      </c>
      <c r="X92" s="105">
        <v>8000</v>
      </c>
      <c r="Y92" s="105">
        <v>12000</v>
      </c>
      <c r="Z92" s="105">
        <v>15000</v>
      </c>
      <c r="AA92" s="105">
        <v>28000</v>
      </c>
      <c r="AB92" s="105">
        <v>44000</v>
      </c>
      <c r="AC92" s="94">
        <v>58000</v>
      </c>
      <c r="AD92" s="94">
        <v>81000</v>
      </c>
      <c r="AE92" s="94">
        <v>99000</v>
      </c>
      <c r="AF92" s="94">
        <v>110000</v>
      </c>
      <c r="AG92" s="105">
        <v>120000</v>
      </c>
      <c r="AH92" s="94">
        <v>125000</v>
      </c>
      <c r="AI92" s="94"/>
      <c r="AJ92" s="94"/>
      <c r="AK92" s="32"/>
      <c r="AL92" s="113">
        <v>2800000</v>
      </c>
      <c r="AM92" s="95">
        <v>17500</v>
      </c>
      <c r="AN92" s="95">
        <v>6</v>
      </c>
      <c r="AO92" s="96">
        <v>35000</v>
      </c>
      <c r="AP92" s="96">
        <v>4</v>
      </c>
      <c r="AQ92" s="97">
        <v>105000</v>
      </c>
      <c r="AR92" s="134">
        <v>2</v>
      </c>
      <c r="AS92" s="135"/>
      <c r="AT92" s="135"/>
      <c r="AU92" s="113">
        <v>1820000</v>
      </c>
      <c r="AV92" s="113">
        <v>4620000</v>
      </c>
      <c r="AW92" s="113">
        <v>331</v>
      </c>
      <c r="AX92" s="113"/>
      <c r="AY92" s="113">
        <v>422</v>
      </c>
      <c r="AZ92" s="113">
        <v>1</v>
      </c>
      <c r="BA92" s="113" t="s">
        <v>633</v>
      </c>
      <c r="BB92" s="32"/>
      <c r="BC92" s="32"/>
      <c r="BD92" s="32"/>
      <c r="BE92" s="32">
        <v>1</v>
      </c>
      <c r="BF92" s="32"/>
      <c r="BG92" s="32">
        <v>1</v>
      </c>
      <c r="BH92" s="32"/>
      <c r="BI92" s="32"/>
      <c r="BJ92" s="32"/>
      <c r="BK92" s="32"/>
      <c r="BL92" s="32"/>
      <c r="BM92" s="32"/>
      <c r="BN92" s="32"/>
      <c r="BO92" s="32"/>
      <c r="BP92" s="32"/>
      <c r="BQ92" s="32" t="s">
        <v>800</v>
      </c>
      <c r="BR92" s="32"/>
      <c r="BS92" s="32"/>
      <c r="BT92" s="32"/>
      <c r="BU92" s="32">
        <v>1</v>
      </c>
      <c r="BV92" s="81" t="s">
        <v>751</v>
      </c>
      <c r="BW92" s="113"/>
      <c r="BX92" s="113"/>
      <c r="BY92" s="113">
        <v>1</v>
      </c>
      <c r="BZ92" s="113">
        <v>6</v>
      </c>
      <c r="CA92" s="113"/>
      <c r="CB92" s="113"/>
      <c r="CC92" s="113"/>
      <c r="CD92" s="32"/>
      <c r="CE92" s="32"/>
      <c r="CF92" s="32"/>
      <c r="CG92" s="32"/>
      <c r="CH92" s="32"/>
      <c r="CI92" s="32"/>
      <c r="CJ92" s="32"/>
      <c r="CK92" s="32"/>
      <c r="CL92" s="32"/>
      <c r="CM92" s="32"/>
      <c r="CN92" s="32"/>
    </row>
    <row r="93" spans="1:92" ht="21" customHeight="1">
      <c r="A93" s="109">
        <v>91</v>
      </c>
      <c r="B93" s="110" t="s">
        <v>132</v>
      </c>
      <c r="C93" s="111" t="s">
        <v>133</v>
      </c>
      <c r="D93" s="110" t="s">
        <v>99</v>
      </c>
      <c r="E93" s="111" t="s">
        <v>329</v>
      </c>
      <c r="F93" s="111" t="s">
        <v>131</v>
      </c>
      <c r="G93" s="18" t="s">
        <v>89</v>
      </c>
      <c r="H93" s="112" t="s">
        <v>425</v>
      </c>
      <c r="I93" s="13">
        <v>2735</v>
      </c>
      <c r="J93" s="14">
        <v>3049</v>
      </c>
      <c r="K93" s="124">
        <v>343.2</v>
      </c>
      <c r="L93" s="125">
        <v>75.150000000000006</v>
      </c>
      <c r="M93" s="125">
        <v>53.67</v>
      </c>
      <c r="N93" s="125">
        <v>68.89</v>
      </c>
      <c r="O93" s="20"/>
      <c r="P93" s="41" t="s">
        <v>415</v>
      </c>
      <c r="Q93" s="37">
        <v>25</v>
      </c>
      <c r="R93" s="37">
        <v>30</v>
      </c>
      <c r="S93" s="37">
        <v>35</v>
      </c>
      <c r="T93" s="37">
        <v>40</v>
      </c>
      <c r="U93" s="109"/>
      <c r="V93" s="109"/>
      <c r="W93" s="109">
        <v>130</v>
      </c>
      <c r="X93" s="94">
        <v>18150</v>
      </c>
      <c r="Y93" s="94">
        <v>19900</v>
      </c>
      <c r="Z93" s="94">
        <v>23600</v>
      </c>
      <c r="AA93" s="94">
        <v>29000</v>
      </c>
      <c r="AB93" s="94">
        <v>43500</v>
      </c>
      <c r="AC93" s="94">
        <v>58000</v>
      </c>
      <c r="AD93" s="94">
        <v>81500</v>
      </c>
      <c r="AE93" s="94">
        <v>99500</v>
      </c>
      <c r="AF93" s="94">
        <v>109000</v>
      </c>
      <c r="AG93" s="94">
        <v>120000</v>
      </c>
      <c r="AH93" s="94">
        <v>123000</v>
      </c>
      <c r="AI93" s="94"/>
      <c r="AJ93" s="94"/>
      <c r="AK93" s="32"/>
      <c r="AL93" s="113">
        <v>2900600</v>
      </c>
      <c r="AM93" s="95">
        <v>17500</v>
      </c>
      <c r="AN93" s="95">
        <v>6</v>
      </c>
      <c r="AO93" s="96">
        <v>35000</v>
      </c>
      <c r="AP93" s="96">
        <v>4</v>
      </c>
      <c r="AQ93" s="97">
        <v>105000</v>
      </c>
      <c r="AR93" s="134">
        <v>2</v>
      </c>
      <c r="AS93" s="135"/>
      <c r="AT93" s="135"/>
      <c r="AU93" s="113">
        <v>1820000</v>
      </c>
      <c r="AV93" s="113">
        <v>4720600</v>
      </c>
      <c r="AW93" s="113">
        <v>357</v>
      </c>
      <c r="AX93" s="113"/>
      <c r="AY93" s="113">
        <v>467</v>
      </c>
      <c r="AZ93" s="113">
        <v>1</v>
      </c>
      <c r="BA93" s="113" t="s">
        <v>635</v>
      </c>
      <c r="BB93" s="32"/>
      <c r="BC93" s="32"/>
      <c r="BD93" s="32"/>
      <c r="BE93" s="32"/>
      <c r="BF93" s="32"/>
      <c r="BG93" s="32">
        <v>1</v>
      </c>
      <c r="BH93" s="32"/>
      <c r="BI93" s="32"/>
      <c r="BJ93" s="32"/>
      <c r="BK93" s="32"/>
      <c r="BL93" s="32"/>
      <c r="BM93" s="32"/>
      <c r="BN93" s="32"/>
      <c r="BO93" s="32"/>
      <c r="BP93" s="32"/>
      <c r="BQ93" s="32"/>
      <c r="BR93" s="32"/>
      <c r="BS93" s="32"/>
      <c r="BT93" s="32"/>
      <c r="BU93" s="32"/>
      <c r="BV93" s="81" t="s">
        <v>747</v>
      </c>
      <c r="BW93" s="77"/>
      <c r="BX93" s="77"/>
      <c r="BY93" s="113">
        <v>1</v>
      </c>
      <c r="BZ93" s="113">
        <v>6</v>
      </c>
      <c r="CA93" s="113"/>
      <c r="CB93" s="113"/>
      <c r="CC93" s="113"/>
      <c r="CD93" s="32"/>
      <c r="CE93" s="73"/>
      <c r="CF93" s="73"/>
      <c r="CG93" s="73"/>
      <c r="CH93" s="73"/>
      <c r="CI93" s="73"/>
      <c r="CJ93" s="73"/>
      <c r="CK93" s="73"/>
      <c r="CL93" s="32"/>
      <c r="CM93" s="32"/>
      <c r="CN93" s="32"/>
    </row>
    <row r="94" spans="1:92" ht="21" customHeight="1">
      <c r="A94" s="109">
        <v>92</v>
      </c>
      <c r="B94" s="110" t="s">
        <v>1169</v>
      </c>
      <c r="C94" s="111" t="s">
        <v>615</v>
      </c>
      <c r="D94" s="110" t="s">
        <v>158</v>
      </c>
      <c r="E94" s="111" t="s">
        <v>614</v>
      </c>
      <c r="F94" s="111" t="s">
        <v>131</v>
      </c>
      <c r="G94" s="18" t="s">
        <v>89</v>
      </c>
      <c r="H94" s="112" t="s">
        <v>801</v>
      </c>
      <c r="I94" s="13">
        <v>3069</v>
      </c>
      <c r="J94" s="14">
        <v>3061</v>
      </c>
      <c r="K94" s="130">
        <v>331.9</v>
      </c>
      <c r="L94" s="131">
        <v>77.459999999999994</v>
      </c>
      <c r="M94" s="131">
        <v>60.47</v>
      </c>
      <c r="N94" s="131">
        <v>66.78</v>
      </c>
      <c r="O94" s="39"/>
      <c r="P94" s="41" t="s">
        <v>415</v>
      </c>
      <c r="Q94" s="37">
        <v>40</v>
      </c>
      <c r="R94" s="37">
        <v>45</v>
      </c>
      <c r="S94" s="37">
        <v>52</v>
      </c>
      <c r="T94" s="37">
        <v>63</v>
      </c>
      <c r="U94" s="109"/>
      <c r="V94" s="109"/>
      <c r="W94" s="109">
        <v>200</v>
      </c>
      <c r="X94" s="105">
        <v>8000</v>
      </c>
      <c r="Y94" s="105">
        <v>12000</v>
      </c>
      <c r="Z94" s="105">
        <v>15000</v>
      </c>
      <c r="AA94" s="105">
        <v>28000</v>
      </c>
      <c r="AB94" s="105">
        <v>44000</v>
      </c>
      <c r="AC94" s="94">
        <v>58000</v>
      </c>
      <c r="AD94" s="94">
        <v>81000</v>
      </c>
      <c r="AE94" s="94">
        <v>99000</v>
      </c>
      <c r="AF94" s="94">
        <v>110000</v>
      </c>
      <c r="AG94" s="105">
        <v>120000</v>
      </c>
      <c r="AH94" s="94">
        <v>125000</v>
      </c>
      <c r="AI94" s="94"/>
      <c r="AJ94" s="94"/>
      <c r="AK94" s="32"/>
      <c r="AL94" s="113">
        <v>2800000</v>
      </c>
      <c r="AM94" s="95">
        <v>17500</v>
      </c>
      <c r="AN94" s="95">
        <v>6</v>
      </c>
      <c r="AO94" s="96">
        <v>35000</v>
      </c>
      <c r="AP94" s="96">
        <v>4</v>
      </c>
      <c r="AQ94" s="97">
        <v>105000</v>
      </c>
      <c r="AR94" s="134">
        <v>2</v>
      </c>
      <c r="AS94" s="135"/>
      <c r="AT94" s="135"/>
      <c r="AU94" s="113">
        <v>1820000</v>
      </c>
      <c r="AV94" s="113">
        <v>4620000</v>
      </c>
      <c r="AW94" s="113">
        <v>345</v>
      </c>
      <c r="AX94" s="113"/>
      <c r="AY94" s="113">
        <v>447</v>
      </c>
      <c r="AZ94" s="113">
        <v>1</v>
      </c>
      <c r="BA94" s="113" t="s">
        <v>635</v>
      </c>
      <c r="BB94" s="32"/>
      <c r="BC94" s="32"/>
      <c r="BD94" s="32"/>
      <c r="BE94" s="32"/>
      <c r="BF94" s="32"/>
      <c r="BG94" s="32">
        <v>1</v>
      </c>
      <c r="BH94" s="32"/>
      <c r="BI94" s="32"/>
      <c r="BJ94" s="32"/>
      <c r="BK94" s="32"/>
      <c r="BL94" s="32"/>
      <c r="BM94" s="32"/>
      <c r="BN94" s="32"/>
      <c r="BO94" s="32"/>
      <c r="BP94" s="32"/>
      <c r="BQ94" s="32"/>
      <c r="BR94" s="32"/>
      <c r="BS94" s="32"/>
      <c r="BT94" s="32"/>
      <c r="BU94" s="32">
        <v>1</v>
      </c>
      <c r="BV94" s="81" t="s">
        <v>1170</v>
      </c>
      <c r="BW94" s="113"/>
      <c r="BX94" s="113"/>
      <c r="BY94" s="113"/>
      <c r="BZ94" s="113"/>
      <c r="CA94" s="113"/>
      <c r="CB94" s="113"/>
      <c r="CC94" s="113"/>
      <c r="CD94" s="32"/>
      <c r="CE94" s="32"/>
      <c r="CF94" s="32"/>
      <c r="CG94" s="32"/>
      <c r="CH94" s="32"/>
      <c r="CI94" s="32"/>
      <c r="CJ94" s="32"/>
      <c r="CK94" s="32"/>
      <c r="CL94" s="77"/>
      <c r="CM94" s="32"/>
      <c r="CN94" s="32"/>
    </row>
    <row r="95" spans="1:92" ht="21" customHeight="1">
      <c r="A95" s="109">
        <v>93</v>
      </c>
      <c r="B95" s="110" t="s">
        <v>147</v>
      </c>
      <c r="C95" s="111" t="s">
        <v>593</v>
      </c>
      <c r="D95" s="110" t="s">
        <v>148</v>
      </c>
      <c r="E95" s="111" t="s">
        <v>334</v>
      </c>
      <c r="F95" s="111" t="s">
        <v>131</v>
      </c>
      <c r="G95" s="18" t="s">
        <v>89</v>
      </c>
      <c r="H95" s="112" t="s">
        <v>297</v>
      </c>
      <c r="I95" s="13">
        <v>3088</v>
      </c>
      <c r="J95" s="14">
        <v>3093</v>
      </c>
      <c r="K95" s="120">
        <v>316.3</v>
      </c>
      <c r="L95" s="121">
        <v>85.72</v>
      </c>
      <c r="M95" s="121">
        <v>57.94</v>
      </c>
      <c r="N95" s="121">
        <v>71.91</v>
      </c>
      <c r="O95" s="32">
        <v>9.06</v>
      </c>
      <c r="P95" s="41" t="s">
        <v>415</v>
      </c>
      <c r="Q95" s="16">
        <v>40</v>
      </c>
      <c r="R95" s="16">
        <v>18</v>
      </c>
      <c r="S95" s="16">
        <v>24</v>
      </c>
      <c r="T95" s="16">
        <v>36</v>
      </c>
      <c r="U95" s="109"/>
      <c r="V95" s="109"/>
      <c r="W95" s="109">
        <v>118</v>
      </c>
      <c r="X95" s="96">
        <v>6000</v>
      </c>
      <c r="Y95" s="96">
        <v>7500</v>
      </c>
      <c r="Z95" s="96">
        <v>12000</v>
      </c>
      <c r="AA95" s="96">
        <v>20000</v>
      </c>
      <c r="AB95" s="96">
        <v>35000</v>
      </c>
      <c r="AC95" s="96">
        <v>45000</v>
      </c>
      <c r="AD95" s="96">
        <v>64000</v>
      </c>
      <c r="AE95" s="96">
        <v>78000</v>
      </c>
      <c r="AF95" s="96">
        <v>86000</v>
      </c>
      <c r="AG95" s="96">
        <v>94000</v>
      </c>
      <c r="AH95" s="96">
        <v>100000</v>
      </c>
      <c r="AI95" s="94"/>
      <c r="AJ95" s="94"/>
      <c r="AK95" s="32"/>
      <c r="AL95" s="113">
        <v>2190000</v>
      </c>
      <c r="AM95" s="95">
        <v>17500</v>
      </c>
      <c r="AN95" s="95">
        <v>6</v>
      </c>
      <c r="AO95" s="96">
        <v>35000</v>
      </c>
      <c r="AP95" s="96">
        <v>4</v>
      </c>
      <c r="AQ95" s="97">
        <v>105000</v>
      </c>
      <c r="AR95" s="134">
        <v>2</v>
      </c>
      <c r="AS95" s="135"/>
      <c r="AT95" s="135"/>
      <c r="AU95" s="113">
        <v>1820000</v>
      </c>
      <c r="AV95" s="113">
        <v>4010000</v>
      </c>
      <c r="AW95" s="113">
        <v>329</v>
      </c>
      <c r="AX95" s="113"/>
      <c r="AY95" s="113">
        <v>420</v>
      </c>
      <c r="AZ95" s="113">
        <v>1</v>
      </c>
      <c r="BA95" s="113" t="s">
        <v>635</v>
      </c>
      <c r="BB95" s="32"/>
      <c r="BC95" s="32"/>
      <c r="BD95" s="32">
        <v>1</v>
      </c>
      <c r="BE95" s="32"/>
      <c r="BF95" s="32"/>
      <c r="BG95" s="32">
        <v>1</v>
      </c>
      <c r="BH95" s="32"/>
      <c r="BI95" s="32"/>
      <c r="BJ95" s="32"/>
      <c r="BK95" s="32"/>
      <c r="BL95" s="32"/>
      <c r="BM95" s="32"/>
      <c r="BN95" s="32"/>
      <c r="BO95" s="32"/>
      <c r="BP95" s="32"/>
      <c r="BQ95" s="32"/>
      <c r="BR95" s="32"/>
      <c r="BS95" s="32"/>
      <c r="BT95" s="32"/>
      <c r="BU95" s="32"/>
      <c r="BV95" s="81" t="s">
        <v>1171</v>
      </c>
      <c r="BW95" s="113"/>
      <c r="BX95" s="113"/>
      <c r="BY95" s="113"/>
      <c r="BZ95" s="113"/>
      <c r="CA95" s="113"/>
      <c r="CB95" s="113"/>
      <c r="CC95" s="113"/>
      <c r="CD95" s="32"/>
      <c r="CE95" s="32"/>
      <c r="CF95" s="32"/>
      <c r="CG95" s="32"/>
      <c r="CH95" s="32"/>
      <c r="CI95" s="32"/>
      <c r="CJ95" s="32"/>
      <c r="CK95" s="32"/>
      <c r="CL95" s="77"/>
      <c r="CM95" s="32"/>
      <c r="CN95" s="32"/>
    </row>
    <row r="96" spans="1:92" ht="21" customHeight="1">
      <c r="A96" s="109">
        <v>94</v>
      </c>
      <c r="B96" s="110" t="s">
        <v>149</v>
      </c>
      <c r="C96" s="111" t="s">
        <v>150</v>
      </c>
      <c r="D96" s="110" t="s">
        <v>74</v>
      </c>
      <c r="E96" s="111" t="s">
        <v>335</v>
      </c>
      <c r="F96" s="111" t="s">
        <v>131</v>
      </c>
      <c r="G96" s="18" t="s">
        <v>89</v>
      </c>
      <c r="H96" s="112" t="s">
        <v>303</v>
      </c>
      <c r="I96" s="13">
        <v>3157</v>
      </c>
      <c r="J96" s="14">
        <v>3144</v>
      </c>
      <c r="K96" s="120">
        <v>329.9</v>
      </c>
      <c r="L96" s="121">
        <v>84.83</v>
      </c>
      <c r="M96" s="121">
        <v>60.69</v>
      </c>
      <c r="N96" s="121">
        <v>60.6</v>
      </c>
      <c r="O96" s="32">
        <v>6.4829999999999997</v>
      </c>
      <c r="P96" s="41" t="s">
        <v>415</v>
      </c>
      <c r="Q96" s="16">
        <v>40</v>
      </c>
      <c r="R96" s="16">
        <v>18</v>
      </c>
      <c r="S96" s="16">
        <v>24</v>
      </c>
      <c r="T96" s="16">
        <v>36</v>
      </c>
      <c r="U96" s="109"/>
      <c r="V96" s="109"/>
      <c r="W96" s="109">
        <v>118</v>
      </c>
      <c r="X96" s="96">
        <v>8000</v>
      </c>
      <c r="Y96" s="96">
        <v>12000</v>
      </c>
      <c r="Z96" s="96">
        <v>15000</v>
      </c>
      <c r="AA96" s="96">
        <v>28000</v>
      </c>
      <c r="AB96" s="96">
        <v>44000</v>
      </c>
      <c r="AC96" s="96">
        <v>58000</v>
      </c>
      <c r="AD96" s="96">
        <v>81000</v>
      </c>
      <c r="AE96" s="96">
        <v>99000</v>
      </c>
      <c r="AF96" s="96">
        <v>110000</v>
      </c>
      <c r="AG96" s="96">
        <v>120000</v>
      </c>
      <c r="AH96" s="96">
        <v>125000</v>
      </c>
      <c r="AI96" s="94"/>
      <c r="AJ96" s="94"/>
      <c r="AK96" s="32"/>
      <c r="AL96" s="113">
        <v>2800000</v>
      </c>
      <c r="AM96" s="95">
        <v>17500</v>
      </c>
      <c r="AN96" s="95">
        <v>6</v>
      </c>
      <c r="AO96" s="96">
        <v>35000</v>
      </c>
      <c r="AP96" s="96">
        <v>4</v>
      </c>
      <c r="AQ96" s="97">
        <v>105000</v>
      </c>
      <c r="AR96" s="134">
        <v>2</v>
      </c>
      <c r="AS96" s="135"/>
      <c r="AT96" s="135"/>
      <c r="AU96" s="113">
        <v>1820000</v>
      </c>
      <c r="AV96" s="113">
        <v>4620000</v>
      </c>
      <c r="AW96" s="113">
        <v>343</v>
      </c>
      <c r="AX96" s="113"/>
      <c r="AY96" s="113">
        <v>443</v>
      </c>
      <c r="AZ96" s="113">
        <v>1</v>
      </c>
      <c r="BA96" s="113" t="s">
        <v>633</v>
      </c>
      <c r="BB96" s="32"/>
      <c r="BC96" s="32"/>
      <c r="BD96" s="32"/>
      <c r="BE96" s="32">
        <v>1</v>
      </c>
      <c r="BF96" s="32"/>
      <c r="BG96" s="32">
        <v>1</v>
      </c>
      <c r="BH96" s="32"/>
      <c r="BI96" s="32"/>
      <c r="BJ96" s="32"/>
      <c r="BK96" s="32"/>
      <c r="BL96" s="32"/>
      <c r="BM96" s="32"/>
      <c r="BN96" s="32"/>
      <c r="BO96" s="32"/>
      <c r="BP96" s="32"/>
      <c r="BQ96" s="32" t="s">
        <v>828</v>
      </c>
      <c r="BR96" s="32"/>
      <c r="BS96" s="32"/>
      <c r="BT96" s="32"/>
      <c r="BU96" s="32"/>
      <c r="BV96" s="81" t="s">
        <v>1172</v>
      </c>
      <c r="BW96" s="113"/>
      <c r="BX96" s="113"/>
      <c r="BY96" s="113">
        <v>1</v>
      </c>
      <c r="BZ96" s="113">
        <v>6</v>
      </c>
      <c r="CA96" s="113"/>
      <c r="CB96" s="113"/>
      <c r="CC96" s="113"/>
      <c r="CD96" s="32"/>
      <c r="CE96" s="32"/>
      <c r="CF96" s="32"/>
      <c r="CG96" s="32"/>
      <c r="CH96" s="32"/>
      <c r="CI96" s="32"/>
      <c r="CJ96" s="32"/>
      <c r="CK96" s="32"/>
      <c r="CL96" s="32"/>
      <c r="CM96" s="32"/>
      <c r="CN96" s="32"/>
    </row>
    <row r="97" spans="1:92" ht="21" customHeight="1">
      <c r="A97" s="109">
        <v>95</v>
      </c>
      <c r="B97" s="110" t="s">
        <v>151</v>
      </c>
      <c r="C97" s="111" t="s">
        <v>152</v>
      </c>
      <c r="D97" s="110" t="s">
        <v>766</v>
      </c>
      <c r="E97" s="111" t="s">
        <v>336</v>
      </c>
      <c r="F97" s="111" t="s">
        <v>131</v>
      </c>
      <c r="G97" s="18" t="s">
        <v>89</v>
      </c>
      <c r="H97" s="112" t="s">
        <v>296</v>
      </c>
      <c r="I97" s="13">
        <v>3115</v>
      </c>
      <c r="J97" s="14">
        <v>3155</v>
      </c>
      <c r="K97" s="120">
        <v>368</v>
      </c>
      <c r="L97" s="121">
        <v>76.55</v>
      </c>
      <c r="M97" s="121">
        <v>36.14</v>
      </c>
      <c r="N97" s="121">
        <v>61.1</v>
      </c>
      <c r="O97" s="32">
        <v>5.9329999999999998</v>
      </c>
      <c r="P97" s="41" t="s">
        <v>415</v>
      </c>
      <c r="Q97" s="16">
        <v>40</v>
      </c>
      <c r="R97" s="16">
        <v>18</v>
      </c>
      <c r="S97" s="16">
        <v>24</v>
      </c>
      <c r="T97" s="16">
        <v>36</v>
      </c>
      <c r="U97" s="109"/>
      <c r="V97" s="109"/>
      <c r="W97" s="109">
        <v>118</v>
      </c>
      <c r="X97" s="94"/>
      <c r="Y97" s="94"/>
      <c r="Z97" s="94"/>
      <c r="AA97" s="94"/>
      <c r="AB97" s="94"/>
      <c r="AC97" s="94"/>
      <c r="AD97" s="94"/>
      <c r="AE97" s="94"/>
      <c r="AF97" s="94"/>
      <c r="AG97" s="94"/>
      <c r="AH97" s="94"/>
      <c r="AI97" s="94"/>
      <c r="AJ97" s="94"/>
      <c r="AK97" s="32"/>
      <c r="AL97" s="113"/>
      <c r="AM97" s="95">
        <v>17500</v>
      </c>
      <c r="AN97" s="95">
        <v>6</v>
      </c>
      <c r="AO97" s="96">
        <v>35000</v>
      </c>
      <c r="AP97" s="96">
        <v>4</v>
      </c>
      <c r="AQ97" s="97">
        <v>105000</v>
      </c>
      <c r="AR97" s="134">
        <v>2</v>
      </c>
      <c r="AS97" s="135"/>
      <c r="AT97" s="135"/>
      <c r="AU97" s="113">
        <v>1820000</v>
      </c>
      <c r="AV97" s="113"/>
      <c r="AW97" s="113">
        <v>383</v>
      </c>
      <c r="AX97" s="113"/>
      <c r="AY97" s="113">
        <v>509</v>
      </c>
      <c r="AZ97" s="117"/>
      <c r="BA97" s="113" t="s">
        <v>604</v>
      </c>
      <c r="BB97" s="32"/>
      <c r="BC97" s="32"/>
      <c r="BD97" s="32"/>
      <c r="BE97" s="32"/>
      <c r="BF97" s="32">
        <v>1</v>
      </c>
      <c r="BG97" s="32"/>
      <c r="BH97" s="32"/>
      <c r="BI97" s="32"/>
      <c r="BJ97" s="32"/>
      <c r="BK97" s="32"/>
      <c r="BL97" s="32"/>
      <c r="BM97" s="32"/>
      <c r="BN97" s="32"/>
      <c r="BO97" s="32"/>
      <c r="BP97" s="32"/>
      <c r="BQ97" s="32"/>
      <c r="BR97" s="32"/>
      <c r="BS97" s="32"/>
      <c r="BT97" s="32"/>
      <c r="BU97" s="32"/>
      <c r="BV97" s="81" t="s">
        <v>1173</v>
      </c>
      <c r="BW97" s="113"/>
      <c r="BX97" s="113"/>
      <c r="BY97" s="113"/>
      <c r="BZ97" s="113"/>
      <c r="CA97" s="113"/>
      <c r="CB97" s="113"/>
      <c r="CC97" s="113"/>
      <c r="CD97" s="32"/>
      <c r="CE97" s="32"/>
      <c r="CF97" s="32"/>
      <c r="CG97" s="32"/>
      <c r="CH97" s="32"/>
      <c r="CI97" s="32"/>
      <c r="CJ97" s="32"/>
      <c r="CK97" s="32"/>
      <c r="CL97" s="77"/>
      <c r="CM97" s="32"/>
      <c r="CN97" s="32"/>
    </row>
    <row r="98" spans="1:92" ht="21" customHeight="1">
      <c r="A98" s="109">
        <v>96</v>
      </c>
      <c r="B98" s="110" t="s">
        <v>1441</v>
      </c>
      <c r="C98" s="111" t="s">
        <v>1426</v>
      </c>
      <c r="D98" s="110" t="s">
        <v>1129</v>
      </c>
      <c r="E98" s="111" t="s">
        <v>1427</v>
      </c>
      <c r="F98" s="111" t="s">
        <v>131</v>
      </c>
      <c r="G98" s="18" t="s">
        <v>89</v>
      </c>
      <c r="H98" s="112" t="s">
        <v>1425</v>
      </c>
      <c r="I98" s="13"/>
      <c r="J98" s="14">
        <v>3178</v>
      </c>
      <c r="K98" s="130">
        <v>331</v>
      </c>
      <c r="L98" s="131">
        <v>78.23</v>
      </c>
      <c r="M98" s="131">
        <v>56.43</v>
      </c>
      <c r="N98" s="131">
        <v>60.73</v>
      </c>
      <c r="O98" s="75"/>
      <c r="P98" s="41" t="s">
        <v>415</v>
      </c>
      <c r="Q98" s="37" t="s">
        <v>270</v>
      </c>
      <c r="R98" s="37">
        <v>38</v>
      </c>
      <c r="S98" s="37">
        <v>48</v>
      </c>
      <c r="T98" s="37">
        <v>58</v>
      </c>
      <c r="U98" s="109"/>
      <c r="V98" s="109"/>
      <c r="W98" s="109">
        <v>144</v>
      </c>
      <c r="X98" s="96">
        <v>10000</v>
      </c>
      <c r="Y98" s="96">
        <v>18000</v>
      </c>
      <c r="Z98" s="96">
        <v>25000</v>
      </c>
      <c r="AA98" s="96">
        <v>37000</v>
      </c>
      <c r="AB98" s="96">
        <v>54000</v>
      </c>
      <c r="AC98" s="96">
        <v>75000</v>
      </c>
      <c r="AD98" s="96">
        <v>102000</v>
      </c>
      <c r="AE98" s="96">
        <v>125000</v>
      </c>
      <c r="AF98" s="96">
        <v>140000</v>
      </c>
      <c r="AG98" s="96">
        <v>150000</v>
      </c>
      <c r="AH98" s="96">
        <v>154000</v>
      </c>
      <c r="AI98" s="94"/>
      <c r="AJ98" s="94"/>
      <c r="AK98" s="32"/>
      <c r="AL98" s="113">
        <v>3560000</v>
      </c>
      <c r="AM98" s="95">
        <v>26250</v>
      </c>
      <c r="AN98" s="95">
        <v>6</v>
      </c>
      <c r="AO98" s="96">
        <v>52500</v>
      </c>
      <c r="AP98" s="96">
        <v>4</v>
      </c>
      <c r="AQ98" s="97">
        <v>157500</v>
      </c>
      <c r="AR98" s="134">
        <v>2</v>
      </c>
      <c r="AS98" s="135"/>
      <c r="AT98" s="135"/>
      <c r="AU98" s="113">
        <v>2730000</v>
      </c>
      <c r="AV98" s="113">
        <v>6290000</v>
      </c>
      <c r="AW98" s="113">
        <v>345</v>
      </c>
      <c r="AX98" s="113"/>
      <c r="AY98" s="113">
        <v>445</v>
      </c>
      <c r="AZ98" s="113"/>
      <c r="BA98" s="113" t="s">
        <v>640</v>
      </c>
      <c r="BB98" s="32"/>
      <c r="BC98" s="32"/>
      <c r="BD98" s="32"/>
      <c r="BE98" s="32"/>
      <c r="BF98" s="32"/>
      <c r="BG98" s="32"/>
      <c r="BH98" s="32"/>
      <c r="BI98" s="32"/>
      <c r="BJ98" s="32"/>
      <c r="BK98" s="32"/>
      <c r="BL98" s="32"/>
      <c r="BM98" s="32"/>
      <c r="BN98" s="32"/>
      <c r="BO98" s="32"/>
      <c r="BP98" s="32"/>
      <c r="BQ98" s="32"/>
      <c r="BR98" s="32"/>
      <c r="BS98" s="32"/>
      <c r="BT98" s="32"/>
      <c r="BU98" s="32"/>
      <c r="BV98" s="81" t="s">
        <v>748</v>
      </c>
      <c r="BW98" s="113"/>
      <c r="BX98" s="113"/>
      <c r="BY98" s="113"/>
      <c r="BZ98" s="113"/>
      <c r="CA98" s="113"/>
      <c r="CB98" s="113"/>
      <c r="CC98" s="113"/>
      <c r="CD98" s="32"/>
      <c r="CE98" s="32"/>
      <c r="CF98" s="32"/>
      <c r="CG98" s="32"/>
      <c r="CH98" s="32"/>
      <c r="CI98" s="32"/>
      <c r="CJ98" s="32"/>
      <c r="CK98" s="32"/>
      <c r="CL98" s="32"/>
      <c r="CM98" s="32"/>
      <c r="CN98" s="32"/>
    </row>
    <row r="99" spans="1:92" ht="21" customHeight="1">
      <c r="A99" s="109">
        <v>97</v>
      </c>
      <c r="B99" s="110" t="s">
        <v>279</v>
      </c>
      <c r="C99" s="111" t="s">
        <v>280</v>
      </c>
      <c r="D99" s="110" t="s">
        <v>115</v>
      </c>
      <c r="E99" s="111" t="s">
        <v>337</v>
      </c>
      <c r="F99" s="111" t="s">
        <v>131</v>
      </c>
      <c r="G99" s="18" t="s">
        <v>89</v>
      </c>
      <c r="H99" s="112" t="s">
        <v>740</v>
      </c>
      <c r="I99" s="13">
        <v>3200</v>
      </c>
      <c r="J99" s="14">
        <v>3198</v>
      </c>
      <c r="K99" s="143">
        <v>321</v>
      </c>
      <c r="L99" s="131">
        <v>86.25</v>
      </c>
      <c r="M99" s="131">
        <v>78.97</v>
      </c>
      <c r="N99" s="131">
        <v>67.89</v>
      </c>
      <c r="O99" s="75">
        <v>6.2</v>
      </c>
      <c r="P99" s="41" t="s">
        <v>415</v>
      </c>
      <c r="Q99" s="37" t="s">
        <v>270</v>
      </c>
      <c r="R99" s="37">
        <v>35</v>
      </c>
      <c r="S99" s="37">
        <v>55</v>
      </c>
      <c r="T99" s="37">
        <v>85</v>
      </c>
      <c r="U99" s="109"/>
      <c r="V99" s="109"/>
      <c r="W99" s="109">
        <v>175</v>
      </c>
      <c r="X99" s="94">
        <v>8000</v>
      </c>
      <c r="Y99" s="94">
        <v>12000</v>
      </c>
      <c r="Z99" s="94">
        <v>15000</v>
      </c>
      <c r="AA99" s="94">
        <v>28000</v>
      </c>
      <c r="AB99" s="94">
        <v>44000</v>
      </c>
      <c r="AC99" s="94">
        <v>58000</v>
      </c>
      <c r="AD99" s="94">
        <v>81000</v>
      </c>
      <c r="AE99" s="94">
        <v>99000</v>
      </c>
      <c r="AF99" s="94">
        <v>110000</v>
      </c>
      <c r="AG99" s="94"/>
      <c r="AH99" s="94"/>
      <c r="AI99" s="94"/>
      <c r="AJ99" s="94"/>
      <c r="AK99" s="32"/>
      <c r="AL99" s="113"/>
      <c r="AM99" s="95">
        <v>17500</v>
      </c>
      <c r="AN99" s="95">
        <v>6</v>
      </c>
      <c r="AO99" s="96">
        <v>35000</v>
      </c>
      <c r="AP99" s="96">
        <v>4</v>
      </c>
      <c r="AQ99" s="97">
        <v>105000</v>
      </c>
      <c r="AR99" s="134">
        <v>2</v>
      </c>
      <c r="AS99" s="135"/>
      <c r="AT99" s="135"/>
      <c r="AU99" s="113">
        <v>1820000</v>
      </c>
      <c r="AV99" s="113"/>
      <c r="AW99" s="113">
        <v>335</v>
      </c>
      <c r="AX99" s="113"/>
      <c r="AY99" s="113">
        <v>429</v>
      </c>
      <c r="AZ99" s="113"/>
      <c r="BA99" s="113" t="s">
        <v>640</v>
      </c>
      <c r="BB99" s="32"/>
      <c r="BC99" s="32"/>
      <c r="BD99" s="32"/>
      <c r="BE99" s="32"/>
      <c r="BF99" s="32"/>
      <c r="BG99" s="32"/>
      <c r="BH99" s="32"/>
      <c r="BI99" s="32"/>
      <c r="BJ99" s="32"/>
      <c r="BK99" s="32"/>
      <c r="BL99" s="32"/>
      <c r="BM99" s="32">
        <v>1</v>
      </c>
      <c r="BN99" s="32"/>
      <c r="BO99" s="32">
        <v>1</v>
      </c>
      <c r="BP99" s="32">
        <v>1</v>
      </c>
      <c r="BQ99" s="32"/>
      <c r="BR99" s="32"/>
      <c r="BS99" s="32"/>
      <c r="BT99" s="32"/>
      <c r="BU99" s="32"/>
      <c r="BV99" s="81" t="s">
        <v>752</v>
      </c>
      <c r="BW99" s="113"/>
      <c r="BX99" s="113"/>
      <c r="BY99" s="113">
        <v>1</v>
      </c>
      <c r="BZ99" s="113">
        <v>6</v>
      </c>
      <c r="CA99" s="113"/>
      <c r="CB99" s="113"/>
      <c r="CC99" s="113"/>
      <c r="CD99" s="32"/>
      <c r="CE99" s="32"/>
      <c r="CF99" s="32"/>
      <c r="CG99" s="32"/>
      <c r="CH99" s="32"/>
      <c r="CI99" s="32"/>
      <c r="CJ99" s="32"/>
      <c r="CK99" s="32"/>
      <c r="CL99" s="32"/>
      <c r="CM99" s="32"/>
      <c r="CN99" s="32"/>
    </row>
    <row r="100" spans="1:92" ht="21" customHeight="1">
      <c r="A100" s="109">
        <v>98</v>
      </c>
      <c r="B100" s="110" t="s">
        <v>153</v>
      </c>
      <c r="C100" s="111" t="s">
        <v>594</v>
      </c>
      <c r="D100" s="110" t="s">
        <v>546</v>
      </c>
      <c r="E100" s="111" t="s">
        <v>154</v>
      </c>
      <c r="F100" s="111" t="s">
        <v>131</v>
      </c>
      <c r="G100" s="18" t="s">
        <v>89</v>
      </c>
      <c r="H100" s="112" t="s">
        <v>296</v>
      </c>
      <c r="I100" s="13">
        <v>3199</v>
      </c>
      <c r="J100" s="14">
        <v>3208</v>
      </c>
      <c r="K100" s="120">
        <v>323.8</v>
      </c>
      <c r="L100" s="121">
        <v>84.32</v>
      </c>
      <c r="M100" s="121">
        <v>63.02</v>
      </c>
      <c r="N100" s="121">
        <v>54.67</v>
      </c>
      <c r="O100" s="32">
        <v>5.8490000000000002</v>
      </c>
      <c r="P100" s="41" t="s">
        <v>415</v>
      </c>
      <c r="Q100" s="16">
        <v>40</v>
      </c>
      <c r="R100" s="16">
        <v>18</v>
      </c>
      <c r="S100" s="16">
        <v>24</v>
      </c>
      <c r="T100" s="16">
        <v>36</v>
      </c>
      <c r="U100" s="109"/>
      <c r="V100" s="109"/>
      <c r="W100" s="109">
        <v>118</v>
      </c>
      <c r="X100" s="96">
        <v>10000</v>
      </c>
      <c r="Y100" s="96">
        <v>18000</v>
      </c>
      <c r="Z100" s="96">
        <v>25000</v>
      </c>
      <c r="AA100" s="96">
        <v>37000</v>
      </c>
      <c r="AB100" s="96">
        <v>54000</v>
      </c>
      <c r="AC100" s="96">
        <v>75000</v>
      </c>
      <c r="AD100" s="96">
        <v>102000</v>
      </c>
      <c r="AE100" s="96">
        <v>125000</v>
      </c>
      <c r="AF100" s="96">
        <v>140000</v>
      </c>
      <c r="AG100" s="96">
        <v>150000</v>
      </c>
      <c r="AH100" s="96">
        <v>154000</v>
      </c>
      <c r="AI100" s="94"/>
      <c r="AJ100" s="94"/>
      <c r="AK100" s="32"/>
      <c r="AL100" s="113">
        <v>3560000</v>
      </c>
      <c r="AM100" s="95">
        <v>20000</v>
      </c>
      <c r="AN100" s="95">
        <v>6</v>
      </c>
      <c r="AO100" s="96">
        <v>40000</v>
      </c>
      <c r="AP100" s="96">
        <v>4</v>
      </c>
      <c r="AQ100" s="97">
        <v>120000</v>
      </c>
      <c r="AR100" s="134">
        <v>2</v>
      </c>
      <c r="AS100" s="135"/>
      <c r="AT100" s="135"/>
      <c r="AU100" s="113">
        <v>2080000</v>
      </c>
      <c r="AV100" s="113">
        <v>5640000</v>
      </c>
      <c r="AW100" s="113">
        <v>337</v>
      </c>
      <c r="AX100" s="113"/>
      <c r="AY100" s="113">
        <v>433</v>
      </c>
      <c r="AZ100" s="113">
        <v>11</v>
      </c>
      <c r="BA100" s="113" t="s">
        <v>658</v>
      </c>
      <c r="BB100" s="32"/>
      <c r="BC100" s="32"/>
      <c r="BD100" s="32"/>
      <c r="BE100" s="32"/>
      <c r="BF100" s="32"/>
      <c r="BG100" s="32">
        <v>1</v>
      </c>
      <c r="BH100" s="32"/>
      <c r="BI100" s="32"/>
      <c r="BJ100" s="32"/>
      <c r="BK100" s="32"/>
      <c r="BL100" s="32"/>
      <c r="BM100" s="32"/>
      <c r="BN100" s="32"/>
      <c r="BO100" s="32"/>
      <c r="BP100" s="32"/>
      <c r="BQ100" s="32"/>
      <c r="BR100" s="32"/>
      <c r="BS100" s="32"/>
      <c r="BT100" s="32"/>
      <c r="BU100" s="32">
        <v>1</v>
      </c>
      <c r="BV100" s="81" t="s">
        <v>594</v>
      </c>
      <c r="BW100" s="113"/>
      <c r="BX100" s="113"/>
      <c r="BY100" s="113">
        <v>1</v>
      </c>
      <c r="BZ100" s="113">
        <v>6</v>
      </c>
      <c r="CA100" s="113"/>
      <c r="CB100" s="113"/>
      <c r="CC100" s="113"/>
      <c r="CD100" s="32"/>
      <c r="CE100" s="32"/>
      <c r="CF100" s="32"/>
      <c r="CG100" s="32"/>
      <c r="CH100" s="32"/>
      <c r="CI100" s="32"/>
      <c r="CJ100" s="32"/>
      <c r="CK100" s="32"/>
      <c r="CL100" s="77"/>
      <c r="CM100" s="32"/>
      <c r="CN100" s="32"/>
    </row>
    <row r="101" spans="1:92" ht="21" customHeight="1">
      <c r="A101" s="109">
        <v>99</v>
      </c>
      <c r="B101" s="110" t="s">
        <v>155</v>
      </c>
      <c r="C101" s="111" t="s">
        <v>156</v>
      </c>
      <c r="D101" s="110" t="s">
        <v>767</v>
      </c>
      <c r="E101" s="111" t="s">
        <v>338</v>
      </c>
      <c r="F101" s="111" t="s">
        <v>131</v>
      </c>
      <c r="G101" s="18" t="s">
        <v>89</v>
      </c>
      <c r="H101" s="112" t="s">
        <v>303</v>
      </c>
      <c r="I101" s="13">
        <v>3206</v>
      </c>
      <c r="J101" s="14">
        <v>3209</v>
      </c>
      <c r="K101" s="120">
        <v>335.9</v>
      </c>
      <c r="L101" s="121">
        <v>74.42</v>
      </c>
      <c r="M101" s="121">
        <v>41.44</v>
      </c>
      <c r="N101" s="121">
        <v>72.91</v>
      </c>
      <c r="O101" s="32">
        <v>8.6829999999999998</v>
      </c>
      <c r="P101" s="41" t="s">
        <v>415</v>
      </c>
      <c r="Q101" s="16">
        <v>40</v>
      </c>
      <c r="R101" s="16">
        <v>18</v>
      </c>
      <c r="S101" s="16">
        <v>24</v>
      </c>
      <c r="T101" s="16">
        <v>36</v>
      </c>
      <c r="U101" s="109"/>
      <c r="V101" s="109"/>
      <c r="W101" s="109">
        <v>118</v>
      </c>
      <c r="X101" s="96">
        <v>6000</v>
      </c>
      <c r="Y101" s="96">
        <v>7500</v>
      </c>
      <c r="Z101" s="96">
        <v>12000</v>
      </c>
      <c r="AA101" s="96">
        <v>20000</v>
      </c>
      <c r="AB101" s="96">
        <v>35000</v>
      </c>
      <c r="AC101" s="96">
        <v>45000</v>
      </c>
      <c r="AD101" s="96">
        <v>64000</v>
      </c>
      <c r="AE101" s="96">
        <v>78000</v>
      </c>
      <c r="AF101" s="96">
        <v>86000</v>
      </c>
      <c r="AG101" s="96">
        <v>94000</v>
      </c>
      <c r="AH101" s="96">
        <v>100000</v>
      </c>
      <c r="AI101" s="94"/>
      <c r="AJ101" s="94"/>
      <c r="AK101" s="32"/>
      <c r="AL101" s="113">
        <v>2190000</v>
      </c>
      <c r="AM101" s="95">
        <v>20000</v>
      </c>
      <c r="AN101" s="95">
        <v>6</v>
      </c>
      <c r="AO101" s="96">
        <v>40000</v>
      </c>
      <c r="AP101" s="96">
        <v>4</v>
      </c>
      <c r="AQ101" s="97">
        <v>120000</v>
      </c>
      <c r="AR101" s="134">
        <v>2</v>
      </c>
      <c r="AS101" s="135"/>
      <c r="AT101" s="135"/>
      <c r="AU101" s="113">
        <v>2080000</v>
      </c>
      <c r="AV101" s="113">
        <v>4270000</v>
      </c>
      <c r="AW101" s="113">
        <v>350</v>
      </c>
      <c r="AX101" s="113"/>
      <c r="AY101" s="113">
        <v>454</v>
      </c>
      <c r="AZ101" s="113">
        <v>1</v>
      </c>
      <c r="BA101" s="113" t="s">
        <v>635</v>
      </c>
      <c r="BB101" s="32"/>
      <c r="BC101" s="32"/>
      <c r="BD101" s="32">
        <v>1</v>
      </c>
      <c r="BE101" s="32"/>
      <c r="BF101" s="32"/>
      <c r="BG101" s="32">
        <v>1</v>
      </c>
      <c r="BH101" s="32"/>
      <c r="BI101" s="32"/>
      <c r="BJ101" s="32"/>
      <c r="BK101" s="32"/>
      <c r="BL101" s="32"/>
      <c r="BM101" s="32"/>
      <c r="BN101" s="32"/>
      <c r="BO101" s="32"/>
      <c r="BP101" s="32"/>
      <c r="BQ101" s="32"/>
      <c r="BR101" s="32"/>
      <c r="BS101" s="32"/>
      <c r="BT101" s="32"/>
      <c r="BU101" s="32">
        <v>1</v>
      </c>
      <c r="BV101" s="81" t="s">
        <v>753</v>
      </c>
      <c r="BW101" s="113"/>
      <c r="BX101" s="113"/>
      <c r="BY101" s="113">
        <v>1</v>
      </c>
      <c r="BZ101" s="113">
        <v>6</v>
      </c>
      <c r="CA101" s="113"/>
      <c r="CB101" s="113"/>
      <c r="CC101" s="113"/>
      <c r="CD101" s="32"/>
      <c r="CE101" s="32"/>
      <c r="CF101" s="32"/>
      <c r="CG101" s="32"/>
      <c r="CH101" s="32"/>
      <c r="CI101" s="32"/>
      <c r="CJ101" s="32"/>
      <c r="CK101" s="32"/>
      <c r="CL101" s="77"/>
      <c r="CM101" s="32"/>
      <c r="CN101" s="32"/>
    </row>
    <row r="102" spans="1:92" ht="21" customHeight="1">
      <c r="A102" s="109">
        <v>100</v>
      </c>
      <c r="B102" s="110" t="s">
        <v>157</v>
      </c>
      <c r="C102" s="111" t="s">
        <v>159</v>
      </c>
      <c r="D102" s="110" t="s">
        <v>158</v>
      </c>
      <c r="E102" s="111" t="s">
        <v>339</v>
      </c>
      <c r="F102" s="111" t="s">
        <v>131</v>
      </c>
      <c r="G102" s="18" t="s">
        <v>89</v>
      </c>
      <c r="H102" s="112" t="s">
        <v>296</v>
      </c>
      <c r="I102" s="13">
        <v>3230</v>
      </c>
      <c r="J102" s="14">
        <v>3229</v>
      </c>
      <c r="K102" s="120">
        <v>350.5</v>
      </c>
      <c r="L102" s="121">
        <v>80.41</v>
      </c>
      <c r="M102" s="121">
        <v>48.37</v>
      </c>
      <c r="N102" s="121">
        <v>64.650000000000006</v>
      </c>
      <c r="O102" s="32">
        <v>6.6820000000000004</v>
      </c>
      <c r="P102" s="41" t="s">
        <v>415</v>
      </c>
      <c r="Q102" s="37">
        <v>40</v>
      </c>
      <c r="R102" s="37">
        <v>35</v>
      </c>
      <c r="S102" s="37">
        <v>42</v>
      </c>
      <c r="T102" s="37">
        <v>58</v>
      </c>
      <c r="U102" s="109"/>
      <c r="V102" s="109"/>
      <c r="W102" s="109">
        <v>175</v>
      </c>
      <c r="X102" s="94">
        <v>10000</v>
      </c>
      <c r="Y102" s="94">
        <v>18000</v>
      </c>
      <c r="Z102" s="94">
        <v>25000</v>
      </c>
      <c r="AA102" s="94">
        <v>37000</v>
      </c>
      <c r="AB102" s="94">
        <v>54000</v>
      </c>
      <c r="AC102" s="94">
        <v>75000</v>
      </c>
      <c r="AD102" s="94">
        <v>102000</v>
      </c>
      <c r="AE102" s="94">
        <v>125000</v>
      </c>
      <c r="AF102" s="94">
        <v>140000</v>
      </c>
      <c r="AG102" s="94">
        <v>150000</v>
      </c>
      <c r="AH102" s="94">
        <v>154000</v>
      </c>
      <c r="AI102" s="94"/>
      <c r="AJ102" s="94"/>
      <c r="AK102" s="32"/>
      <c r="AL102" s="113">
        <v>3560000</v>
      </c>
      <c r="AM102" s="95">
        <v>20000</v>
      </c>
      <c r="AN102" s="95">
        <v>6</v>
      </c>
      <c r="AO102" s="96">
        <v>40000</v>
      </c>
      <c r="AP102" s="96">
        <v>4</v>
      </c>
      <c r="AQ102" s="97">
        <v>120000</v>
      </c>
      <c r="AR102" s="134">
        <v>2</v>
      </c>
      <c r="AS102" s="135"/>
      <c r="AT102" s="135"/>
      <c r="AU102" s="113">
        <v>2080000</v>
      </c>
      <c r="AV102" s="113">
        <v>5640000</v>
      </c>
      <c r="AW102" s="113">
        <v>365</v>
      </c>
      <c r="AX102" s="113"/>
      <c r="AY102" s="113">
        <v>479</v>
      </c>
      <c r="AZ102" s="113"/>
      <c r="BA102" s="113" t="s">
        <v>658</v>
      </c>
      <c r="BB102" s="32"/>
      <c r="BC102" s="32"/>
      <c r="BD102" s="32"/>
      <c r="BE102" s="32"/>
      <c r="BF102" s="32"/>
      <c r="BG102" s="32"/>
      <c r="BH102" s="32"/>
      <c r="BI102" s="32"/>
      <c r="BJ102" s="32"/>
      <c r="BK102" s="32"/>
      <c r="BL102" s="32"/>
      <c r="BM102" s="32"/>
      <c r="BN102" s="32"/>
      <c r="BO102" s="32"/>
      <c r="BP102" s="32"/>
      <c r="BQ102" s="32"/>
      <c r="BR102" s="32"/>
      <c r="BS102" s="32" t="s">
        <v>650</v>
      </c>
      <c r="BT102" s="32"/>
      <c r="BU102" s="32">
        <v>1</v>
      </c>
      <c r="BV102" s="81" t="s">
        <v>1174</v>
      </c>
      <c r="BW102" s="113"/>
      <c r="BX102" s="113"/>
      <c r="BY102" s="113">
        <v>1</v>
      </c>
      <c r="BZ102" s="113">
        <v>6</v>
      </c>
      <c r="CA102" s="113"/>
      <c r="CB102" s="113"/>
      <c r="CC102" s="113"/>
      <c r="CD102" s="32"/>
      <c r="CE102" s="32"/>
      <c r="CF102" s="32"/>
      <c r="CG102" s="32"/>
      <c r="CH102" s="32"/>
      <c r="CI102" s="32"/>
      <c r="CJ102" s="32"/>
      <c r="CK102" s="32"/>
      <c r="CL102" s="77"/>
      <c r="CM102" s="32"/>
      <c r="CN102" s="32"/>
    </row>
    <row r="103" spans="1:92" ht="21" customHeight="1">
      <c r="A103" s="109">
        <v>101</v>
      </c>
      <c r="B103" s="110" t="s">
        <v>1175</v>
      </c>
      <c r="C103" s="111" t="s">
        <v>1076</v>
      </c>
      <c r="D103" s="110" t="s">
        <v>141</v>
      </c>
      <c r="E103" s="111" t="s">
        <v>1077</v>
      </c>
      <c r="F103" s="111" t="s">
        <v>131</v>
      </c>
      <c r="G103" s="24" t="s">
        <v>164</v>
      </c>
      <c r="H103" s="112" t="s">
        <v>1071</v>
      </c>
      <c r="I103" s="13">
        <v>3222</v>
      </c>
      <c r="J103" s="14">
        <v>3236</v>
      </c>
      <c r="K103" s="124">
        <v>320.39999999999998</v>
      </c>
      <c r="L103" s="125">
        <v>86.02</v>
      </c>
      <c r="M103" s="125">
        <v>73.3</v>
      </c>
      <c r="N103" s="125">
        <v>57.28</v>
      </c>
      <c r="O103" s="20"/>
      <c r="P103" s="41" t="s">
        <v>415</v>
      </c>
      <c r="Q103" s="17">
        <v>40</v>
      </c>
      <c r="R103" s="16">
        <v>30</v>
      </c>
      <c r="S103" s="16">
        <v>36</v>
      </c>
      <c r="T103" s="16">
        <v>42</v>
      </c>
      <c r="U103" s="16">
        <v>52</v>
      </c>
      <c r="V103" s="109"/>
      <c r="W103" s="109"/>
      <c r="X103" s="105">
        <v>10000</v>
      </c>
      <c r="Y103" s="105">
        <v>18000</v>
      </c>
      <c r="Z103" s="105">
        <v>25000</v>
      </c>
      <c r="AA103" s="105">
        <v>37000</v>
      </c>
      <c r="AB103" s="105">
        <v>54000</v>
      </c>
      <c r="AC103" s="105">
        <v>75000</v>
      </c>
      <c r="AD103" s="105">
        <v>102000</v>
      </c>
      <c r="AE103" s="105">
        <v>125000</v>
      </c>
      <c r="AF103" s="94">
        <v>140000</v>
      </c>
      <c r="AG103" s="94">
        <v>150000</v>
      </c>
      <c r="AH103" s="94">
        <v>154000</v>
      </c>
      <c r="AI103" s="17">
        <v>200000</v>
      </c>
      <c r="AJ103" s="94"/>
      <c r="AK103" s="32"/>
      <c r="AL103" s="113">
        <v>4360000</v>
      </c>
      <c r="AM103" s="95">
        <v>32000</v>
      </c>
      <c r="AN103" s="95">
        <v>8</v>
      </c>
      <c r="AO103" s="96">
        <v>64000</v>
      </c>
      <c r="AP103" s="96">
        <v>5</v>
      </c>
      <c r="AQ103" s="97">
        <v>192000</v>
      </c>
      <c r="AR103" s="134">
        <v>2</v>
      </c>
      <c r="AS103" s="135"/>
      <c r="AT103" s="135"/>
      <c r="AU103" s="113">
        <v>3840000</v>
      </c>
      <c r="AV103" s="113">
        <v>8200000</v>
      </c>
      <c r="AW103" s="113"/>
      <c r="AX103" s="113"/>
      <c r="AY103" s="113"/>
      <c r="AZ103" s="113"/>
      <c r="BA103" s="113" t="s">
        <v>605</v>
      </c>
      <c r="BB103" s="32"/>
      <c r="BC103" s="32"/>
      <c r="BD103" s="32"/>
      <c r="BE103" s="32"/>
      <c r="BF103" s="32"/>
      <c r="BG103" s="32"/>
      <c r="BH103" s="32">
        <v>1</v>
      </c>
      <c r="BI103" s="32"/>
      <c r="BJ103" s="32"/>
      <c r="BK103" s="32"/>
      <c r="BL103" s="32"/>
      <c r="BM103" s="32"/>
      <c r="BN103" s="32"/>
      <c r="BO103" s="32"/>
      <c r="BP103" s="32"/>
      <c r="BQ103" s="32"/>
      <c r="BR103" s="32"/>
      <c r="BS103" s="32"/>
      <c r="BT103" s="32"/>
      <c r="BU103" s="32"/>
      <c r="BV103" s="81" t="s">
        <v>1078</v>
      </c>
      <c r="BW103" s="113"/>
      <c r="BX103" s="113"/>
      <c r="BY103" s="113"/>
      <c r="BZ103" s="113"/>
      <c r="CA103" s="113"/>
      <c r="CB103" s="113"/>
      <c r="CC103" s="113"/>
      <c r="CD103" s="32"/>
      <c r="CE103" s="32"/>
      <c r="CF103" s="32"/>
      <c r="CG103" s="32"/>
      <c r="CH103" s="32"/>
      <c r="CI103" s="32"/>
      <c r="CJ103" s="32"/>
      <c r="CK103" s="32"/>
      <c r="CL103" s="77"/>
      <c r="CM103" s="32"/>
      <c r="CN103" s="32"/>
    </row>
    <row r="104" spans="1:92" ht="21" customHeight="1">
      <c r="A104" s="109">
        <v>102</v>
      </c>
      <c r="B104" s="110" t="s">
        <v>1176</v>
      </c>
      <c r="C104" s="111" t="s">
        <v>1079</v>
      </c>
      <c r="D104" s="110" t="s">
        <v>141</v>
      </c>
      <c r="E104" s="111" t="s">
        <v>626</v>
      </c>
      <c r="F104" s="111" t="s">
        <v>131</v>
      </c>
      <c r="G104" s="24" t="s">
        <v>164</v>
      </c>
      <c r="H104" s="112" t="s">
        <v>670</v>
      </c>
      <c r="I104" s="13">
        <v>3000</v>
      </c>
      <c r="J104" s="14">
        <v>3256</v>
      </c>
      <c r="K104" s="124">
        <v>311.60000000000002</v>
      </c>
      <c r="L104" s="125">
        <v>82.63</v>
      </c>
      <c r="M104" s="125">
        <v>63.62</v>
      </c>
      <c r="N104" s="125">
        <v>54.57</v>
      </c>
      <c r="O104" s="20"/>
      <c r="P104" s="41" t="s">
        <v>415</v>
      </c>
      <c r="Q104" s="22" t="s">
        <v>270</v>
      </c>
      <c r="R104" s="37">
        <v>30</v>
      </c>
      <c r="S104" s="37">
        <v>40</v>
      </c>
      <c r="T104" s="37">
        <v>50</v>
      </c>
      <c r="U104" s="37">
        <v>60</v>
      </c>
      <c r="V104" s="109"/>
      <c r="W104" s="109">
        <v>180</v>
      </c>
      <c r="X104" s="108">
        <v>4000</v>
      </c>
      <c r="Y104" s="108">
        <v>6500</v>
      </c>
      <c r="Z104" s="108">
        <v>10400</v>
      </c>
      <c r="AA104" s="108">
        <v>15600</v>
      </c>
      <c r="AB104" s="108">
        <v>22500</v>
      </c>
      <c r="AC104" s="16">
        <v>33500</v>
      </c>
      <c r="AD104" s="16">
        <v>49500</v>
      </c>
      <c r="AE104" s="16">
        <v>73000</v>
      </c>
      <c r="AF104" s="16">
        <v>108000</v>
      </c>
      <c r="AG104" s="16">
        <v>156000</v>
      </c>
      <c r="AH104" s="16">
        <v>199000</v>
      </c>
      <c r="AI104" s="17">
        <v>229000</v>
      </c>
      <c r="AJ104" s="94"/>
      <c r="AK104" s="32"/>
      <c r="AL104" s="113">
        <v>3628000</v>
      </c>
      <c r="AM104" s="95">
        <v>20000</v>
      </c>
      <c r="AN104" s="95">
        <v>8</v>
      </c>
      <c r="AO104" s="96">
        <v>40000</v>
      </c>
      <c r="AP104" s="96">
        <v>5</v>
      </c>
      <c r="AQ104" s="97">
        <v>120000</v>
      </c>
      <c r="AR104" s="134">
        <v>2</v>
      </c>
      <c r="AS104" s="135"/>
      <c r="AT104" s="135"/>
      <c r="AU104" s="113">
        <v>2400000</v>
      </c>
      <c r="AV104" s="113">
        <v>6028000</v>
      </c>
      <c r="AW104" s="113">
        <v>325</v>
      </c>
      <c r="AX104" s="113"/>
      <c r="AY104" s="113">
        <v>414</v>
      </c>
      <c r="AZ104" s="113"/>
      <c r="BA104" s="113" t="s">
        <v>640</v>
      </c>
      <c r="BB104" s="32"/>
      <c r="BC104" s="32"/>
      <c r="BD104" s="32"/>
      <c r="BE104" s="32"/>
      <c r="BF104" s="32"/>
      <c r="BG104" s="32">
        <v>1</v>
      </c>
      <c r="BH104" s="32"/>
      <c r="BI104" s="32"/>
      <c r="BJ104" s="32"/>
      <c r="BK104" s="32"/>
      <c r="BL104" s="32"/>
      <c r="BM104" s="32">
        <v>1</v>
      </c>
      <c r="BN104" s="32"/>
      <c r="BO104" s="32">
        <v>1</v>
      </c>
      <c r="BP104" s="32">
        <v>1</v>
      </c>
      <c r="BQ104" s="32"/>
      <c r="BR104" s="32"/>
      <c r="BS104" s="32"/>
      <c r="BT104" s="32"/>
      <c r="BU104" s="32">
        <v>1</v>
      </c>
      <c r="BV104" s="81" t="s">
        <v>1177</v>
      </c>
      <c r="BW104" s="113"/>
      <c r="BX104" s="113"/>
      <c r="BY104" s="113">
        <v>1</v>
      </c>
      <c r="BZ104" s="113">
        <v>7</v>
      </c>
      <c r="CA104" s="113"/>
      <c r="CB104" s="113"/>
      <c r="CC104" s="113"/>
      <c r="CD104" s="32"/>
      <c r="CE104" s="32"/>
      <c r="CF104" s="32"/>
      <c r="CG104" s="32"/>
      <c r="CH104" s="32"/>
      <c r="CI104" s="32"/>
      <c r="CJ104" s="32"/>
      <c r="CK104" s="32"/>
      <c r="CL104" s="32"/>
      <c r="CM104" s="32"/>
      <c r="CN104" s="32"/>
    </row>
    <row r="105" spans="1:92" ht="21" customHeight="1">
      <c r="A105" s="109">
        <v>103</v>
      </c>
      <c r="B105" s="110" t="s">
        <v>1178</v>
      </c>
      <c r="C105" s="111" t="s">
        <v>1052</v>
      </c>
      <c r="D105" s="110" t="s">
        <v>182</v>
      </c>
      <c r="E105" s="111" t="s">
        <v>1064</v>
      </c>
      <c r="F105" s="111" t="s">
        <v>131</v>
      </c>
      <c r="G105" s="24" t="s">
        <v>164</v>
      </c>
      <c r="H105" s="112" t="s">
        <v>1049</v>
      </c>
      <c r="I105" s="13"/>
      <c r="J105" s="14">
        <v>3280</v>
      </c>
      <c r="K105" s="120">
        <v>337.8</v>
      </c>
      <c r="L105" s="121">
        <v>81.14</v>
      </c>
      <c r="M105" s="121">
        <v>68.52</v>
      </c>
      <c r="N105" s="121">
        <v>47.54</v>
      </c>
      <c r="O105" s="15"/>
      <c r="P105" s="42" t="s">
        <v>420</v>
      </c>
      <c r="Q105" s="17">
        <v>40</v>
      </c>
      <c r="R105" s="16">
        <v>30</v>
      </c>
      <c r="S105" s="16">
        <v>36</v>
      </c>
      <c r="T105" s="16">
        <v>42</v>
      </c>
      <c r="U105" s="16">
        <v>52</v>
      </c>
      <c r="V105" s="109"/>
      <c r="W105" s="109">
        <v>200</v>
      </c>
      <c r="X105" s="103">
        <v>16000</v>
      </c>
      <c r="Y105" s="103">
        <v>25000</v>
      </c>
      <c r="Z105" s="103">
        <v>35000</v>
      </c>
      <c r="AA105" s="103">
        <v>50000</v>
      </c>
      <c r="AB105" s="103">
        <v>84000</v>
      </c>
      <c r="AC105" s="103">
        <v>117000</v>
      </c>
      <c r="AD105" s="103">
        <v>166000</v>
      </c>
      <c r="AE105" s="103">
        <v>225000</v>
      </c>
      <c r="AF105" s="103">
        <v>263000</v>
      </c>
      <c r="AG105" s="103">
        <v>293000</v>
      </c>
      <c r="AH105" s="103">
        <v>302000</v>
      </c>
      <c r="AI105" s="100">
        <v>312000</v>
      </c>
      <c r="AJ105" s="94"/>
      <c r="AK105" s="32"/>
      <c r="AL105" s="113">
        <v>7552000</v>
      </c>
      <c r="AM105" s="95">
        <v>40000</v>
      </c>
      <c r="AN105" s="95">
        <v>8</v>
      </c>
      <c r="AO105" s="96">
        <v>80000</v>
      </c>
      <c r="AP105" s="96">
        <v>5</v>
      </c>
      <c r="AQ105" s="97">
        <v>240000</v>
      </c>
      <c r="AR105" s="134">
        <v>2</v>
      </c>
      <c r="AS105" s="135"/>
      <c r="AT105" s="135"/>
      <c r="AU105" s="113">
        <v>4800000</v>
      </c>
      <c r="AV105" s="113">
        <v>12352000</v>
      </c>
      <c r="AW105" s="113">
        <v>351</v>
      </c>
      <c r="AX105" s="113"/>
      <c r="AY105" s="113">
        <v>457</v>
      </c>
      <c r="AZ105" s="113"/>
      <c r="BA105" s="113" t="s">
        <v>605</v>
      </c>
      <c r="BB105" s="32"/>
      <c r="BC105" s="32"/>
      <c r="BD105" s="32"/>
      <c r="BE105" s="32"/>
      <c r="BF105" s="32"/>
      <c r="BG105" s="32"/>
      <c r="BH105" s="32">
        <v>1</v>
      </c>
      <c r="BI105" s="32"/>
      <c r="BJ105" s="32"/>
      <c r="BK105" s="32"/>
      <c r="BL105" s="32"/>
      <c r="BM105" s="32"/>
      <c r="BN105" s="32"/>
      <c r="BO105" s="32"/>
      <c r="BP105" s="32"/>
      <c r="BQ105" s="32"/>
      <c r="BR105" s="32"/>
      <c r="BS105" s="32"/>
      <c r="BT105" s="32"/>
      <c r="BU105" s="32"/>
      <c r="BV105" s="81" t="s">
        <v>755</v>
      </c>
      <c r="BW105" s="113"/>
      <c r="BX105" s="113"/>
      <c r="BY105" s="113">
        <v>1</v>
      </c>
      <c r="BZ105" s="113">
        <v>7</v>
      </c>
      <c r="CA105" s="113"/>
      <c r="CB105" s="113"/>
      <c r="CC105" s="113"/>
      <c r="CD105" s="32"/>
      <c r="CE105" s="32"/>
      <c r="CF105" s="32"/>
      <c r="CG105" s="32"/>
      <c r="CH105" s="32"/>
      <c r="CI105" s="32"/>
      <c r="CJ105" s="32"/>
      <c r="CK105" s="32"/>
      <c r="CL105" s="32"/>
      <c r="CM105" s="32"/>
      <c r="CN105" s="32"/>
    </row>
    <row r="106" spans="1:92" ht="21" customHeight="1">
      <c r="A106" s="109">
        <v>104</v>
      </c>
      <c r="B106" s="110" t="s">
        <v>162</v>
      </c>
      <c r="C106" s="111" t="s">
        <v>163</v>
      </c>
      <c r="D106" s="110" t="s">
        <v>768</v>
      </c>
      <c r="E106" s="111" t="s">
        <v>340</v>
      </c>
      <c r="F106" s="111" t="s">
        <v>131</v>
      </c>
      <c r="G106" s="24" t="s">
        <v>164</v>
      </c>
      <c r="H106" s="112" t="s">
        <v>304</v>
      </c>
      <c r="I106" s="13">
        <v>3425</v>
      </c>
      <c r="J106" s="14">
        <v>3290</v>
      </c>
      <c r="K106" s="120">
        <v>350.1</v>
      </c>
      <c r="L106" s="121">
        <v>74.12</v>
      </c>
      <c r="M106" s="121">
        <v>62.87</v>
      </c>
      <c r="N106" s="121">
        <v>46.83</v>
      </c>
      <c r="O106" s="32">
        <v>5.0670000000000002</v>
      </c>
      <c r="P106" s="41" t="s">
        <v>415</v>
      </c>
      <c r="Q106" s="16">
        <v>40</v>
      </c>
      <c r="R106" s="16">
        <v>12</v>
      </c>
      <c r="S106" s="16">
        <v>15</v>
      </c>
      <c r="T106" s="16">
        <v>21</v>
      </c>
      <c r="U106" s="16">
        <v>32</v>
      </c>
      <c r="V106" s="109"/>
      <c r="W106" s="109">
        <v>120</v>
      </c>
      <c r="X106" s="96">
        <v>4000</v>
      </c>
      <c r="Y106" s="96">
        <v>6500</v>
      </c>
      <c r="Z106" s="96">
        <v>10400</v>
      </c>
      <c r="AA106" s="96">
        <v>15600</v>
      </c>
      <c r="AB106" s="96">
        <v>22500</v>
      </c>
      <c r="AC106" s="96">
        <v>33500</v>
      </c>
      <c r="AD106" s="96">
        <v>49500</v>
      </c>
      <c r="AE106" s="96">
        <v>73000</v>
      </c>
      <c r="AF106" s="96">
        <v>108000</v>
      </c>
      <c r="AG106" s="96">
        <v>156000</v>
      </c>
      <c r="AH106" s="96">
        <v>199000</v>
      </c>
      <c r="AI106" s="96">
        <v>229000</v>
      </c>
      <c r="AJ106" s="94"/>
      <c r="AK106" s="32"/>
      <c r="AL106" s="113">
        <v>3628000</v>
      </c>
      <c r="AM106" s="95">
        <v>20000</v>
      </c>
      <c r="AN106" s="95">
        <v>8</v>
      </c>
      <c r="AO106" s="96">
        <v>40000</v>
      </c>
      <c r="AP106" s="96">
        <v>5</v>
      </c>
      <c r="AQ106" s="97">
        <v>120000</v>
      </c>
      <c r="AR106" s="134">
        <v>2</v>
      </c>
      <c r="AS106" s="135"/>
      <c r="AT106" s="135"/>
      <c r="AU106" s="113">
        <v>2400000</v>
      </c>
      <c r="AV106" s="113">
        <v>6028000</v>
      </c>
      <c r="AW106" s="113">
        <v>364</v>
      </c>
      <c r="AX106" s="113"/>
      <c r="AY106" s="113">
        <v>478</v>
      </c>
      <c r="AZ106" s="113">
        <v>8</v>
      </c>
      <c r="BA106" s="113" t="s">
        <v>635</v>
      </c>
      <c r="BB106" s="32"/>
      <c r="BC106" s="32"/>
      <c r="BD106" s="32">
        <v>1</v>
      </c>
      <c r="BE106" s="32"/>
      <c r="BF106" s="32"/>
      <c r="BG106" s="32">
        <v>1</v>
      </c>
      <c r="BH106" s="32"/>
      <c r="BI106" s="32"/>
      <c r="BJ106" s="32"/>
      <c r="BK106" s="32"/>
      <c r="BL106" s="32"/>
      <c r="BM106" s="32"/>
      <c r="BN106" s="32"/>
      <c r="BO106" s="32"/>
      <c r="BP106" s="32"/>
      <c r="BQ106" s="32"/>
      <c r="BR106" s="32"/>
      <c r="BS106" s="32"/>
      <c r="BT106" s="32"/>
      <c r="BU106" s="32">
        <v>1</v>
      </c>
      <c r="BV106" s="81" t="s">
        <v>163</v>
      </c>
      <c r="BW106" s="113"/>
      <c r="BX106" s="113"/>
      <c r="BY106" s="113"/>
      <c r="BZ106" s="113"/>
      <c r="CA106" s="113"/>
      <c r="CB106" s="113"/>
      <c r="CC106" s="113"/>
      <c r="CD106" s="32"/>
      <c r="CE106" s="32"/>
      <c r="CF106" s="32"/>
      <c r="CG106" s="32"/>
      <c r="CH106" s="32"/>
      <c r="CI106" s="32"/>
      <c r="CJ106" s="32"/>
      <c r="CK106" s="32"/>
      <c r="CL106" s="32"/>
      <c r="CM106" s="32"/>
      <c r="CN106" s="32"/>
    </row>
    <row r="107" spans="1:92" ht="21" customHeight="1">
      <c r="A107" s="109">
        <v>105</v>
      </c>
      <c r="B107" s="110" t="s">
        <v>160</v>
      </c>
      <c r="C107" s="111" t="s">
        <v>161</v>
      </c>
      <c r="D107" s="110" t="s">
        <v>609</v>
      </c>
      <c r="E107" s="111" t="s">
        <v>341</v>
      </c>
      <c r="F107" s="111" t="s">
        <v>131</v>
      </c>
      <c r="G107" s="18" t="s">
        <v>89</v>
      </c>
      <c r="H107" s="112" t="s">
        <v>301</v>
      </c>
      <c r="I107" s="13">
        <v>3245</v>
      </c>
      <c r="J107" s="14">
        <v>3295</v>
      </c>
      <c r="K107" s="126">
        <v>340.9</v>
      </c>
      <c r="L107" s="127">
        <v>79.25</v>
      </c>
      <c r="M107" s="127">
        <v>58.34</v>
      </c>
      <c r="N107" s="127">
        <v>54.1</v>
      </c>
      <c r="O107" s="17">
        <v>5.54</v>
      </c>
      <c r="P107" s="41" t="s">
        <v>415</v>
      </c>
      <c r="Q107" s="16">
        <v>40</v>
      </c>
      <c r="R107" s="16">
        <v>18</v>
      </c>
      <c r="S107" s="16">
        <v>24</v>
      </c>
      <c r="T107" s="16">
        <v>36</v>
      </c>
      <c r="U107" s="109"/>
      <c r="V107" s="109"/>
      <c r="W107" s="109">
        <v>118</v>
      </c>
      <c r="X107" s="94">
        <v>6000</v>
      </c>
      <c r="Y107" s="94">
        <v>7500</v>
      </c>
      <c r="Z107" s="94">
        <v>12000</v>
      </c>
      <c r="AA107" s="94">
        <v>20000</v>
      </c>
      <c r="AB107" s="94">
        <v>35000</v>
      </c>
      <c r="AC107" s="94">
        <v>45000</v>
      </c>
      <c r="AD107" s="94">
        <v>64000</v>
      </c>
      <c r="AE107" s="94">
        <v>78000</v>
      </c>
      <c r="AF107" s="94">
        <v>86000</v>
      </c>
      <c r="AG107" s="94">
        <v>94000</v>
      </c>
      <c r="AH107" s="94">
        <v>100000</v>
      </c>
      <c r="AI107" s="94"/>
      <c r="AJ107" s="94"/>
      <c r="AK107" s="32"/>
      <c r="AL107" s="113">
        <v>2190000</v>
      </c>
      <c r="AM107" s="95">
        <v>20000</v>
      </c>
      <c r="AN107" s="95">
        <v>6</v>
      </c>
      <c r="AO107" s="96">
        <v>40000</v>
      </c>
      <c r="AP107" s="96">
        <v>4</v>
      </c>
      <c r="AQ107" s="97">
        <v>120000</v>
      </c>
      <c r="AR107" s="134">
        <v>2</v>
      </c>
      <c r="AS107" s="135"/>
      <c r="AT107" s="135"/>
      <c r="AU107" s="113">
        <v>2080000</v>
      </c>
      <c r="AV107" s="113">
        <v>4270000</v>
      </c>
      <c r="AW107" s="113">
        <v>355</v>
      </c>
      <c r="AX107" s="113"/>
      <c r="AY107" s="113">
        <v>462</v>
      </c>
      <c r="AZ107" s="113">
        <v>10</v>
      </c>
      <c r="BA107" s="113" t="s">
        <v>635</v>
      </c>
      <c r="BB107" s="32"/>
      <c r="BC107" s="32"/>
      <c r="BD107" s="32">
        <v>1</v>
      </c>
      <c r="BE107" s="32"/>
      <c r="BF107" s="32"/>
      <c r="BG107" s="32">
        <v>1</v>
      </c>
      <c r="BH107" s="32"/>
      <c r="BI107" s="32"/>
      <c r="BJ107" s="32"/>
      <c r="BK107" s="32"/>
      <c r="BL107" s="32"/>
      <c r="BM107" s="32"/>
      <c r="BN107" s="32"/>
      <c r="BO107" s="32"/>
      <c r="BP107" s="32"/>
      <c r="BQ107" s="32"/>
      <c r="BR107" s="32"/>
      <c r="BS107" s="32"/>
      <c r="BT107" s="32"/>
      <c r="BU107" s="32">
        <v>1</v>
      </c>
      <c r="BV107" s="81" t="s">
        <v>1179</v>
      </c>
      <c r="BW107" s="113"/>
      <c r="BX107" s="113"/>
      <c r="BY107" s="113"/>
      <c r="BZ107" s="113"/>
      <c r="CA107" s="113"/>
      <c r="CB107" s="113"/>
      <c r="CC107" s="113"/>
      <c r="CD107" s="32"/>
      <c r="CE107" s="32"/>
      <c r="CF107" s="32"/>
      <c r="CG107" s="32"/>
      <c r="CH107" s="32"/>
      <c r="CI107" s="32"/>
      <c r="CJ107" s="32"/>
      <c r="CK107" s="32"/>
      <c r="CL107" s="32"/>
      <c r="CM107" s="32"/>
      <c r="CN107" s="32"/>
    </row>
    <row r="108" spans="1:92" ht="21" customHeight="1">
      <c r="A108" s="109">
        <v>106</v>
      </c>
      <c r="B108" s="110" t="s">
        <v>165</v>
      </c>
      <c r="C108" s="111" t="s">
        <v>1442</v>
      </c>
      <c r="D108" s="110" t="s">
        <v>77</v>
      </c>
      <c r="E108" s="111" t="s">
        <v>342</v>
      </c>
      <c r="F108" s="111" t="s">
        <v>131</v>
      </c>
      <c r="G108" s="18" t="s">
        <v>89</v>
      </c>
      <c r="H108" s="112" t="s">
        <v>305</v>
      </c>
      <c r="I108" s="13">
        <v>3306</v>
      </c>
      <c r="J108" s="14">
        <v>3295</v>
      </c>
      <c r="K108" s="120">
        <v>353.4</v>
      </c>
      <c r="L108" s="121">
        <v>80.33</v>
      </c>
      <c r="M108" s="121">
        <v>45.29</v>
      </c>
      <c r="N108" s="121">
        <v>67.55</v>
      </c>
      <c r="O108" s="32">
        <v>7.0659999999999998</v>
      </c>
      <c r="P108" s="41" t="s">
        <v>415</v>
      </c>
      <c r="Q108" s="16">
        <v>40</v>
      </c>
      <c r="R108" s="16">
        <v>18</v>
      </c>
      <c r="S108" s="16">
        <v>24</v>
      </c>
      <c r="T108" s="16">
        <v>36</v>
      </c>
      <c r="U108" s="109"/>
      <c r="V108" s="109"/>
      <c r="W108" s="109">
        <v>118</v>
      </c>
      <c r="X108" s="94">
        <v>10000</v>
      </c>
      <c r="Y108" s="94">
        <v>18000</v>
      </c>
      <c r="Z108" s="94">
        <v>25000</v>
      </c>
      <c r="AA108" s="94">
        <v>37000</v>
      </c>
      <c r="AB108" s="105">
        <v>54000</v>
      </c>
      <c r="AC108" s="94">
        <v>75000</v>
      </c>
      <c r="AD108" s="94">
        <v>102000</v>
      </c>
      <c r="AE108" s="105">
        <v>125000</v>
      </c>
      <c r="AF108" s="94">
        <v>140000</v>
      </c>
      <c r="AG108" s="94">
        <v>150000</v>
      </c>
      <c r="AH108" s="94">
        <v>154000</v>
      </c>
      <c r="AI108" s="94"/>
      <c r="AJ108" s="94"/>
      <c r="AK108" s="32"/>
      <c r="AL108" s="113">
        <v>3560000</v>
      </c>
      <c r="AM108" s="95">
        <v>20000</v>
      </c>
      <c r="AN108" s="95">
        <v>6</v>
      </c>
      <c r="AO108" s="96">
        <v>40000</v>
      </c>
      <c r="AP108" s="96">
        <v>4</v>
      </c>
      <c r="AQ108" s="97">
        <v>120000</v>
      </c>
      <c r="AR108" s="134">
        <v>2</v>
      </c>
      <c r="AS108" s="135"/>
      <c r="AT108" s="135"/>
      <c r="AU108" s="113">
        <v>2080000</v>
      </c>
      <c r="AV108" s="113">
        <v>5640000</v>
      </c>
      <c r="AW108" s="113">
        <v>368</v>
      </c>
      <c r="AX108" s="113"/>
      <c r="AY108" s="113">
        <v>484</v>
      </c>
      <c r="AZ108" s="113"/>
      <c r="BA108" s="113" t="s">
        <v>635</v>
      </c>
      <c r="BB108" s="32"/>
      <c r="BC108" s="32"/>
      <c r="BD108" s="32"/>
      <c r="BE108" s="32"/>
      <c r="BF108" s="32"/>
      <c r="BG108" s="32">
        <v>1</v>
      </c>
      <c r="BH108" s="32"/>
      <c r="BI108" s="32"/>
      <c r="BJ108" s="32"/>
      <c r="BK108" s="32"/>
      <c r="BL108" s="32"/>
      <c r="BM108" s="32"/>
      <c r="BN108" s="32"/>
      <c r="BO108" s="32"/>
      <c r="BP108" s="32"/>
      <c r="BQ108" s="32"/>
      <c r="BR108" s="32"/>
      <c r="BS108" s="32"/>
      <c r="BT108" s="32"/>
      <c r="BU108" s="32">
        <v>1</v>
      </c>
      <c r="BV108" s="81" t="s">
        <v>1180</v>
      </c>
      <c r="BW108" s="113"/>
      <c r="BX108" s="113"/>
      <c r="BY108" s="113"/>
      <c r="BZ108" s="113"/>
      <c r="CA108" s="113"/>
      <c r="CB108" s="113"/>
      <c r="CC108" s="113"/>
      <c r="CD108" s="32"/>
      <c r="CE108" s="73"/>
      <c r="CF108" s="73"/>
      <c r="CG108" s="73"/>
      <c r="CH108" s="73"/>
      <c r="CI108" s="73"/>
      <c r="CJ108" s="73"/>
      <c r="CK108" s="73"/>
      <c r="CL108" s="32"/>
      <c r="CM108" s="32"/>
      <c r="CN108" s="32"/>
    </row>
    <row r="109" spans="1:92" ht="21" customHeight="1">
      <c r="A109" s="109">
        <v>107</v>
      </c>
      <c r="B109" s="110" t="s">
        <v>1181</v>
      </c>
      <c r="C109" s="111" t="s">
        <v>893</v>
      </c>
      <c r="D109" s="110" t="s">
        <v>275</v>
      </c>
      <c r="E109" s="111" t="s">
        <v>892</v>
      </c>
      <c r="F109" s="111" t="s">
        <v>131</v>
      </c>
      <c r="G109" s="18" t="s">
        <v>89</v>
      </c>
      <c r="H109" s="112" t="s">
        <v>926</v>
      </c>
      <c r="I109" s="13">
        <v>3342</v>
      </c>
      <c r="J109" s="38">
        <v>3330</v>
      </c>
      <c r="K109" s="130">
        <v>348.1</v>
      </c>
      <c r="L109" s="131">
        <v>76.45</v>
      </c>
      <c r="M109" s="131">
        <v>74.06</v>
      </c>
      <c r="N109" s="131">
        <v>59.19</v>
      </c>
      <c r="O109" s="39"/>
      <c r="P109" s="41" t="s">
        <v>415</v>
      </c>
      <c r="Q109" s="37">
        <v>40</v>
      </c>
      <c r="R109" s="37">
        <v>35</v>
      </c>
      <c r="S109" s="37">
        <v>42</v>
      </c>
      <c r="T109" s="37">
        <v>58</v>
      </c>
      <c r="U109" s="37"/>
      <c r="V109" s="37"/>
      <c r="W109" s="109">
        <v>175</v>
      </c>
      <c r="X109" s="94"/>
      <c r="Y109" s="94"/>
      <c r="Z109" s="98"/>
      <c r="AA109" s="98"/>
      <c r="AB109" s="98"/>
      <c r="AC109" s="94"/>
      <c r="AD109" s="94"/>
      <c r="AE109" s="94"/>
      <c r="AF109" s="94"/>
      <c r="AG109" s="94"/>
      <c r="AH109" s="94"/>
      <c r="AI109" s="94"/>
      <c r="AJ109" s="94"/>
      <c r="AK109" s="32"/>
      <c r="AL109" s="113"/>
      <c r="AM109" s="95">
        <v>20000</v>
      </c>
      <c r="AN109" s="95">
        <v>6</v>
      </c>
      <c r="AO109" s="96">
        <v>40000</v>
      </c>
      <c r="AP109" s="96">
        <v>4</v>
      </c>
      <c r="AQ109" s="97">
        <v>120000</v>
      </c>
      <c r="AR109" s="134">
        <v>2</v>
      </c>
      <c r="AS109" s="135"/>
      <c r="AT109" s="135"/>
      <c r="AU109" s="113">
        <v>2080000</v>
      </c>
      <c r="AV109" s="113"/>
      <c r="AW109" s="113">
        <v>362</v>
      </c>
      <c r="AX109" s="113"/>
      <c r="AY109" s="113">
        <v>475</v>
      </c>
      <c r="AZ109" s="113"/>
      <c r="BA109" s="82" t="s">
        <v>605</v>
      </c>
      <c r="BB109" s="32"/>
      <c r="BC109" s="32"/>
      <c r="BD109" s="32"/>
      <c r="BE109" s="32">
        <v>1</v>
      </c>
      <c r="BF109" s="32"/>
      <c r="BG109" s="32"/>
      <c r="BH109" s="32">
        <v>1</v>
      </c>
      <c r="BI109" s="32"/>
      <c r="BJ109" s="32"/>
      <c r="BK109" s="32"/>
      <c r="BL109" s="32"/>
      <c r="BM109" s="32"/>
      <c r="BN109" s="32"/>
      <c r="BO109" s="32"/>
      <c r="BP109" s="32">
        <v>1</v>
      </c>
      <c r="BQ109" s="32"/>
      <c r="BR109" s="32"/>
      <c r="BS109" s="32"/>
      <c r="BT109" s="32"/>
      <c r="BU109" s="32">
        <v>1</v>
      </c>
      <c r="BV109" s="113" t="s">
        <v>1182</v>
      </c>
      <c r="BW109" s="113"/>
      <c r="BX109" s="113"/>
      <c r="BY109" s="113"/>
      <c r="BZ109" s="113"/>
      <c r="CA109" s="113"/>
      <c r="CB109" s="113"/>
      <c r="CC109" s="113"/>
      <c r="CD109" s="32"/>
      <c r="CE109" s="73"/>
      <c r="CF109" s="73"/>
      <c r="CG109" s="73"/>
      <c r="CH109" s="73"/>
      <c r="CI109" s="73"/>
      <c r="CJ109" s="73"/>
      <c r="CK109" s="73"/>
      <c r="CL109" s="32"/>
      <c r="CM109" s="32"/>
      <c r="CN109" s="32"/>
    </row>
    <row r="110" spans="1:92" ht="21" customHeight="1">
      <c r="A110" s="109">
        <v>108</v>
      </c>
      <c r="B110" s="110" t="s">
        <v>167</v>
      </c>
      <c r="C110" s="111" t="s">
        <v>168</v>
      </c>
      <c r="D110" s="110" t="s">
        <v>158</v>
      </c>
      <c r="E110" s="111" t="s">
        <v>168</v>
      </c>
      <c r="F110" s="111" t="s">
        <v>131</v>
      </c>
      <c r="G110" s="18" t="s">
        <v>89</v>
      </c>
      <c r="H110" s="112" t="s">
        <v>306</v>
      </c>
      <c r="I110" s="13">
        <v>3334</v>
      </c>
      <c r="J110" s="14">
        <v>3334</v>
      </c>
      <c r="K110" s="120">
        <v>347.6</v>
      </c>
      <c r="L110" s="121">
        <v>80.239999999999995</v>
      </c>
      <c r="M110" s="121">
        <v>48.38</v>
      </c>
      <c r="N110" s="121">
        <v>65.84</v>
      </c>
      <c r="O110" s="32">
        <v>6.5</v>
      </c>
      <c r="P110" s="41" t="s">
        <v>415</v>
      </c>
      <c r="Q110" s="37">
        <v>40</v>
      </c>
      <c r="R110" s="37">
        <v>35</v>
      </c>
      <c r="S110" s="104">
        <v>42</v>
      </c>
      <c r="T110" s="104">
        <v>58</v>
      </c>
      <c r="U110" s="109"/>
      <c r="V110" s="109"/>
      <c r="W110" s="109">
        <v>175</v>
      </c>
      <c r="X110" s="105">
        <v>10000</v>
      </c>
      <c r="Y110" s="105">
        <v>18000</v>
      </c>
      <c r="Z110" s="105">
        <v>25000</v>
      </c>
      <c r="AA110" s="105">
        <v>37000</v>
      </c>
      <c r="AB110" s="105">
        <v>54000</v>
      </c>
      <c r="AC110" s="105">
        <v>75000</v>
      </c>
      <c r="AD110" s="94">
        <v>102000</v>
      </c>
      <c r="AE110" s="94">
        <v>125000</v>
      </c>
      <c r="AF110" s="94">
        <v>140000</v>
      </c>
      <c r="AG110" s="94">
        <v>150000</v>
      </c>
      <c r="AH110" s="94">
        <v>154000</v>
      </c>
      <c r="AI110" s="32"/>
      <c r="AJ110" s="94"/>
      <c r="AK110" s="32"/>
      <c r="AL110" s="113">
        <v>3560000</v>
      </c>
      <c r="AM110" s="95">
        <v>20000</v>
      </c>
      <c r="AN110" s="95">
        <v>6</v>
      </c>
      <c r="AO110" s="96">
        <v>40000</v>
      </c>
      <c r="AP110" s="96">
        <v>4</v>
      </c>
      <c r="AQ110" s="97">
        <v>120000</v>
      </c>
      <c r="AR110" s="134">
        <v>2</v>
      </c>
      <c r="AS110" s="135"/>
      <c r="AT110" s="135"/>
      <c r="AU110" s="113">
        <v>2080000</v>
      </c>
      <c r="AV110" s="113">
        <v>5640000</v>
      </c>
      <c r="AW110" s="113">
        <v>362</v>
      </c>
      <c r="AX110" s="113"/>
      <c r="AY110" s="113">
        <v>474</v>
      </c>
      <c r="AZ110" s="113">
        <v>1</v>
      </c>
      <c r="BA110" s="113" t="s">
        <v>635</v>
      </c>
      <c r="BB110" s="32"/>
      <c r="BC110" s="32"/>
      <c r="BD110" s="32"/>
      <c r="BE110" s="32"/>
      <c r="BF110" s="32"/>
      <c r="BG110" s="32">
        <v>1</v>
      </c>
      <c r="BH110" s="32"/>
      <c r="BI110" s="32"/>
      <c r="BJ110" s="32">
        <v>1</v>
      </c>
      <c r="BK110" s="32"/>
      <c r="BL110" s="32"/>
      <c r="BM110" s="32"/>
      <c r="BN110" s="32"/>
      <c r="BO110" s="32"/>
      <c r="BP110" s="32"/>
      <c r="BQ110" s="32"/>
      <c r="BR110" s="32"/>
      <c r="BS110" s="32"/>
      <c r="BT110" s="32"/>
      <c r="BU110" s="32">
        <v>1</v>
      </c>
      <c r="BV110" s="81" t="s">
        <v>754</v>
      </c>
      <c r="BW110" s="113"/>
      <c r="BX110" s="113"/>
      <c r="BY110" s="113"/>
      <c r="BZ110" s="113"/>
      <c r="CA110" s="77"/>
      <c r="CB110" s="113"/>
      <c r="CC110" s="113"/>
      <c r="CD110" s="32"/>
      <c r="CE110" s="32"/>
      <c r="CF110" s="32"/>
      <c r="CG110" s="32"/>
      <c r="CH110" s="32"/>
      <c r="CI110" s="32"/>
      <c r="CJ110" s="32"/>
      <c r="CK110" s="32"/>
      <c r="CL110" s="32"/>
      <c r="CM110" s="32"/>
      <c r="CN110" s="32"/>
    </row>
    <row r="111" spans="1:92" ht="21" customHeight="1">
      <c r="A111" s="109">
        <v>109</v>
      </c>
      <c r="B111" s="110" t="s">
        <v>281</v>
      </c>
      <c r="C111" s="111" t="s">
        <v>282</v>
      </c>
      <c r="D111" s="110" t="s">
        <v>275</v>
      </c>
      <c r="E111" s="111" t="s">
        <v>350</v>
      </c>
      <c r="F111" s="111" t="s">
        <v>131</v>
      </c>
      <c r="G111" s="24" t="s">
        <v>164</v>
      </c>
      <c r="H111" s="112" t="s">
        <v>606</v>
      </c>
      <c r="I111" s="13">
        <v>3665</v>
      </c>
      <c r="J111" s="14">
        <v>3340</v>
      </c>
      <c r="K111" s="126">
        <v>329.6</v>
      </c>
      <c r="L111" s="127">
        <v>77.37</v>
      </c>
      <c r="M111" s="127">
        <v>67.2</v>
      </c>
      <c r="N111" s="127">
        <v>55.81</v>
      </c>
      <c r="O111" s="20"/>
      <c r="P111" s="41" t="s">
        <v>415</v>
      </c>
      <c r="Q111" s="16">
        <v>40</v>
      </c>
      <c r="R111" s="74">
        <v>12</v>
      </c>
      <c r="S111" s="74">
        <v>15</v>
      </c>
      <c r="T111" s="74">
        <v>21</v>
      </c>
      <c r="U111" s="74">
        <v>32</v>
      </c>
      <c r="V111" s="109"/>
      <c r="W111" s="109">
        <v>120</v>
      </c>
      <c r="X111" s="108">
        <v>4000</v>
      </c>
      <c r="Y111" s="108">
        <v>6500</v>
      </c>
      <c r="Z111" s="108">
        <v>10400</v>
      </c>
      <c r="AA111" s="108">
        <v>15600</v>
      </c>
      <c r="AB111" s="16">
        <v>22500</v>
      </c>
      <c r="AC111" s="16">
        <v>33500</v>
      </c>
      <c r="AD111" s="16">
        <v>49500</v>
      </c>
      <c r="AE111" s="16">
        <v>73000</v>
      </c>
      <c r="AF111" s="16">
        <v>108000</v>
      </c>
      <c r="AG111" s="16">
        <v>156000</v>
      </c>
      <c r="AH111" s="16">
        <v>199000</v>
      </c>
      <c r="AI111" s="17">
        <v>229000</v>
      </c>
      <c r="AJ111" s="94"/>
      <c r="AK111" s="32"/>
      <c r="AL111" s="113">
        <v>3628000</v>
      </c>
      <c r="AM111" s="95">
        <v>20000</v>
      </c>
      <c r="AN111" s="95">
        <v>8</v>
      </c>
      <c r="AO111" s="96">
        <v>40000</v>
      </c>
      <c r="AP111" s="96">
        <v>5</v>
      </c>
      <c r="AQ111" s="97">
        <v>120000</v>
      </c>
      <c r="AR111" s="134">
        <v>2</v>
      </c>
      <c r="AS111" s="135"/>
      <c r="AT111" s="135"/>
      <c r="AU111" s="113">
        <v>2400000</v>
      </c>
      <c r="AV111" s="113">
        <v>6028000</v>
      </c>
      <c r="AW111" s="113">
        <v>343</v>
      </c>
      <c r="AX111" s="113"/>
      <c r="AY111" s="113">
        <v>442</v>
      </c>
      <c r="AZ111" s="113"/>
      <c r="BA111" s="113" t="s">
        <v>605</v>
      </c>
      <c r="BB111" s="32"/>
      <c r="BC111" s="32"/>
      <c r="BD111" s="32"/>
      <c r="BE111" s="32"/>
      <c r="BF111" s="32"/>
      <c r="BG111" s="32"/>
      <c r="BH111" s="32">
        <v>1</v>
      </c>
      <c r="BI111" s="32"/>
      <c r="BJ111" s="32">
        <v>1</v>
      </c>
      <c r="BK111" s="32"/>
      <c r="BL111" s="32"/>
      <c r="BM111" s="32"/>
      <c r="BN111" s="32"/>
      <c r="BO111" s="32"/>
      <c r="BP111" s="32">
        <v>1</v>
      </c>
      <c r="BQ111" s="32"/>
      <c r="BR111" s="32"/>
      <c r="BS111" s="32" t="s">
        <v>650</v>
      </c>
      <c r="BT111" s="32"/>
      <c r="BU111" s="32">
        <v>1</v>
      </c>
      <c r="BV111" s="81" t="s">
        <v>749</v>
      </c>
      <c r="BW111" s="77"/>
      <c r="BX111" s="77"/>
      <c r="BY111" s="77"/>
      <c r="BZ111" s="77"/>
      <c r="CA111" s="77"/>
      <c r="CB111" s="113"/>
      <c r="CC111" s="113"/>
      <c r="CD111" s="32"/>
      <c r="CE111" s="32"/>
      <c r="CF111" s="32"/>
      <c r="CG111" s="32"/>
      <c r="CH111" s="32"/>
      <c r="CI111" s="32"/>
      <c r="CJ111" s="32"/>
      <c r="CK111" s="32"/>
      <c r="CL111" s="77"/>
      <c r="CM111" s="32"/>
      <c r="CN111" s="32"/>
    </row>
    <row r="112" spans="1:92" ht="21" customHeight="1">
      <c r="A112" s="109">
        <v>110</v>
      </c>
      <c r="B112" s="110" t="s">
        <v>396</v>
      </c>
      <c r="C112" s="111" t="s">
        <v>398</v>
      </c>
      <c r="D112" s="110" t="s">
        <v>158</v>
      </c>
      <c r="E112" s="111" t="s">
        <v>397</v>
      </c>
      <c r="F112" s="111" t="s">
        <v>131</v>
      </c>
      <c r="G112" s="24" t="s">
        <v>164</v>
      </c>
      <c r="H112" s="112" t="s">
        <v>654</v>
      </c>
      <c r="I112" s="13">
        <v>3531</v>
      </c>
      <c r="J112" s="14">
        <v>3343</v>
      </c>
      <c r="K112" s="126">
        <v>334.1</v>
      </c>
      <c r="L112" s="127">
        <v>72.87</v>
      </c>
      <c r="M112" s="127">
        <v>69.3</v>
      </c>
      <c r="N112" s="127">
        <v>63.45</v>
      </c>
      <c r="O112" s="36"/>
      <c r="P112" s="41" t="s">
        <v>415</v>
      </c>
      <c r="Q112" s="37">
        <v>40</v>
      </c>
      <c r="R112" s="37">
        <v>12</v>
      </c>
      <c r="S112" s="37">
        <v>15</v>
      </c>
      <c r="T112" s="37">
        <v>21</v>
      </c>
      <c r="U112" s="37">
        <v>32</v>
      </c>
      <c r="V112" s="109"/>
      <c r="W112" s="109">
        <v>120</v>
      </c>
      <c r="X112" s="16">
        <v>4000</v>
      </c>
      <c r="Y112" s="16">
        <v>6500</v>
      </c>
      <c r="Z112" s="16">
        <v>10400</v>
      </c>
      <c r="AA112" s="16">
        <v>15600</v>
      </c>
      <c r="AB112" s="16">
        <v>22500</v>
      </c>
      <c r="AC112" s="16">
        <v>33500</v>
      </c>
      <c r="AD112" s="16">
        <v>49500</v>
      </c>
      <c r="AE112" s="16">
        <v>73000</v>
      </c>
      <c r="AF112" s="16">
        <v>108000</v>
      </c>
      <c r="AG112" s="16">
        <v>156000</v>
      </c>
      <c r="AH112" s="16">
        <v>199000</v>
      </c>
      <c r="AI112" s="17">
        <v>229000</v>
      </c>
      <c r="AJ112" s="94"/>
      <c r="AK112" s="32"/>
      <c r="AL112" s="113">
        <v>3628000</v>
      </c>
      <c r="AM112" s="95">
        <v>20000</v>
      </c>
      <c r="AN112" s="95">
        <v>8</v>
      </c>
      <c r="AO112" s="96">
        <v>40000</v>
      </c>
      <c r="AP112" s="96">
        <v>5</v>
      </c>
      <c r="AQ112" s="97">
        <v>120000</v>
      </c>
      <c r="AR112" s="134">
        <v>2</v>
      </c>
      <c r="AS112" s="135"/>
      <c r="AT112" s="135"/>
      <c r="AU112" s="113">
        <v>2400000</v>
      </c>
      <c r="AV112" s="113">
        <v>6028000</v>
      </c>
      <c r="AW112" s="113">
        <v>348</v>
      </c>
      <c r="AX112" s="113"/>
      <c r="AY112" s="113">
        <v>450</v>
      </c>
      <c r="AZ112" s="113"/>
      <c r="BA112" s="113" t="s">
        <v>635</v>
      </c>
      <c r="BB112" s="32"/>
      <c r="BC112" s="32"/>
      <c r="BD112" s="32"/>
      <c r="BE112" s="32"/>
      <c r="BF112" s="32"/>
      <c r="BG112" s="32">
        <v>1</v>
      </c>
      <c r="BH112" s="32"/>
      <c r="BI112" s="32"/>
      <c r="BJ112" s="32">
        <v>1</v>
      </c>
      <c r="BK112" s="32"/>
      <c r="BL112" s="32"/>
      <c r="BM112" s="32"/>
      <c r="BN112" s="32"/>
      <c r="BO112" s="32"/>
      <c r="BP112" s="32"/>
      <c r="BQ112" s="32"/>
      <c r="BR112" s="32"/>
      <c r="BS112" s="32"/>
      <c r="BT112" s="32"/>
      <c r="BU112" s="32"/>
      <c r="BV112" s="81" t="s">
        <v>754</v>
      </c>
      <c r="BW112" s="77"/>
      <c r="BX112" s="77"/>
      <c r="BY112" s="77"/>
      <c r="BZ112" s="77"/>
      <c r="CA112" s="113"/>
      <c r="CB112" s="113"/>
      <c r="CC112" s="113"/>
      <c r="CD112" s="32"/>
      <c r="CE112" s="32"/>
      <c r="CF112" s="32"/>
      <c r="CG112" s="32"/>
      <c r="CH112" s="32"/>
      <c r="CI112" s="32"/>
      <c r="CJ112" s="32"/>
      <c r="CK112" s="32"/>
      <c r="CL112" s="32"/>
      <c r="CM112" s="32"/>
      <c r="CN112" s="32"/>
    </row>
    <row r="113" spans="1:92" ht="21" customHeight="1">
      <c r="A113" s="109">
        <v>111</v>
      </c>
      <c r="B113" s="110" t="s">
        <v>1183</v>
      </c>
      <c r="C113" s="111" t="s">
        <v>613</v>
      </c>
      <c r="D113" s="110" t="s">
        <v>1184</v>
      </c>
      <c r="E113" s="111" t="s">
        <v>612</v>
      </c>
      <c r="F113" s="111" t="s">
        <v>131</v>
      </c>
      <c r="G113" s="18" t="s">
        <v>89</v>
      </c>
      <c r="H113" s="112" t="s">
        <v>801</v>
      </c>
      <c r="I113" s="13">
        <v>3392</v>
      </c>
      <c r="J113" s="14">
        <v>3389</v>
      </c>
      <c r="K113" s="130">
        <v>322.3</v>
      </c>
      <c r="L113" s="131">
        <v>87.54</v>
      </c>
      <c r="M113" s="131">
        <v>68.39</v>
      </c>
      <c r="N113" s="131">
        <v>45.94</v>
      </c>
      <c r="O113" s="39"/>
      <c r="P113" s="41" t="s">
        <v>415</v>
      </c>
      <c r="Q113" s="22" t="s">
        <v>270</v>
      </c>
      <c r="R113" s="37">
        <v>38</v>
      </c>
      <c r="S113" s="37">
        <v>48</v>
      </c>
      <c r="T113" s="37">
        <v>58</v>
      </c>
      <c r="U113" s="37"/>
      <c r="V113" s="109"/>
      <c r="W113" s="109">
        <v>144</v>
      </c>
      <c r="X113" s="94">
        <v>22650</v>
      </c>
      <c r="Y113" s="94">
        <v>24900</v>
      </c>
      <c r="Z113" s="94">
        <v>29500</v>
      </c>
      <c r="AA113" s="94">
        <v>36300</v>
      </c>
      <c r="AB113" s="94">
        <v>54400</v>
      </c>
      <c r="AC113" s="94">
        <v>72500</v>
      </c>
      <c r="AD113" s="94">
        <v>102000</v>
      </c>
      <c r="AE113" s="94">
        <v>124500</v>
      </c>
      <c r="AF113" s="94">
        <v>136000</v>
      </c>
      <c r="AG113" s="94">
        <v>150000</v>
      </c>
      <c r="AH113" s="94">
        <v>154000</v>
      </c>
      <c r="AI113" s="94"/>
      <c r="AJ113" s="94"/>
      <c r="AK113" s="32"/>
      <c r="AL113" s="113">
        <v>3627000</v>
      </c>
      <c r="AM113" s="95">
        <v>20000</v>
      </c>
      <c r="AN113" s="95">
        <v>6</v>
      </c>
      <c r="AO113" s="96">
        <v>40000</v>
      </c>
      <c r="AP113" s="96">
        <v>4</v>
      </c>
      <c r="AQ113" s="97">
        <v>120000</v>
      </c>
      <c r="AR113" s="134">
        <v>2</v>
      </c>
      <c r="AS113" s="135"/>
      <c r="AT113" s="135"/>
      <c r="AU113" s="32">
        <v>2080000</v>
      </c>
      <c r="AV113" s="113">
        <v>5707000</v>
      </c>
      <c r="AW113" s="113">
        <v>336</v>
      </c>
      <c r="AX113" s="113"/>
      <c r="AY113" s="113">
        <v>430</v>
      </c>
      <c r="AZ113" s="113"/>
      <c r="BA113" s="113" t="s">
        <v>636</v>
      </c>
      <c r="BB113" s="32"/>
      <c r="BC113" s="32"/>
      <c r="BD113" s="32"/>
      <c r="BE113" s="32"/>
      <c r="BF113" s="32"/>
      <c r="BG113" s="32"/>
      <c r="BH113" s="32"/>
      <c r="BI113" s="32">
        <v>1</v>
      </c>
      <c r="BJ113" s="32"/>
      <c r="BK113" s="32"/>
      <c r="BL113" s="32"/>
      <c r="BM113" s="32"/>
      <c r="BN113" s="32"/>
      <c r="BO113" s="32">
        <v>1</v>
      </c>
      <c r="BP113" s="32"/>
      <c r="BQ113" s="32" t="s">
        <v>800</v>
      </c>
      <c r="BR113" s="32"/>
      <c r="BS113" s="32"/>
      <c r="BT113" s="32"/>
      <c r="BU113" s="32"/>
      <c r="BV113" s="113"/>
      <c r="BW113" s="113"/>
      <c r="BX113" s="113"/>
      <c r="BY113" s="113">
        <v>1</v>
      </c>
      <c r="BZ113" s="113">
        <v>6</v>
      </c>
      <c r="CA113" s="113"/>
      <c r="CB113" s="113"/>
      <c r="CC113" s="113"/>
      <c r="CD113" s="32"/>
      <c r="CE113" s="32"/>
      <c r="CF113" s="32"/>
      <c r="CG113" s="32"/>
      <c r="CH113" s="32"/>
      <c r="CI113" s="32"/>
      <c r="CJ113" s="32"/>
      <c r="CK113" s="32"/>
      <c r="CL113" s="77"/>
      <c r="CM113" s="32"/>
      <c r="CN113" s="32"/>
    </row>
    <row r="114" spans="1:92" ht="21" customHeight="1">
      <c r="A114" s="109">
        <v>112</v>
      </c>
      <c r="B114" s="110" t="s">
        <v>169</v>
      </c>
      <c r="C114" s="111" t="s">
        <v>170</v>
      </c>
      <c r="D114" s="110" t="s">
        <v>102</v>
      </c>
      <c r="E114" s="111" t="s">
        <v>343</v>
      </c>
      <c r="F114" s="111" t="s">
        <v>131</v>
      </c>
      <c r="G114" s="24" t="s">
        <v>164</v>
      </c>
      <c r="H114" s="112" t="s">
        <v>304</v>
      </c>
      <c r="I114" s="13">
        <v>4058</v>
      </c>
      <c r="J114" s="14">
        <v>3389</v>
      </c>
      <c r="K114" s="120">
        <v>352.9</v>
      </c>
      <c r="L114" s="121">
        <v>78.180000000000007</v>
      </c>
      <c r="M114" s="121">
        <v>66.59</v>
      </c>
      <c r="N114" s="121">
        <v>79.56</v>
      </c>
      <c r="O114" s="32">
        <v>9.8170000000000002</v>
      </c>
      <c r="P114" s="41" t="s">
        <v>415</v>
      </c>
      <c r="Q114" s="17">
        <v>40</v>
      </c>
      <c r="R114" s="17">
        <v>12</v>
      </c>
      <c r="S114" s="17">
        <v>15</v>
      </c>
      <c r="T114" s="17">
        <v>21</v>
      </c>
      <c r="U114" s="16">
        <v>32</v>
      </c>
      <c r="V114" s="109"/>
      <c r="W114" s="109">
        <v>120</v>
      </c>
      <c r="X114" s="116">
        <v>4000</v>
      </c>
      <c r="Y114" s="116">
        <v>6500</v>
      </c>
      <c r="Z114" s="116">
        <v>10400</v>
      </c>
      <c r="AA114" s="116">
        <v>15600</v>
      </c>
      <c r="AB114" s="116">
        <v>22500</v>
      </c>
      <c r="AC114" s="116">
        <v>33500</v>
      </c>
      <c r="AD114" s="116">
        <v>49500</v>
      </c>
      <c r="AE114" s="116">
        <v>73000</v>
      </c>
      <c r="AF114" s="116">
        <v>108000</v>
      </c>
      <c r="AG114" s="116">
        <v>156000</v>
      </c>
      <c r="AH114" s="116">
        <v>199000</v>
      </c>
      <c r="AI114" s="116">
        <v>229000</v>
      </c>
      <c r="AJ114" s="94"/>
      <c r="AK114" s="32"/>
      <c r="AL114" s="113">
        <v>3628000</v>
      </c>
      <c r="AM114" s="95">
        <v>20000</v>
      </c>
      <c r="AN114" s="95">
        <v>8</v>
      </c>
      <c r="AO114" s="96">
        <v>40000</v>
      </c>
      <c r="AP114" s="96">
        <v>5</v>
      </c>
      <c r="AQ114" s="97">
        <v>120000</v>
      </c>
      <c r="AR114" s="134">
        <v>2</v>
      </c>
      <c r="AS114" s="135"/>
      <c r="AT114" s="135"/>
      <c r="AU114" s="113">
        <v>2400000</v>
      </c>
      <c r="AV114" s="113">
        <v>6028000</v>
      </c>
      <c r="AW114" s="113">
        <v>367</v>
      </c>
      <c r="AX114" s="113"/>
      <c r="AY114" s="113">
        <v>483</v>
      </c>
      <c r="AZ114" s="113"/>
      <c r="BA114" s="113" t="s">
        <v>658</v>
      </c>
      <c r="BB114" s="32"/>
      <c r="BC114" s="32"/>
      <c r="BD114" s="32"/>
      <c r="BE114" s="32"/>
      <c r="BF114" s="32"/>
      <c r="BG114" s="32"/>
      <c r="BH114" s="32"/>
      <c r="BI114" s="32"/>
      <c r="BJ114" s="32"/>
      <c r="BK114" s="32"/>
      <c r="BL114" s="32"/>
      <c r="BM114" s="32"/>
      <c r="BN114" s="32"/>
      <c r="BO114" s="32"/>
      <c r="BP114" s="32">
        <v>1</v>
      </c>
      <c r="BQ114" s="32" t="s">
        <v>799</v>
      </c>
      <c r="BR114" s="32"/>
      <c r="BS114" s="32" t="s">
        <v>649</v>
      </c>
      <c r="BT114" s="32"/>
      <c r="BU114" s="32"/>
      <c r="BV114" s="81" t="s">
        <v>103</v>
      </c>
      <c r="BW114" s="113"/>
      <c r="BX114" s="113"/>
      <c r="BY114" s="113"/>
      <c r="BZ114" s="113"/>
      <c r="CA114" s="113"/>
      <c r="CB114" s="113"/>
      <c r="CC114" s="113"/>
      <c r="CD114" s="32"/>
      <c r="CE114" s="32"/>
      <c r="CF114" s="32"/>
      <c r="CG114" s="32"/>
      <c r="CH114" s="32"/>
      <c r="CI114" s="32"/>
      <c r="CJ114" s="32"/>
      <c r="CK114" s="32"/>
      <c r="CL114" s="32"/>
      <c r="CM114" s="32"/>
      <c r="CN114" s="32"/>
    </row>
    <row r="115" spans="1:92" ht="21" customHeight="1">
      <c r="A115" s="109">
        <v>113</v>
      </c>
      <c r="B115" s="110" t="s">
        <v>1185</v>
      </c>
      <c r="C115" s="111" t="s">
        <v>995</v>
      </c>
      <c r="D115" s="110" t="s">
        <v>996</v>
      </c>
      <c r="E115" s="111" t="s">
        <v>997</v>
      </c>
      <c r="F115" s="111" t="s">
        <v>131</v>
      </c>
      <c r="G115" s="24" t="s">
        <v>164</v>
      </c>
      <c r="H115" s="112" t="s">
        <v>992</v>
      </c>
      <c r="I115" s="13">
        <v>3380</v>
      </c>
      <c r="J115" s="14">
        <v>3393</v>
      </c>
      <c r="K115" s="126">
        <v>338.7</v>
      </c>
      <c r="L115" s="127">
        <v>86.54</v>
      </c>
      <c r="M115" s="127">
        <v>48.81</v>
      </c>
      <c r="N115" s="127">
        <v>61.41</v>
      </c>
      <c r="O115" s="36"/>
      <c r="P115" s="42" t="s">
        <v>420</v>
      </c>
      <c r="Q115" s="17">
        <v>40</v>
      </c>
      <c r="R115" s="16">
        <v>30</v>
      </c>
      <c r="S115" s="16">
        <v>36</v>
      </c>
      <c r="T115" s="16">
        <v>40</v>
      </c>
      <c r="U115" s="21">
        <v>43</v>
      </c>
      <c r="V115" s="109"/>
      <c r="W115" s="109">
        <v>189</v>
      </c>
      <c r="X115" s="32">
        <v>12000</v>
      </c>
      <c r="Y115" s="32">
        <v>18000</v>
      </c>
      <c r="Z115" s="32">
        <v>26000</v>
      </c>
      <c r="AA115" s="32">
        <v>40000</v>
      </c>
      <c r="AB115" s="32">
        <v>55000</v>
      </c>
      <c r="AC115" s="32">
        <v>75000</v>
      </c>
      <c r="AD115" s="32">
        <v>110000</v>
      </c>
      <c r="AE115" s="32">
        <v>135000</v>
      </c>
      <c r="AF115" s="32">
        <v>160000</v>
      </c>
      <c r="AG115" s="32">
        <v>180000</v>
      </c>
      <c r="AH115" s="32">
        <v>190000</v>
      </c>
      <c r="AI115" s="32">
        <v>200000</v>
      </c>
      <c r="AJ115" s="94"/>
      <c r="AK115" s="32"/>
      <c r="AL115" s="113">
        <v>4804000</v>
      </c>
      <c r="AM115" s="95">
        <v>24000</v>
      </c>
      <c r="AN115" s="95">
        <v>8</v>
      </c>
      <c r="AO115" s="96">
        <v>48000</v>
      </c>
      <c r="AP115" s="96">
        <v>5</v>
      </c>
      <c r="AQ115" s="97">
        <v>144000</v>
      </c>
      <c r="AR115" s="134">
        <v>2</v>
      </c>
      <c r="AS115" s="135"/>
      <c r="AT115" s="135"/>
      <c r="AU115" s="32">
        <v>2880000</v>
      </c>
      <c r="AV115" s="113"/>
      <c r="AW115" s="113">
        <v>352</v>
      </c>
      <c r="AX115" s="113"/>
      <c r="AY115" s="113">
        <v>458</v>
      </c>
      <c r="AZ115" s="113"/>
      <c r="BA115" s="113" t="s">
        <v>605</v>
      </c>
      <c r="BB115" s="32"/>
      <c r="BC115" s="32"/>
      <c r="BD115" s="32"/>
      <c r="BE115" s="32"/>
      <c r="BF115" s="32"/>
      <c r="BG115" s="32"/>
      <c r="BH115" s="32">
        <v>1</v>
      </c>
      <c r="BI115" s="32"/>
      <c r="BJ115" s="32"/>
      <c r="BK115" s="32"/>
      <c r="BL115" s="32"/>
      <c r="BM115" s="32"/>
      <c r="BN115" s="32"/>
      <c r="BO115" s="32"/>
      <c r="BP115" s="32"/>
      <c r="BQ115" s="32"/>
      <c r="BR115" s="32"/>
      <c r="BS115" s="32"/>
      <c r="BT115" s="32"/>
      <c r="BU115" s="32"/>
      <c r="BV115" s="81"/>
      <c r="BW115" s="113"/>
      <c r="BX115" s="113"/>
      <c r="BY115" s="113"/>
      <c r="BZ115" s="113"/>
      <c r="CA115" s="77"/>
      <c r="CB115" s="113"/>
      <c r="CC115" s="113"/>
      <c r="CD115" s="32"/>
      <c r="CE115" s="32"/>
      <c r="CF115" s="32"/>
      <c r="CG115" s="32"/>
      <c r="CH115" s="32"/>
      <c r="CI115" s="32"/>
      <c r="CJ115" s="32"/>
      <c r="CK115" s="32"/>
      <c r="CL115" s="77"/>
      <c r="CM115" s="32"/>
      <c r="CN115" s="32"/>
    </row>
    <row r="116" spans="1:92" ht="21" customHeight="1">
      <c r="A116" s="109">
        <v>114</v>
      </c>
      <c r="B116" s="110" t="s">
        <v>138</v>
      </c>
      <c r="C116" s="111" t="s">
        <v>139</v>
      </c>
      <c r="D116" s="110" t="s">
        <v>769</v>
      </c>
      <c r="E116" s="111" t="s">
        <v>345</v>
      </c>
      <c r="F116" s="111" t="s">
        <v>131</v>
      </c>
      <c r="G116" s="24" t="s">
        <v>164</v>
      </c>
      <c r="H116" s="112" t="s">
        <v>301</v>
      </c>
      <c r="I116" s="13">
        <v>2853</v>
      </c>
      <c r="J116" s="14">
        <v>3408</v>
      </c>
      <c r="K116" s="126">
        <v>305.5</v>
      </c>
      <c r="L116" s="127">
        <v>80.95</v>
      </c>
      <c r="M116" s="127">
        <v>57.23</v>
      </c>
      <c r="N116" s="127">
        <v>49.67</v>
      </c>
      <c r="O116" s="17">
        <v>5.5</v>
      </c>
      <c r="P116" s="41" t="s">
        <v>415</v>
      </c>
      <c r="Q116" s="16">
        <v>40</v>
      </c>
      <c r="R116" s="16">
        <v>12</v>
      </c>
      <c r="S116" s="16">
        <v>15</v>
      </c>
      <c r="T116" s="16">
        <v>21</v>
      </c>
      <c r="U116" s="16">
        <v>32</v>
      </c>
      <c r="V116" s="109"/>
      <c r="W116" s="109">
        <v>120</v>
      </c>
      <c r="X116" s="16">
        <v>5100</v>
      </c>
      <c r="Y116" s="16">
        <v>8300</v>
      </c>
      <c r="Z116" s="16">
        <v>13300</v>
      </c>
      <c r="AA116" s="16">
        <v>20000</v>
      </c>
      <c r="AB116" s="16">
        <v>28900</v>
      </c>
      <c r="AC116" s="16">
        <v>42500</v>
      </c>
      <c r="AD116" s="16">
        <v>63000</v>
      </c>
      <c r="AE116" s="16">
        <v>93500</v>
      </c>
      <c r="AF116" s="16">
        <v>138500</v>
      </c>
      <c r="AG116" s="16">
        <v>200000</v>
      </c>
      <c r="AH116" s="16">
        <v>255000</v>
      </c>
      <c r="AI116" s="17">
        <v>294000</v>
      </c>
      <c r="AJ116" s="94"/>
      <c r="AK116" s="32"/>
      <c r="AL116" s="113">
        <v>4648400</v>
      </c>
      <c r="AM116" s="95">
        <v>22500</v>
      </c>
      <c r="AN116" s="95">
        <v>8</v>
      </c>
      <c r="AO116" s="96">
        <v>45000</v>
      </c>
      <c r="AP116" s="96">
        <v>5</v>
      </c>
      <c r="AQ116" s="97">
        <v>135000</v>
      </c>
      <c r="AR116" s="134">
        <v>2</v>
      </c>
      <c r="AS116" s="135"/>
      <c r="AT116" s="135"/>
      <c r="AU116" s="113">
        <v>2700000</v>
      </c>
      <c r="AV116" s="113">
        <v>7348400</v>
      </c>
      <c r="AW116" s="113">
        <v>318</v>
      </c>
      <c r="AX116" s="113"/>
      <c r="AY116" s="113">
        <v>406</v>
      </c>
      <c r="AZ116" s="113">
        <v>8</v>
      </c>
      <c r="BA116" s="113" t="s">
        <v>635</v>
      </c>
      <c r="BB116" s="32"/>
      <c r="BC116" s="32"/>
      <c r="BD116" s="32"/>
      <c r="BE116" s="32"/>
      <c r="BF116" s="32"/>
      <c r="BG116" s="32">
        <v>1</v>
      </c>
      <c r="BH116" s="32"/>
      <c r="BI116" s="32"/>
      <c r="BJ116" s="32"/>
      <c r="BK116" s="32"/>
      <c r="BL116" s="32"/>
      <c r="BM116" s="32"/>
      <c r="BN116" s="32"/>
      <c r="BO116" s="32"/>
      <c r="BP116" s="32"/>
      <c r="BQ116" s="32"/>
      <c r="BR116" s="32"/>
      <c r="BS116" s="32"/>
      <c r="BT116" s="32"/>
      <c r="BU116" s="32"/>
      <c r="BV116" s="81" t="s">
        <v>1186</v>
      </c>
      <c r="BW116" s="113"/>
      <c r="BX116" s="113"/>
      <c r="BY116" s="113"/>
      <c r="BZ116" s="113"/>
      <c r="CA116" s="113"/>
      <c r="CB116" s="113"/>
      <c r="CC116" s="113"/>
      <c r="CD116" s="32"/>
      <c r="CE116" s="32"/>
      <c r="CF116" s="32"/>
      <c r="CG116" s="32"/>
      <c r="CH116" s="32"/>
      <c r="CI116" s="32"/>
      <c r="CJ116" s="32"/>
      <c r="CK116" s="32"/>
      <c r="CL116" s="32"/>
      <c r="CM116" s="32"/>
      <c r="CN116" s="32"/>
    </row>
    <row r="117" spans="1:92" ht="21" customHeight="1">
      <c r="A117" s="109">
        <v>115</v>
      </c>
      <c r="B117" s="110" t="s">
        <v>188</v>
      </c>
      <c r="C117" s="111" t="s">
        <v>189</v>
      </c>
      <c r="D117" s="110" t="s">
        <v>99</v>
      </c>
      <c r="E117" s="111" t="s">
        <v>353</v>
      </c>
      <c r="F117" s="111" t="s">
        <v>131</v>
      </c>
      <c r="G117" s="24" t="s">
        <v>164</v>
      </c>
      <c r="H117" s="112" t="s">
        <v>425</v>
      </c>
      <c r="I117" s="13">
        <v>3727</v>
      </c>
      <c r="J117" s="14">
        <v>3415</v>
      </c>
      <c r="K117" s="130">
        <v>314.7</v>
      </c>
      <c r="L117" s="131">
        <v>73.44</v>
      </c>
      <c r="M117" s="131">
        <v>87.23</v>
      </c>
      <c r="N117" s="131">
        <v>70.53</v>
      </c>
      <c r="O117" s="39"/>
      <c r="P117" s="41" t="s">
        <v>415</v>
      </c>
      <c r="Q117" s="37" t="s">
        <v>270</v>
      </c>
      <c r="R117" s="37">
        <v>25</v>
      </c>
      <c r="S117" s="37">
        <v>32</v>
      </c>
      <c r="T117" s="37">
        <v>36</v>
      </c>
      <c r="U117" s="37">
        <v>40</v>
      </c>
      <c r="V117" s="109"/>
      <c r="W117" s="109">
        <v>133</v>
      </c>
      <c r="X117" s="16">
        <v>5100</v>
      </c>
      <c r="Y117" s="16">
        <v>8300</v>
      </c>
      <c r="Z117" s="16">
        <v>13300</v>
      </c>
      <c r="AA117" s="16">
        <v>20000</v>
      </c>
      <c r="AB117" s="16">
        <v>28900</v>
      </c>
      <c r="AC117" s="16">
        <v>42500</v>
      </c>
      <c r="AD117" s="16">
        <v>63000</v>
      </c>
      <c r="AE117" s="16">
        <v>93500</v>
      </c>
      <c r="AF117" s="16">
        <v>138500</v>
      </c>
      <c r="AG117" s="16">
        <v>200000</v>
      </c>
      <c r="AH117" s="16">
        <v>255000</v>
      </c>
      <c r="AI117" s="17">
        <v>294000</v>
      </c>
      <c r="AJ117" s="98"/>
      <c r="AK117" s="136"/>
      <c r="AL117" s="113">
        <v>4648400</v>
      </c>
      <c r="AM117" s="95">
        <v>22500</v>
      </c>
      <c r="AN117" s="95">
        <v>8</v>
      </c>
      <c r="AO117" s="96">
        <v>45000</v>
      </c>
      <c r="AP117" s="96">
        <v>5</v>
      </c>
      <c r="AQ117" s="97">
        <v>135000</v>
      </c>
      <c r="AR117" s="134">
        <v>2</v>
      </c>
      <c r="AS117" s="135"/>
      <c r="AT117" s="135"/>
      <c r="AU117" s="113">
        <v>2700000</v>
      </c>
      <c r="AV117" s="113">
        <v>7348400</v>
      </c>
      <c r="AW117" s="113">
        <v>328</v>
      </c>
      <c r="AX117" s="113"/>
      <c r="AY117" s="113">
        <v>418</v>
      </c>
      <c r="AZ117" s="113"/>
      <c r="BA117" s="113" t="s">
        <v>640</v>
      </c>
      <c r="BB117" s="32"/>
      <c r="BC117" s="32"/>
      <c r="BD117" s="32"/>
      <c r="BE117" s="32"/>
      <c r="BF117" s="32"/>
      <c r="BG117" s="32"/>
      <c r="BH117" s="32"/>
      <c r="BI117" s="32">
        <v>1</v>
      </c>
      <c r="BJ117" s="32"/>
      <c r="BK117" s="32"/>
      <c r="BL117" s="32"/>
      <c r="BM117" s="32">
        <v>1</v>
      </c>
      <c r="BN117" s="32"/>
      <c r="BO117" s="32">
        <v>1</v>
      </c>
      <c r="BP117" s="32">
        <v>1</v>
      </c>
      <c r="BQ117" s="32"/>
      <c r="BR117" s="32"/>
      <c r="BS117" s="32"/>
      <c r="BT117" s="32"/>
      <c r="BU117" s="32"/>
      <c r="BV117" s="81" t="s">
        <v>747</v>
      </c>
      <c r="BW117" s="77" t="s">
        <v>682</v>
      </c>
      <c r="BX117" s="77"/>
      <c r="BY117" s="113">
        <v>1</v>
      </c>
      <c r="BZ117" s="113">
        <v>7</v>
      </c>
      <c r="CA117" s="113"/>
      <c r="CB117" s="113"/>
      <c r="CC117" s="113"/>
      <c r="CD117" s="32"/>
      <c r="CE117" s="32"/>
      <c r="CF117" s="32"/>
      <c r="CG117" s="32"/>
      <c r="CH117" s="32"/>
      <c r="CI117" s="32"/>
      <c r="CJ117" s="32"/>
      <c r="CK117" s="32"/>
      <c r="CL117" s="32"/>
      <c r="CM117" s="32"/>
      <c r="CN117" s="32"/>
    </row>
    <row r="118" spans="1:92" ht="21" customHeight="1">
      <c r="A118" s="109">
        <v>116</v>
      </c>
      <c r="B118" s="110" t="s">
        <v>214</v>
      </c>
      <c r="C118" s="111" t="s">
        <v>215</v>
      </c>
      <c r="D118" s="110" t="s">
        <v>1129</v>
      </c>
      <c r="E118" s="111" t="s">
        <v>346</v>
      </c>
      <c r="F118" s="111" t="s">
        <v>131</v>
      </c>
      <c r="G118" s="24" t="s">
        <v>164</v>
      </c>
      <c r="H118" s="112" t="s">
        <v>298</v>
      </c>
      <c r="I118" s="13">
        <v>4059</v>
      </c>
      <c r="J118" s="14">
        <v>3423</v>
      </c>
      <c r="K118" s="122">
        <v>355.4</v>
      </c>
      <c r="L118" s="123">
        <v>79.16</v>
      </c>
      <c r="M118" s="123">
        <v>70.739999999999995</v>
      </c>
      <c r="N118" s="123">
        <v>73.88</v>
      </c>
      <c r="O118" s="113">
        <v>8</v>
      </c>
      <c r="P118" s="41" t="s">
        <v>415</v>
      </c>
      <c r="Q118" s="16">
        <v>40</v>
      </c>
      <c r="R118" s="37">
        <v>12</v>
      </c>
      <c r="S118" s="37">
        <v>15</v>
      </c>
      <c r="T118" s="37">
        <v>21</v>
      </c>
      <c r="U118" s="21">
        <v>32</v>
      </c>
      <c r="V118" s="109"/>
      <c r="W118" s="109">
        <v>120</v>
      </c>
      <c r="X118" s="96">
        <v>5100</v>
      </c>
      <c r="Y118" s="96">
        <v>8300</v>
      </c>
      <c r="Z118" s="96">
        <v>13300</v>
      </c>
      <c r="AA118" s="96">
        <v>20000</v>
      </c>
      <c r="AB118" s="96">
        <v>28900</v>
      </c>
      <c r="AC118" s="96">
        <v>42500</v>
      </c>
      <c r="AD118" s="96">
        <v>63000</v>
      </c>
      <c r="AE118" s="96">
        <v>93500</v>
      </c>
      <c r="AF118" s="96">
        <v>138500</v>
      </c>
      <c r="AG118" s="96">
        <v>200000</v>
      </c>
      <c r="AH118" s="96">
        <v>255000</v>
      </c>
      <c r="AI118" s="96">
        <v>294000</v>
      </c>
      <c r="AJ118" s="94"/>
      <c r="AK118" s="32"/>
      <c r="AL118" s="113">
        <v>4648400</v>
      </c>
      <c r="AM118" s="95">
        <v>22500</v>
      </c>
      <c r="AN118" s="95">
        <v>8</v>
      </c>
      <c r="AO118" s="96">
        <v>45000</v>
      </c>
      <c r="AP118" s="96">
        <v>5</v>
      </c>
      <c r="AQ118" s="97">
        <v>135000</v>
      </c>
      <c r="AR118" s="134">
        <v>2</v>
      </c>
      <c r="AS118" s="135"/>
      <c r="AT118" s="135"/>
      <c r="AU118" s="113">
        <v>2700000</v>
      </c>
      <c r="AV118" s="113">
        <v>7348400</v>
      </c>
      <c r="AW118" s="113">
        <v>370</v>
      </c>
      <c r="AX118" s="113"/>
      <c r="AY118" s="113">
        <v>487</v>
      </c>
      <c r="AZ118" s="113"/>
      <c r="BA118" s="113" t="s">
        <v>635</v>
      </c>
      <c r="BB118" s="32"/>
      <c r="BC118" s="32"/>
      <c r="BD118" s="32"/>
      <c r="BE118" s="32"/>
      <c r="BF118" s="32"/>
      <c r="BG118" s="32">
        <v>1</v>
      </c>
      <c r="BH118" s="32"/>
      <c r="BI118" s="32"/>
      <c r="BJ118" s="32"/>
      <c r="BK118" s="32"/>
      <c r="BL118" s="32"/>
      <c r="BM118" s="32"/>
      <c r="BN118" s="32"/>
      <c r="BO118" s="32"/>
      <c r="BP118" s="32"/>
      <c r="BQ118" s="32" t="s">
        <v>800</v>
      </c>
      <c r="BR118" s="32"/>
      <c r="BS118" s="32"/>
      <c r="BT118" s="32"/>
      <c r="BU118" s="32"/>
      <c r="BV118" s="81" t="s">
        <v>1187</v>
      </c>
      <c r="BW118" s="77"/>
      <c r="BX118" s="77"/>
      <c r="BY118" s="77"/>
      <c r="BZ118" s="77"/>
      <c r="CA118" s="77"/>
      <c r="CB118" s="113"/>
      <c r="CC118" s="113"/>
      <c r="CD118" s="32"/>
      <c r="CE118" s="32"/>
      <c r="CF118" s="32"/>
      <c r="CG118" s="32"/>
      <c r="CH118" s="32"/>
      <c r="CI118" s="32"/>
      <c r="CJ118" s="32"/>
      <c r="CK118" s="32"/>
      <c r="CL118" s="77"/>
      <c r="CM118" s="32"/>
      <c r="CN118" s="32"/>
    </row>
    <row r="119" spans="1:92" ht="21" customHeight="1">
      <c r="A119" s="109">
        <v>117</v>
      </c>
      <c r="B119" s="110" t="s">
        <v>1188</v>
      </c>
      <c r="C119" s="111" t="s">
        <v>838</v>
      </c>
      <c r="D119" s="110" t="s">
        <v>182</v>
      </c>
      <c r="E119" s="111" t="s">
        <v>837</v>
      </c>
      <c r="F119" s="111" t="s">
        <v>131</v>
      </c>
      <c r="G119" s="24" t="s">
        <v>164</v>
      </c>
      <c r="H119" s="112" t="s">
        <v>900</v>
      </c>
      <c r="I119" s="13">
        <v>4022</v>
      </c>
      <c r="J119" s="38">
        <v>3432</v>
      </c>
      <c r="K119" s="130">
        <v>339.2</v>
      </c>
      <c r="L119" s="131">
        <v>80.97</v>
      </c>
      <c r="M119" s="131">
        <v>69.06</v>
      </c>
      <c r="N119" s="131">
        <v>57.25</v>
      </c>
      <c r="O119" s="39"/>
      <c r="P119" s="42" t="s">
        <v>420</v>
      </c>
      <c r="Q119" s="37" t="s">
        <v>270</v>
      </c>
      <c r="R119" s="37">
        <v>35</v>
      </c>
      <c r="S119" s="37">
        <v>40</v>
      </c>
      <c r="T119" s="37">
        <v>52</v>
      </c>
      <c r="U119" s="37">
        <v>70</v>
      </c>
      <c r="V119" s="109"/>
      <c r="W119" s="109">
        <v>197</v>
      </c>
      <c r="X119" s="16">
        <v>2500</v>
      </c>
      <c r="Y119" s="16">
        <v>4100</v>
      </c>
      <c r="Z119" s="16">
        <v>6500</v>
      </c>
      <c r="AA119" s="16">
        <v>9800</v>
      </c>
      <c r="AB119" s="16">
        <v>14100</v>
      </c>
      <c r="AC119" s="16">
        <v>21600</v>
      </c>
      <c r="AD119" s="96">
        <v>110000</v>
      </c>
      <c r="AE119" s="96">
        <v>135000</v>
      </c>
      <c r="AF119" s="94">
        <v>67500</v>
      </c>
      <c r="AG119" s="94">
        <v>98000</v>
      </c>
      <c r="AH119" s="94"/>
      <c r="AI119" s="94"/>
      <c r="AJ119" s="94"/>
      <c r="AK119" s="32"/>
      <c r="AL119" s="113"/>
      <c r="AM119" s="95">
        <v>15000</v>
      </c>
      <c r="AN119" s="95">
        <v>8</v>
      </c>
      <c r="AO119" s="96">
        <v>30000</v>
      </c>
      <c r="AP119" s="96">
        <v>5</v>
      </c>
      <c r="AQ119" s="97">
        <v>90000</v>
      </c>
      <c r="AR119" s="134">
        <v>2</v>
      </c>
      <c r="AS119" s="135"/>
      <c r="AT119" s="135"/>
      <c r="AU119" s="113">
        <v>1800000</v>
      </c>
      <c r="AV119" s="113"/>
      <c r="AW119" s="113">
        <v>353</v>
      </c>
      <c r="AX119" s="113"/>
      <c r="AY119" s="113">
        <v>459</v>
      </c>
      <c r="AZ119" s="113"/>
      <c r="BA119" s="82" t="s">
        <v>640</v>
      </c>
      <c r="BB119" s="32"/>
      <c r="BC119" s="32"/>
      <c r="BD119" s="32"/>
      <c r="BE119" s="32"/>
      <c r="BF119" s="32"/>
      <c r="BG119" s="32"/>
      <c r="BH119" s="32"/>
      <c r="BI119" s="32"/>
      <c r="BJ119" s="32"/>
      <c r="BK119" s="32"/>
      <c r="BL119" s="32"/>
      <c r="BM119" s="32">
        <v>1</v>
      </c>
      <c r="BN119" s="32"/>
      <c r="BO119" s="32">
        <v>1</v>
      </c>
      <c r="BP119" s="32"/>
      <c r="BQ119" s="32" t="s">
        <v>903</v>
      </c>
      <c r="BR119" s="32"/>
      <c r="BS119" s="32"/>
      <c r="BT119" s="32"/>
      <c r="BU119" s="32"/>
      <c r="BV119" s="81" t="s">
        <v>755</v>
      </c>
      <c r="BW119" s="113"/>
      <c r="BX119" s="113"/>
      <c r="BY119" s="113">
        <v>1</v>
      </c>
      <c r="BZ119" s="113">
        <v>7</v>
      </c>
      <c r="CA119" s="113"/>
      <c r="CB119" s="113"/>
      <c r="CC119" s="113"/>
      <c r="CD119" s="32"/>
      <c r="CE119" s="32"/>
      <c r="CF119" s="32"/>
      <c r="CG119" s="32"/>
      <c r="CH119" s="32"/>
      <c r="CI119" s="32"/>
      <c r="CJ119" s="32"/>
      <c r="CK119" s="32"/>
      <c r="CL119" s="77"/>
      <c r="CM119" s="32"/>
      <c r="CN119" s="32"/>
    </row>
    <row r="120" spans="1:92" ht="21" customHeight="1">
      <c r="A120" s="109">
        <v>118</v>
      </c>
      <c r="B120" s="110" t="s">
        <v>399</v>
      </c>
      <c r="C120" s="111" t="s">
        <v>401</v>
      </c>
      <c r="D120" s="110" t="s">
        <v>158</v>
      </c>
      <c r="E120" s="111" t="s">
        <v>400</v>
      </c>
      <c r="F120" s="111" t="s">
        <v>131</v>
      </c>
      <c r="G120" s="24" t="s">
        <v>164</v>
      </c>
      <c r="H120" s="112" t="s">
        <v>654</v>
      </c>
      <c r="I120" s="13">
        <v>3843</v>
      </c>
      <c r="J120" s="14">
        <v>3433</v>
      </c>
      <c r="K120" s="126">
        <v>310.10000000000002</v>
      </c>
      <c r="L120" s="127">
        <v>80.97</v>
      </c>
      <c r="M120" s="127">
        <v>83.61</v>
      </c>
      <c r="N120" s="127">
        <v>70.81</v>
      </c>
      <c r="O120" s="36"/>
      <c r="P120" s="41" t="s">
        <v>415</v>
      </c>
      <c r="Q120" s="37" t="s">
        <v>270</v>
      </c>
      <c r="R120" s="37">
        <v>30</v>
      </c>
      <c r="S120" s="37">
        <v>40</v>
      </c>
      <c r="T120" s="37">
        <v>50</v>
      </c>
      <c r="U120" s="37">
        <v>60</v>
      </c>
      <c r="V120" s="109"/>
      <c r="W120" s="109">
        <v>180</v>
      </c>
      <c r="X120" s="103">
        <v>5100</v>
      </c>
      <c r="Y120" s="103">
        <v>8300</v>
      </c>
      <c r="Z120" s="103">
        <v>13300</v>
      </c>
      <c r="AA120" s="103">
        <v>20000</v>
      </c>
      <c r="AB120" s="103">
        <v>28900</v>
      </c>
      <c r="AC120" s="103">
        <v>42500</v>
      </c>
      <c r="AD120" s="103">
        <v>63000</v>
      </c>
      <c r="AE120" s="103">
        <v>93500</v>
      </c>
      <c r="AF120" s="103">
        <v>138500</v>
      </c>
      <c r="AG120" s="103">
        <v>200000</v>
      </c>
      <c r="AH120" s="103">
        <v>255000</v>
      </c>
      <c r="AI120" s="100">
        <v>294000</v>
      </c>
      <c r="AJ120" s="94"/>
      <c r="AK120" s="32"/>
      <c r="AL120" s="113">
        <v>4648400</v>
      </c>
      <c r="AM120" s="95">
        <v>22500</v>
      </c>
      <c r="AN120" s="95">
        <v>8</v>
      </c>
      <c r="AO120" s="96">
        <v>45000</v>
      </c>
      <c r="AP120" s="96">
        <v>5</v>
      </c>
      <c r="AQ120" s="97">
        <v>135000</v>
      </c>
      <c r="AR120" s="134">
        <v>2</v>
      </c>
      <c r="AS120" s="135"/>
      <c r="AT120" s="135"/>
      <c r="AU120" s="113">
        <v>2700000</v>
      </c>
      <c r="AV120" s="113">
        <v>7348400</v>
      </c>
      <c r="AW120" s="113">
        <v>323</v>
      </c>
      <c r="AX120" s="113"/>
      <c r="AY120" s="113">
        <v>412</v>
      </c>
      <c r="AZ120" s="113"/>
      <c r="BA120" s="113" t="s">
        <v>640</v>
      </c>
      <c r="BB120" s="32"/>
      <c r="BC120" s="32"/>
      <c r="BD120" s="32"/>
      <c r="BE120" s="32"/>
      <c r="BF120" s="32"/>
      <c r="BG120" s="32"/>
      <c r="BH120" s="32"/>
      <c r="BI120" s="32">
        <v>1</v>
      </c>
      <c r="BJ120" s="32"/>
      <c r="BK120" s="32"/>
      <c r="BL120" s="32"/>
      <c r="BM120" s="32">
        <v>1</v>
      </c>
      <c r="BN120" s="32"/>
      <c r="BO120" s="32">
        <v>1</v>
      </c>
      <c r="BP120" s="32">
        <v>1</v>
      </c>
      <c r="BQ120" s="32"/>
      <c r="BR120" s="32"/>
      <c r="BS120" s="32"/>
      <c r="BT120" s="32"/>
      <c r="BU120" s="32"/>
      <c r="BV120" s="81" t="s">
        <v>754</v>
      </c>
      <c r="BW120" s="77" t="s">
        <v>683</v>
      </c>
      <c r="BX120" s="77"/>
      <c r="BY120" s="77"/>
      <c r="BZ120" s="77"/>
      <c r="CA120" s="77"/>
      <c r="CB120" s="113"/>
      <c r="CC120" s="113"/>
      <c r="CD120" s="32"/>
      <c r="CE120" s="32"/>
      <c r="CF120" s="32"/>
      <c r="CG120" s="32"/>
      <c r="CH120" s="32"/>
      <c r="CI120" s="32"/>
      <c r="CJ120" s="32"/>
      <c r="CK120" s="32"/>
      <c r="CL120" s="32"/>
      <c r="CM120" s="32"/>
      <c r="CN120" s="32"/>
    </row>
    <row r="121" spans="1:92" ht="21" customHeight="1">
      <c r="A121" s="109">
        <v>119</v>
      </c>
      <c r="B121" s="110" t="s">
        <v>1189</v>
      </c>
      <c r="C121" s="111" t="s">
        <v>790</v>
      </c>
      <c r="D121" s="110" t="s">
        <v>788</v>
      </c>
      <c r="E121" s="111" t="s">
        <v>789</v>
      </c>
      <c r="F121" s="111" t="s">
        <v>131</v>
      </c>
      <c r="G121" s="24" t="s">
        <v>164</v>
      </c>
      <c r="H121" s="112" t="s">
        <v>857</v>
      </c>
      <c r="I121" s="13">
        <v>3425</v>
      </c>
      <c r="J121" s="14">
        <v>3434</v>
      </c>
      <c r="K121" s="126">
        <v>346.3</v>
      </c>
      <c r="L121" s="127">
        <v>81.97</v>
      </c>
      <c r="M121" s="127">
        <v>47.38</v>
      </c>
      <c r="N121" s="127">
        <v>61.36</v>
      </c>
      <c r="O121" s="36"/>
      <c r="P121" s="41" t="s">
        <v>415</v>
      </c>
      <c r="Q121" s="37">
        <v>40</v>
      </c>
      <c r="R121" s="37">
        <v>30</v>
      </c>
      <c r="S121" s="37">
        <v>36</v>
      </c>
      <c r="T121" s="37">
        <v>39</v>
      </c>
      <c r="U121" s="21">
        <v>43</v>
      </c>
      <c r="V121" s="109"/>
      <c r="W121" s="109">
        <v>188</v>
      </c>
      <c r="X121" s="16">
        <v>5100</v>
      </c>
      <c r="Y121" s="16">
        <v>8300</v>
      </c>
      <c r="Z121" s="16">
        <v>13300</v>
      </c>
      <c r="AA121" s="16">
        <v>20000</v>
      </c>
      <c r="AB121" s="16">
        <v>28900</v>
      </c>
      <c r="AC121" s="16">
        <v>42500</v>
      </c>
      <c r="AD121" s="16">
        <v>63000</v>
      </c>
      <c r="AE121" s="16">
        <v>93500</v>
      </c>
      <c r="AF121" s="16">
        <v>138500</v>
      </c>
      <c r="AG121" s="16">
        <v>200000</v>
      </c>
      <c r="AH121" s="16">
        <v>255000</v>
      </c>
      <c r="AI121" s="17">
        <v>294000</v>
      </c>
      <c r="AJ121" s="94"/>
      <c r="AK121" s="32"/>
      <c r="AL121" s="113">
        <v>4648400</v>
      </c>
      <c r="AM121" s="95">
        <v>22500</v>
      </c>
      <c r="AN121" s="95">
        <v>8</v>
      </c>
      <c r="AO121" s="96">
        <v>45000</v>
      </c>
      <c r="AP121" s="96">
        <v>5</v>
      </c>
      <c r="AQ121" s="97">
        <v>135000</v>
      </c>
      <c r="AR121" s="134">
        <v>2</v>
      </c>
      <c r="AS121" s="135"/>
      <c r="AT121" s="135"/>
      <c r="AU121" s="113">
        <v>2700000</v>
      </c>
      <c r="AV121" s="113">
        <v>7348400</v>
      </c>
      <c r="AW121" s="113">
        <v>360</v>
      </c>
      <c r="AX121" s="113"/>
      <c r="AY121" s="113">
        <v>471</v>
      </c>
      <c r="AZ121" s="113"/>
      <c r="BA121" s="82" t="s">
        <v>635</v>
      </c>
      <c r="BB121" s="32"/>
      <c r="BC121" s="32"/>
      <c r="BD121" s="32"/>
      <c r="BE121" s="117"/>
      <c r="BF121" s="32"/>
      <c r="BG121" s="32">
        <v>1</v>
      </c>
      <c r="BH121" s="32"/>
      <c r="BI121" s="32"/>
      <c r="BJ121" s="32">
        <v>1</v>
      </c>
      <c r="BK121" s="32"/>
      <c r="BL121" s="32"/>
      <c r="BM121" s="32"/>
      <c r="BN121" s="32"/>
      <c r="BO121" s="32"/>
      <c r="BP121" s="32"/>
      <c r="BQ121" s="32" t="s">
        <v>800</v>
      </c>
      <c r="BR121" s="32"/>
      <c r="BS121" s="32"/>
      <c r="BT121" s="32"/>
      <c r="BU121" s="32"/>
      <c r="BV121" s="113"/>
      <c r="BW121" s="77"/>
      <c r="BX121" s="77"/>
      <c r="BY121" s="77"/>
      <c r="BZ121" s="77"/>
      <c r="CA121" s="77"/>
      <c r="CB121" s="113"/>
      <c r="CC121" s="113"/>
      <c r="CD121" s="32"/>
      <c r="CE121" s="32"/>
      <c r="CF121" s="32"/>
      <c r="CG121" s="32"/>
      <c r="CH121" s="32"/>
      <c r="CI121" s="32"/>
      <c r="CJ121" s="32"/>
      <c r="CK121" s="32"/>
      <c r="CL121" s="32"/>
      <c r="CM121" s="32"/>
      <c r="CN121" s="32"/>
    </row>
    <row r="122" spans="1:92" ht="21" customHeight="1">
      <c r="A122" s="109">
        <v>120</v>
      </c>
      <c r="B122" s="110" t="s">
        <v>1190</v>
      </c>
      <c r="C122" s="111" t="s">
        <v>836</v>
      </c>
      <c r="D122" s="110" t="s">
        <v>834</v>
      </c>
      <c r="E122" s="111" t="s">
        <v>835</v>
      </c>
      <c r="F122" s="111" t="s">
        <v>131</v>
      </c>
      <c r="G122" s="24" t="s">
        <v>164</v>
      </c>
      <c r="H122" s="115" t="s">
        <v>915</v>
      </c>
      <c r="I122" s="13">
        <v>3817</v>
      </c>
      <c r="J122" s="38">
        <v>3489</v>
      </c>
      <c r="K122" s="130">
        <v>322.39999999999998</v>
      </c>
      <c r="L122" s="131">
        <v>83.88</v>
      </c>
      <c r="M122" s="131">
        <v>76.06</v>
      </c>
      <c r="N122" s="131">
        <v>75.650000000000006</v>
      </c>
      <c r="O122" s="39"/>
      <c r="P122" s="42" t="s">
        <v>420</v>
      </c>
      <c r="Q122" s="37" t="s">
        <v>270</v>
      </c>
      <c r="R122" s="37">
        <v>35</v>
      </c>
      <c r="S122" s="37">
        <v>40</v>
      </c>
      <c r="T122" s="37">
        <v>52</v>
      </c>
      <c r="U122" s="37">
        <v>70</v>
      </c>
      <c r="V122" s="109"/>
      <c r="W122" s="109">
        <v>197</v>
      </c>
      <c r="X122" s="103">
        <v>5100</v>
      </c>
      <c r="Y122" s="103">
        <v>8300</v>
      </c>
      <c r="Z122" s="103">
        <v>13300</v>
      </c>
      <c r="AA122" s="103">
        <v>20000</v>
      </c>
      <c r="AB122" s="103">
        <v>28900</v>
      </c>
      <c r="AC122" s="103">
        <v>42500</v>
      </c>
      <c r="AD122" s="103">
        <v>63000</v>
      </c>
      <c r="AE122" s="103">
        <v>93500</v>
      </c>
      <c r="AF122" s="103">
        <v>138500</v>
      </c>
      <c r="AG122" s="103">
        <v>200000</v>
      </c>
      <c r="AH122" s="103">
        <v>255000</v>
      </c>
      <c r="AI122" s="100">
        <v>294000</v>
      </c>
      <c r="AJ122" s="94"/>
      <c r="AK122" s="32"/>
      <c r="AL122" s="113">
        <v>4648400</v>
      </c>
      <c r="AM122" s="95">
        <v>22500</v>
      </c>
      <c r="AN122" s="95">
        <v>8</v>
      </c>
      <c r="AO122" s="96">
        <v>45000</v>
      </c>
      <c r="AP122" s="96">
        <v>5</v>
      </c>
      <c r="AQ122" s="97">
        <v>135000</v>
      </c>
      <c r="AR122" s="134">
        <v>2</v>
      </c>
      <c r="AS122" s="135"/>
      <c r="AT122" s="135"/>
      <c r="AU122" s="32">
        <v>2700000</v>
      </c>
      <c r="AV122" s="113">
        <v>7348400</v>
      </c>
      <c r="AW122" s="113">
        <v>336</v>
      </c>
      <c r="AX122" s="113"/>
      <c r="AY122" s="113">
        <v>430</v>
      </c>
      <c r="AZ122" s="113"/>
      <c r="BA122" s="82" t="s">
        <v>640</v>
      </c>
      <c r="BB122" s="32"/>
      <c r="BC122" s="32"/>
      <c r="BD122" s="32"/>
      <c r="BE122" s="32"/>
      <c r="BF122" s="32"/>
      <c r="BG122" s="32"/>
      <c r="BH122" s="32"/>
      <c r="BI122" s="32"/>
      <c r="BJ122" s="32"/>
      <c r="BK122" s="32"/>
      <c r="BL122" s="32"/>
      <c r="BM122" s="32">
        <v>1</v>
      </c>
      <c r="BN122" s="32"/>
      <c r="BO122" s="32">
        <v>1</v>
      </c>
      <c r="BP122" s="32">
        <v>1</v>
      </c>
      <c r="BQ122" s="32"/>
      <c r="BR122" s="32"/>
      <c r="BS122" s="32"/>
      <c r="BT122" s="32"/>
      <c r="BU122" s="32"/>
      <c r="BV122" s="81"/>
      <c r="BW122" s="113"/>
      <c r="BX122" s="113"/>
      <c r="BY122" s="113">
        <v>1</v>
      </c>
      <c r="BZ122" s="113">
        <v>7</v>
      </c>
      <c r="CA122" s="113"/>
      <c r="CB122" s="113"/>
      <c r="CC122" s="113"/>
      <c r="CD122" s="32"/>
      <c r="CE122" s="32"/>
      <c r="CF122" s="32"/>
      <c r="CG122" s="32"/>
      <c r="CH122" s="32"/>
      <c r="CI122" s="32"/>
      <c r="CJ122" s="32"/>
      <c r="CK122" s="32"/>
      <c r="CL122" s="32"/>
      <c r="CM122" s="32"/>
      <c r="CN122" s="32"/>
    </row>
    <row r="123" spans="1:92" ht="21" customHeight="1">
      <c r="A123" s="109">
        <v>121</v>
      </c>
      <c r="B123" s="110" t="s">
        <v>1492</v>
      </c>
      <c r="C123" s="111" t="s">
        <v>1493</v>
      </c>
      <c r="D123" s="110" t="s">
        <v>99</v>
      </c>
      <c r="E123" s="111" t="s">
        <v>1494</v>
      </c>
      <c r="F123" s="111" t="s">
        <v>131</v>
      </c>
      <c r="G123" s="18" t="s">
        <v>89</v>
      </c>
      <c r="H123" s="112" t="s">
        <v>1491</v>
      </c>
      <c r="I123" s="13"/>
      <c r="J123" s="14">
        <v>3495</v>
      </c>
      <c r="K123" s="120">
        <v>343.5</v>
      </c>
      <c r="L123" s="121">
        <v>82.94</v>
      </c>
      <c r="M123" s="121">
        <v>53.72</v>
      </c>
      <c r="N123" s="121">
        <v>59.39</v>
      </c>
      <c r="O123" s="15"/>
      <c r="P123" s="41" t="s">
        <v>415</v>
      </c>
      <c r="Q123" s="37">
        <v>40</v>
      </c>
      <c r="R123" s="37">
        <v>35</v>
      </c>
      <c r="S123" s="37">
        <v>42</v>
      </c>
      <c r="T123" s="37">
        <v>58</v>
      </c>
      <c r="U123" s="109"/>
      <c r="V123" s="109"/>
      <c r="W123" s="109">
        <v>175</v>
      </c>
      <c r="X123" s="16"/>
      <c r="Y123" s="16"/>
      <c r="Z123" s="16"/>
      <c r="AA123" s="103"/>
      <c r="AB123" s="103"/>
      <c r="AC123" s="103"/>
      <c r="AD123" s="103"/>
      <c r="AE123" s="103"/>
      <c r="AF123" s="16"/>
      <c r="AG123" s="16"/>
      <c r="AH123" s="16"/>
      <c r="AI123" s="17"/>
      <c r="AJ123" s="94"/>
      <c r="AK123" s="32"/>
      <c r="AL123" s="113"/>
      <c r="AM123" s="95"/>
      <c r="AN123" s="95"/>
      <c r="AO123" s="96"/>
      <c r="AP123" s="96"/>
      <c r="AQ123" s="97"/>
      <c r="AR123" s="134"/>
      <c r="AS123" s="135"/>
      <c r="AT123" s="135"/>
      <c r="AU123" s="32"/>
      <c r="AV123" s="32"/>
      <c r="AW123" s="113"/>
      <c r="AX123" s="113"/>
      <c r="AY123" s="113"/>
      <c r="AZ123" s="113"/>
      <c r="BA123" s="82" t="s">
        <v>1495</v>
      </c>
      <c r="BB123" s="32"/>
      <c r="BC123" s="32"/>
      <c r="BD123" s="32"/>
      <c r="BE123" s="117"/>
      <c r="BF123" s="32"/>
      <c r="BG123" s="32"/>
      <c r="BH123" s="32"/>
      <c r="BI123" s="32"/>
      <c r="BJ123" s="32"/>
      <c r="BK123" s="32"/>
      <c r="BL123" s="32"/>
      <c r="BM123" s="32"/>
      <c r="BN123" s="32"/>
      <c r="BO123" s="32"/>
      <c r="BP123" s="32"/>
      <c r="BQ123" s="32"/>
      <c r="BR123" s="32"/>
      <c r="BS123" s="32"/>
      <c r="BT123" s="32"/>
      <c r="BU123" s="32"/>
      <c r="BV123" s="113" t="s">
        <v>1496</v>
      </c>
      <c r="BW123" s="113"/>
      <c r="BX123" s="113"/>
      <c r="BY123" s="113"/>
      <c r="BZ123" s="113"/>
      <c r="CA123" s="113"/>
      <c r="CB123" s="113"/>
      <c r="CC123" s="113"/>
      <c r="CD123" s="32"/>
      <c r="CE123" s="32"/>
      <c r="CF123" s="32"/>
      <c r="CG123" s="32"/>
      <c r="CH123" s="32"/>
      <c r="CI123" s="32"/>
      <c r="CJ123" s="32"/>
      <c r="CK123" s="32"/>
      <c r="CL123" s="32"/>
      <c r="CM123" s="32"/>
      <c r="CN123" s="32"/>
    </row>
    <row r="124" spans="1:92" ht="21" customHeight="1">
      <c r="A124" s="109">
        <v>122</v>
      </c>
      <c r="B124" s="110" t="s">
        <v>1191</v>
      </c>
      <c r="C124" s="111" t="s">
        <v>694</v>
      </c>
      <c r="D124" s="110" t="s">
        <v>182</v>
      </c>
      <c r="E124" s="111" t="s">
        <v>693</v>
      </c>
      <c r="F124" s="111" t="s">
        <v>131</v>
      </c>
      <c r="G124" s="24" t="s">
        <v>164</v>
      </c>
      <c r="H124" s="112" t="s">
        <v>863</v>
      </c>
      <c r="I124" s="13">
        <v>3533</v>
      </c>
      <c r="J124" s="14">
        <v>3530</v>
      </c>
      <c r="K124" s="120">
        <v>339.2</v>
      </c>
      <c r="L124" s="121">
        <v>81.3</v>
      </c>
      <c r="M124" s="121">
        <v>75.510000000000005</v>
      </c>
      <c r="N124" s="121">
        <v>65.91</v>
      </c>
      <c r="O124" s="15"/>
      <c r="P124" s="42" t="s">
        <v>420</v>
      </c>
      <c r="Q124" s="37">
        <v>40</v>
      </c>
      <c r="R124" s="37">
        <v>30</v>
      </c>
      <c r="S124" s="37">
        <v>36</v>
      </c>
      <c r="T124" s="37">
        <v>40</v>
      </c>
      <c r="U124" s="21">
        <v>43</v>
      </c>
      <c r="V124" s="109"/>
      <c r="W124" s="109">
        <v>189</v>
      </c>
      <c r="X124" s="16">
        <v>5100</v>
      </c>
      <c r="Y124" s="16">
        <v>8300</v>
      </c>
      <c r="Z124" s="16">
        <v>13300</v>
      </c>
      <c r="AA124" s="103">
        <v>20000</v>
      </c>
      <c r="AB124" s="103">
        <v>28900</v>
      </c>
      <c r="AC124" s="103">
        <v>42500</v>
      </c>
      <c r="AD124" s="103">
        <v>63000</v>
      </c>
      <c r="AE124" s="103">
        <v>93500</v>
      </c>
      <c r="AF124" s="16">
        <v>138500</v>
      </c>
      <c r="AG124" s="16">
        <v>200000</v>
      </c>
      <c r="AH124" s="16">
        <v>255000</v>
      </c>
      <c r="AI124" s="17">
        <v>294000</v>
      </c>
      <c r="AJ124" s="94"/>
      <c r="AK124" s="32"/>
      <c r="AL124" s="113">
        <v>4648400</v>
      </c>
      <c r="AM124" s="95">
        <v>22500</v>
      </c>
      <c r="AN124" s="95">
        <v>8</v>
      </c>
      <c r="AO124" s="96">
        <v>45000</v>
      </c>
      <c r="AP124" s="96">
        <v>5</v>
      </c>
      <c r="AQ124" s="97">
        <v>135000</v>
      </c>
      <c r="AR124" s="134">
        <v>2</v>
      </c>
      <c r="AS124" s="135"/>
      <c r="AT124" s="135"/>
      <c r="AU124" s="32">
        <v>2700000</v>
      </c>
      <c r="AV124" s="32">
        <v>7348400</v>
      </c>
      <c r="AW124" s="113">
        <v>353</v>
      </c>
      <c r="AX124" s="113"/>
      <c r="AY124" s="113">
        <v>459</v>
      </c>
      <c r="AZ124" s="113"/>
      <c r="BA124" s="82" t="s">
        <v>605</v>
      </c>
      <c r="BB124" s="32"/>
      <c r="BC124" s="32"/>
      <c r="BD124" s="32"/>
      <c r="BE124" s="117"/>
      <c r="BF124" s="32"/>
      <c r="BG124" s="32"/>
      <c r="BH124" s="32">
        <v>1</v>
      </c>
      <c r="BI124" s="32"/>
      <c r="BJ124" s="32"/>
      <c r="BK124" s="32"/>
      <c r="BL124" s="32"/>
      <c r="BM124" s="32"/>
      <c r="BN124" s="32"/>
      <c r="BO124" s="32"/>
      <c r="BP124" s="32">
        <v>1</v>
      </c>
      <c r="BQ124" s="32"/>
      <c r="BR124" s="32"/>
      <c r="BS124" s="32" t="s">
        <v>650</v>
      </c>
      <c r="BT124" s="32"/>
      <c r="BU124" s="32"/>
      <c r="BV124" s="113" t="s">
        <v>755</v>
      </c>
      <c r="BW124" s="113"/>
      <c r="BX124" s="113"/>
      <c r="BY124" s="113">
        <v>1</v>
      </c>
      <c r="BZ124" s="113">
        <v>7</v>
      </c>
      <c r="CA124" s="113"/>
      <c r="CB124" s="113"/>
      <c r="CC124" s="113"/>
      <c r="CD124" s="32"/>
      <c r="CE124" s="32"/>
      <c r="CF124" s="32"/>
      <c r="CG124" s="32"/>
      <c r="CH124" s="32"/>
      <c r="CI124" s="32"/>
      <c r="CJ124" s="32"/>
      <c r="CK124" s="32"/>
      <c r="CL124" s="32"/>
      <c r="CM124" s="32"/>
      <c r="CN124" s="32"/>
    </row>
    <row r="125" spans="1:92" ht="21" customHeight="1">
      <c r="A125" s="109">
        <v>123</v>
      </c>
      <c r="B125" s="110" t="s">
        <v>1192</v>
      </c>
      <c r="C125" s="111" t="s">
        <v>661</v>
      </c>
      <c r="D125" s="110" t="s">
        <v>783</v>
      </c>
      <c r="E125" s="111" t="s">
        <v>660</v>
      </c>
      <c r="F125" s="111" t="s">
        <v>131</v>
      </c>
      <c r="G125" s="24" t="s">
        <v>164</v>
      </c>
      <c r="H125" s="112" t="s">
        <v>311</v>
      </c>
      <c r="I125" s="13">
        <v>3565</v>
      </c>
      <c r="J125" s="14">
        <v>3571</v>
      </c>
      <c r="K125" s="130">
        <v>321</v>
      </c>
      <c r="L125" s="131">
        <v>83.67</v>
      </c>
      <c r="M125" s="131">
        <v>61.35</v>
      </c>
      <c r="N125" s="131">
        <v>71.97</v>
      </c>
      <c r="O125" s="39"/>
      <c r="P125" s="41" t="s">
        <v>415</v>
      </c>
      <c r="Q125" s="22" t="s">
        <v>270</v>
      </c>
      <c r="R125" s="37">
        <v>30</v>
      </c>
      <c r="S125" s="37">
        <v>40</v>
      </c>
      <c r="T125" s="37">
        <v>50</v>
      </c>
      <c r="U125" s="37">
        <v>60</v>
      </c>
      <c r="V125" s="109"/>
      <c r="W125" s="109">
        <v>180</v>
      </c>
      <c r="X125" s="103">
        <v>5100</v>
      </c>
      <c r="Y125" s="103">
        <v>8300</v>
      </c>
      <c r="Z125" s="103">
        <v>13300</v>
      </c>
      <c r="AA125" s="103">
        <v>20000</v>
      </c>
      <c r="AB125" s="103">
        <v>28900</v>
      </c>
      <c r="AC125" s="103">
        <v>42500</v>
      </c>
      <c r="AD125" s="103">
        <v>63000</v>
      </c>
      <c r="AE125" s="103">
        <v>93500</v>
      </c>
      <c r="AF125" s="103">
        <v>138500</v>
      </c>
      <c r="AG125" s="103">
        <v>200000</v>
      </c>
      <c r="AH125" s="103">
        <v>255000</v>
      </c>
      <c r="AI125" s="100">
        <v>294000</v>
      </c>
      <c r="AJ125" s="94"/>
      <c r="AK125" s="32"/>
      <c r="AL125" s="113">
        <v>4648400</v>
      </c>
      <c r="AM125" s="95">
        <v>22500</v>
      </c>
      <c r="AN125" s="95">
        <v>8</v>
      </c>
      <c r="AO125" s="96">
        <v>45000</v>
      </c>
      <c r="AP125" s="96">
        <v>5</v>
      </c>
      <c r="AQ125" s="97">
        <v>135000</v>
      </c>
      <c r="AR125" s="134">
        <v>2</v>
      </c>
      <c r="AS125" s="135"/>
      <c r="AT125" s="135"/>
      <c r="AU125" s="113">
        <v>2700000</v>
      </c>
      <c r="AV125" s="32">
        <v>7348400</v>
      </c>
      <c r="AW125" s="113">
        <v>334</v>
      </c>
      <c r="AX125" s="113"/>
      <c r="AY125" s="113">
        <v>428</v>
      </c>
      <c r="AZ125" s="113"/>
      <c r="BA125" s="113" t="s">
        <v>640</v>
      </c>
      <c r="BB125" s="32"/>
      <c r="BC125" s="32"/>
      <c r="BD125" s="32"/>
      <c r="BE125" s="32"/>
      <c r="BF125" s="32"/>
      <c r="BG125" s="32"/>
      <c r="BH125" s="32"/>
      <c r="BI125" s="32"/>
      <c r="BJ125" s="32"/>
      <c r="BK125" s="32"/>
      <c r="BL125" s="32"/>
      <c r="BM125" s="32">
        <v>1</v>
      </c>
      <c r="BN125" s="32"/>
      <c r="BO125" s="32">
        <v>1</v>
      </c>
      <c r="BP125" s="32">
        <v>1</v>
      </c>
      <c r="BQ125" s="32"/>
      <c r="BR125" s="32"/>
      <c r="BS125" s="32"/>
      <c r="BT125" s="32"/>
      <c r="BU125" s="32"/>
      <c r="BV125" s="81" t="s">
        <v>823</v>
      </c>
      <c r="BW125" s="113"/>
      <c r="BX125" s="113"/>
      <c r="BY125" s="113"/>
      <c r="BZ125" s="113"/>
      <c r="CA125" s="113"/>
      <c r="CB125" s="113"/>
      <c r="CC125" s="113"/>
      <c r="CD125" s="32"/>
      <c r="CE125" s="32"/>
      <c r="CF125" s="32"/>
      <c r="CG125" s="32"/>
      <c r="CH125" s="32"/>
      <c r="CI125" s="32"/>
      <c r="CJ125" s="32"/>
      <c r="CK125" s="32"/>
      <c r="CL125" s="32"/>
      <c r="CM125" s="32"/>
      <c r="CN125" s="32"/>
    </row>
    <row r="126" spans="1:92" ht="21" customHeight="1">
      <c r="A126" s="109">
        <v>124</v>
      </c>
      <c r="B126" s="110" t="s">
        <v>1374</v>
      </c>
      <c r="C126" s="111" t="s">
        <v>1375</v>
      </c>
      <c r="D126" s="110" t="s">
        <v>1129</v>
      </c>
      <c r="E126" s="111" t="s">
        <v>1376</v>
      </c>
      <c r="F126" s="111" t="s">
        <v>131</v>
      </c>
      <c r="G126" s="24" t="s">
        <v>164</v>
      </c>
      <c r="H126" s="112" t="s">
        <v>1373</v>
      </c>
      <c r="I126" s="13"/>
      <c r="J126" s="14">
        <v>3580</v>
      </c>
      <c r="K126" s="130">
        <v>343.2</v>
      </c>
      <c r="L126" s="131">
        <v>74.11</v>
      </c>
      <c r="M126" s="131">
        <v>69.680000000000007</v>
      </c>
      <c r="N126" s="131">
        <v>77.89</v>
      </c>
      <c r="O126" s="39"/>
      <c r="P126" s="42" t="s">
        <v>420</v>
      </c>
      <c r="Q126" s="37">
        <v>40</v>
      </c>
      <c r="R126" s="37">
        <v>30</v>
      </c>
      <c r="S126" s="37">
        <v>36</v>
      </c>
      <c r="T126" s="37">
        <v>40</v>
      </c>
      <c r="U126" s="21">
        <v>43</v>
      </c>
      <c r="V126" s="109"/>
      <c r="W126" s="109"/>
      <c r="X126" s="105">
        <v>16000</v>
      </c>
      <c r="Y126" s="105">
        <v>25000</v>
      </c>
      <c r="Z126" s="105">
        <v>35000</v>
      </c>
      <c r="AA126" s="105">
        <v>50000</v>
      </c>
      <c r="AB126" s="105">
        <v>84000</v>
      </c>
      <c r="AC126" s="105">
        <v>117000</v>
      </c>
      <c r="AD126" s="105">
        <v>166000</v>
      </c>
      <c r="AE126" s="105">
        <v>225000</v>
      </c>
      <c r="AF126" s="94">
        <v>263000</v>
      </c>
      <c r="AG126" s="94">
        <v>293000</v>
      </c>
      <c r="AH126" s="94">
        <v>302000</v>
      </c>
      <c r="AI126" s="94">
        <v>312000</v>
      </c>
      <c r="AJ126" s="94"/>
      <c r="AK126" s="32"/>
      <c r="AL126" s="113">
        <v>7552000</v>
      </c>
      <c r="AM126" s="95">
        <v>27000</v>
      </c>
      <c r="AN126" s="95">
        <v>8</v>
      </c>
      <c r="AO126" s="96">
        <v>54000</v>
      </c>
      <c r="AP126" s="96">
        <v>5</v>
      </c>
      <c r="AQ126" s="97">
        <v>162000</v>
      </c>
      <c r="AR126" s="134">
        <v>2</v>
      </c>
      <c r="AS126" s="135"/>
      <c r="AT126" s="135"/>
      <c r="AU126" s="32">
        <v>3240000</v>
      </c>
      <c r="AV126" s="32">
        <v>10792000</v>
      </c>
      <c r="AW126" s="113">
        <v>357</v>
      </c>
      <c r="AX126" s="113"/>
      <c r="AY126" s="113">
        <v>466</v>
      </c>
      <c r="AZ126" s="113"/>
      <c r="BA126" s="113" t="s">
        <v>605</v>
      </c>
      <c r="BB126" s="32"/>
      <c r="BC126" s="32"/>
      <c r="BD126" s="32"/>
      <c r="BE126" s="32"/>
      <c r="BF126" s="32"/>
      <c r="BG126" s="32"/>
      <c r="BH126" s="32">
        <v>1</v>
      </c>
      <c r="BI126" s="32"/>
      <c r="BJ126" s="32"/>
      <c r="BK126" s="32"/>
      <c r="BL126" s="32"/>
      <c r="BM126" s="32"/>
      <c r="BN126" s="32"/>
      <c r="BO126" s="32"/>
      <c r="BP126" s="32"/>
      <c r="BQ126" s="32"/>
      <c r="BR126" s="32"/>
      <c r="BS126" s="32"/>
      <c r="BT126" s="32"/>
      <c r="BU126" s="32"/>
      <c r="BV126" s="113" t="s">
        <v>748</v>
      </c>
      <c r="BW126" s="113"/>
      <c r="BX126" s="113"/>
      <c r="BY126" s="113"/>
      <c r="BZ126" s="113"/>
      <c r="CA126" s="113"/>
      <c r="CB126" s="113"/>
      <c r="CC126" s="113"/>
      <c r="CD126" s="32"/>
      <c r="CE126" s="73"/>
      <c r="CF126" s="73"/>
      <c r="CG126" s="73"/>
      <c r="CH126" s="73"/>
      <c r="CI126" s="73"/>
      <c r="CJ126" s="73"/>
      <c r="CK126" s="73"/>
      <c r="CL126" s="32"/>
      <c r="CM126" s="32"/>
      <c r="CN126" s="32"/>
    </row>
    <row r="127" spans="1:92" ht="21" customHeight="1">
      <c r="A127" s="109">
        <v>125</v>
      </c>
      <c r="B127" s="110" t="s">
        <v>1193</v>
      </c>
      <c r="C127" s="111" t="s">
        <v>1194</v>
      </c>
      <c r="D127" s="110" t="s">
        <v>546</v>
      </c>
      <c r="E127" s="111" t="s">
        <v>547</v>
      </c>
      <c r="F127" s="111" t="s">
        <v>131</v>
      </c>
      <c r="G127" s="24" t="s">
        <v>164</v>
      </c>
      <c r="H127" s="112" t="s">
        <v>740</v>
      </c>
      <c r="I127" s="13">
        <v>3585</v>
      </c>
      <c r="J127" s="14">
        <v>3585</v>
      </c>
      <c r="K127" s="130">
        <v>313.89999999999998</v>
      </c>
      <c r="L127" s="131">
        <v>74.31</v>
      </c>
      <c r="M127" s="131">
        <v>86.11</v>
      </c>
      <c r="N127" s="131">
        <v>73.78</v>
      </c>
      <c r="O127" s="39"/>
      <c r="P127" s="42" t="s">
        <v>420</v>
      </c>
      <c r="Q127" s="37" t="s">
        <v>270</v>
      </c>
      <c r="R127" s="37">
        <v>30</v>
      </c>
      <c r="S127" s="37">
        <v>40</v>
      </c>
      <c r="T127" s="37">
        <v>50</v>
      </c>
      <c r="U127" s="37">
        <v>60</v>
      </c>
      <c r="V127" s="109"/>
      <c r="W127" s="109">
        <v>180</v>
      </c>
      <c r="X127" s="94">
        <v>5100</v>
      </c>
      <c r="Y127" s="94">
        <v>8300</v>
      </c>
      <c r="Z127" s="94">
        <v>13300</v>
      </c>
      <c r="AA127" s="94">
        <v>20000</v>
      </c>
      <c r="AB127" s="94">
        <v>28900</v>
      </c>
      <c r="AC127" s="94">
        <v>42500</v>
      </c>
      <c r="AD127" s="94">
        <v>63000</v>
      </c>
      <c r="AE127" s="94">
        <v>93500</v>
      </c>
      <c r="AF127" s="94">
        <v>138500</v>
      </c>
      <c r="AG127" s="94">
        <v>200000</v>
      </c>
      <c r="AH127" s="94">
        <v>255000</v>
      </c>
      <c r="AI127" s="94">
        <v>294000</v>
      </c>
      <c r="AJ127" s="94"/>
      <c r="AK127" s="32"/>
      <c r="AL127" s="113"/>
      <c r="AM127" s="95">
        <v>22500</v>
      </c>
      <c r="AN127" s="95">
        <v>8</v>
      </c>
      <c r="AO127" s="96">
        <v>45000</v>
      </c>
      <c r="AP127" s="96">
        <v>5</v>
      </c>
      <c r="AQ127" s="97">
        <v>135000</v>
      </c>
      <c r="AR127" s="134">
        <v>2</v>
      </c>
      <c r="AS127" s="135"/>
      <c r="AT127" s="135"/>
      <c r="AU127" s="113">
        <v>2700000</v>
      </c>
      <c r="AV127" s="113"/>
      <c r="AW127" s="113">
        <v>327</v>
      </c>
      <c r="AX127" s="113">
        <v>345</v>
      </c>
      <c r="AY127" s="113">
        <v>442</v>
      </c>
      <c r="AZ127" s="113"/>
      <c r="BA127" s="113" t="s">
        <v>640</v>
      </c>
      <c r="BB127" s="32"/>
      <c r="BC127" s="32"/>
      <c r="BD127" s="32"/>
      <c r="BE127" s="32"/>
      <c r="BF127" s="32"/>
      <c r="BG127" s="32"/>
      <c r="BH127" s="32"/>
      <c r="BI127" s="32"/>
      <c r="BJ127" s="32"/>
      <c r="BK127" s="32"/>
      <c r="BL127" s="32"/>
      <c r="BM127" s="32">
        <v>1</v>
      </c>
      <c r="BN127" s="32"/>
      <c r="BO127" s="32">
        <v>1</v>
      </c>
      <c r="BP127" s="32">
        <v>1</v>
      </c>
      <c r="BQ127" s="32"/>
      <c r="BR127" s="32"/>
      <c r="BS127" s="32"/>
      <c r="BT127" s="32"/>
      <c r="BU127" s="32"/>
      <c r="BV127" s="81" t="s">
        <v>594</v>
      </c>
      <c r="BW127" s="113"/>
      <c r="BX127" s="113"/>
      <c r="BY127" s="113">
        <v>1</v>
      </c>
      <c r="BZ127" s="113">
        <v>14</v>
      </c>
      <c r="CA127" s="113"/>
      <c r="CB127" s="113"/>
      <c r="CC127" s="113"/>
      <c r="CD127" s="32"/>
      <c r="CE127" s="73"/>
      <c r="CF127" s="73"/>
      <c r="CG127" s="73"/>
      <c r="CH127" s="73"/>
      <c r="CI127" s="73"/>
      <c r="CJ127" s="73"/>
      <c r="CK127" s="73"/>
      <c r="CL127" s="32"/>
      <c r="CM127" s="32"/>
      <c r="CN127" s="32"/>
    </row>
    <row r="128" spans="1:92" ht="21" customHeight="1">
      <c r="A128" s="109">
        <v>126</v>
      </c>
      <c r="B128" s="33" t="s">
        <v>1195</v>
      </c>
      <c r="C128" s="34" t="s">
        <v>919</v>
      </c>
      <c r="D128" s="33" t="s">
        <v>74</v>
      </c>
      <c r="E128" s="34" t="s">
        <v>918</v>
      </c>
      <c r="F128" s="34" t="s">
        <v>131</v>
      </c>
      <c r="G128" s="26" t="s">
        <v>173</v>
      </c>
      <c r="H128" s="35" t="s">
        <v>937</v>
      </c>
      <c r="I128" s="13">
        <v>3627</v>
      </c>
      <c r="J128" s="38">
        <v>3627</v>
      </c>
      <c r="K128" s="130">
        <v>373.5</v>
      </c>
      <c r="L128" s="131">
        <v>76.72</v>
      </c>
      <c r="M128" s="131">
        <v>52.63</v>
      </c>
      <c r="N128" s="131">
        <v>55.45</v>
      </c>
      <c r="O128" s="75">
        <v>5.15</v>
      </c>
      <c r="P128" s="42" t="s">
        <v>420</v>
      </c>
      <c r="Q128" s="16" t="s">
        <v>270</v>
      </c>
      <c r="R128" s="16">
        <v>35</v>
      </c>
      <c r="S128" s="16">
        <v>38</v>
      </c>
      <c r="T128" s="16">
        <v>42</v>
      </c>
      <c r="U128" s="16">
        <v>48</v>
      </c>
      <c r="V128" s="16">
        <v>52</v>
      </c>
      <c r="W128" s="28">
        <v>215</v>
      </c>
      <c r="X128" s="94">
        <v>20100</v>
      </c>
      <c r="Y128" s="94">
        <v>25100</v>
      </c>
      <c r="Z128" s="94">
        <v>35100</v>
      </c>
      <c r="AA128" s="94">
        <v>50200</v>
      </c>
      <c r="AB128" s="94">
        <v>70300</v>
      </c>
      <c r="AC128" s="94">
        <v>95500</v>
      </c>
      <c r="AD128" s="96">
        <v>130000</v>
      </c>
      <c r="AE128" s="96">
        <v>170000</v>
      </c>
      <c r="AF128" s="94">
        <v>221000</v>
      </c>
      <c r="AG128" s="94">
        <v>266000</v>
      </c>
      <c r="AH128" s="105">
        <v>291000</v>
      </c>
      <c r="AI128" s="105">
        <v>311000</v>
      </c>
      <c r="AJ128" s="94"/>
      <c r="AK128" s="32"/>
      <c r="AL128" s="113">
        <v>6741200</v>
      </c>
      <c r="AM128" s="95">
        <v>45000</v>
      </c>
      <c r="AN128" s="95">
        <v>8</v>
      </c>
      <c r="AO128" s="96">
        <v>90000</v>
      </c>
      <c r="AP128" s="96">
        <v>5</v>
      </c>
      <c r="AQ128" s="97">
        <v>270000</v>
      </c>
      <c r="AR128" s="134">
        <v>3</v>
      </c>
      <c r="AS128" s="135"/>
      <c r="AT128" s="135"/>
      <c r="AU128" s="32">
        <v>6480000</v>
      </c>
      <c r="AV128" s="32">
        <v>13221200</v>
      </c>
      <c r="AW128" s="32">
        <v>388</v>
      </c>
      <c r="AX128" s="32"/>
      <c r="AY128" s="32">
        <v>519</v>
      </c>
      <c r="AZ128" s="32"/>
      <c r="BA128" s="113" t="s">
        <v>640</v>
      </c>
      <c r="BB128" s="32"/>
      <c r="BC128" s="32"/>
      <c r="BD128" s="32"/>
      <c r="BE128" s="32"/>
      <c r="BF128" s="32"/>
      <c r="BG128" s="32"/>
      <c r="BH128" s="32"/>
      <c r="BI128" s="32"/>
      <c r="BJ128" s="32"/>
      <c r="BK128" s="32"/>
      <c r="BL128" s="32"/>
      <c r="BM128" s="32">
        <v>1</v>
      </c>
      <c r="BN128" s="32"/>
      <c r="BO128" s="32">
        <v>1</v>
      </c>
      <c r="BP128" s="32">
        <v>1</v>
      </c>
      <c r="BQ128" s="32" t="s">
        <v>800</v>
      </c>
      <c r="BR128" s="32"/>
      <c r="BS128" s="32"/>
      <c r="BT128" s="32"/>
      <c r="BU128" s="32"/>
      <c r="BV128" s="81" t="s">
        <v>894</v>
      </c>
      <c r="BW128" s="32"/>
      <c r="BX128" s="32"/>
      <c r="BY128" s="113">
        <v>1</v>
      </c>
      <c r="BZ128" s="113">
        <v>8</v>
      </c>
      <c r="CA128" s="113"/>
      <c r="CB128" s="32"/>
      <c r="CC128" s="32"/>
      <c r="CD128" s="32"/>
      <c r="CE128" s="32"/>
      <c r="CF128" s="32"/>
      <c r="CG128" s="32"/>
      <c r="CH128" s="32"/>
      <c r="CI128" s="32"/>
      <c r="CJ128" s="32"/>
      <c r="CK128" s="32"/>
      <c r="CL128" s="32"/>
      <c r="CM128" s="32"/>
      <c r="CN128" s="32"/>
    </row>
    <row r="129" spans="1:92" ht="21" customHeight="1">
      <c r="A129" s="109">
        <v>127</v>
      </c>
      <c r="B129" s="110" t="s">
        <v>1418</v>
      </c>
      <c r="C129" s="111" t="s">
        <v>1419</v>
      </c>
      <c r="D129" s="110" t="s">
        <v>1229</v>
      </c>
      <c r="E129" s="111" t="s">
        <v>1420</v>
      </c>
      <c r="F129" s="34" t="s">
        <v>131</v>
      </c>
      <c r="G129" s="24" t="s">
        <v>164</v>
      </c>
      <c r="H129" s="112" t="s">
        <v>1393</v>
      </c>
      <c r="I129" s="13"/>
      <c r="J129" s="38">
        <v>3647</v>
      </c>
      <c r="K129" s="130">
        <v>327.7</v>
      </c>
      <c r="L129" s="131">
        <v>82.76</v>
      </c>
      <c r="M129" s="131">
        <v>80.66</v>
      </c>
      <c r="N129" s="131">
        <v>70.400000000000006</v>
      </c>
      <c r="O129" s="39"/>
      <c r="P129" s="42" t="s">
        <v>420</v>
      </c>
      <c r="Q129" s="16">
        <v>45</v>
      </c>
      <c r="R129" s="37">
        <v>17</v>
      </c>
      <c r="S129" s="37">
        <v>23</v>
      </c>
      <c r="T129" s="37">
        <v>32</v>
      </c>
      <c r="U129" s="37">
        <v>45</v>
      </c>
      <c r="V129" s="37"/>
      <c r="W129" s="28">
        <v>162</v>
      </c>
      <c r="X129" s="94">
        <v>16000</v>
      </c>
      <c r="Y129" s="94">
        <v>25000</v>
      </c>
      <c r="Z129" s="94">
        <v>35000</v>
      </c>
      <c r="AA129" s="105">
        <v>50000</v>
      </c>
      <c r="AB129" s="105">
        <v>84000</v>
      </c>
      <c r="AC129" s="105">
        <v>117000</v>
      </c>
      <c r="AD129" s="105">
        <v>166000</v>
      </c>
      <c r="AE129" s="105">
        <v>225000</v>
      </c>
      <c r="AF129" s="105">
        <v>263000</v>
      </c>
      <c r="AG129" s="105">
        <v>293000</v>
      </c>
      <c r="AH129" s="105">
        <v>302000</v>
      </c>
      <c r="AI129" s="105">
        <v>312000</v>
      </c>
      <c r="AJ129" s="94"/>
      <c r="AK129" s="32"/>
      <c r="AL129" s="113">
        <v>7552000</v>
      </c>
      <c r="AM129" s="95">
        <v>30000</v>
      </c>
      <c r="AN129" s="95">
        <v>8</v>
      </c>
      <c r="AO129" s="96">
        <v>60000</v>
      </c>
      <c r="AP129" s="96">
        <v>5</v>
      </c>
      <c r="AQ129" s="97">
        <v>180000</v>
      </c>
      <c r="AR129" s="134">
        <v>2</v>
      </c>
      <c r="AS129" s="135"/>
      <c r="AT129" s="135"/>
      <c r="AU129" s="32">
        <v>3600000</v>
      </c>
      <c r="AV129" s="32">
        <v>11152000</v>
      </c>
      <c r="AW129" s="113">
        <v>343</v>
      </c>
      <c r="AX129" s="113"/>
      <c r="AY129" s="113">
        <v>443</v>
      </c>
      <c r="AZ129" s="113"/>
      <c r="BA129" s="82" t="s">
        <v>1463</v>
      </c>
      <c r="BB129" s="32"/>
      <c r="BC129" s="32"/>
      <c r="BD129" s="32"/>
      <c r="BE129" s="32"/>
      <c r="BF129" s="32"/>
      <c r="BG129" s="32"/>
      <c r="BH129" s="32"/>
      <c r="BI129" s="32"/>
      <c r="BJ129" s="32"/>
      <c r="BK129" s="32"/>
      <c r="BL129" s="32"/>
      <c r="BM129" s="32"/>
      <c r="BN129" s="32"/>
      <c r="BO129" s="32"/>
      <c r="BP129" s="32"/>
      <c r="BQ129" s="32"/>
      <c r="BR129" s="32"/>
      <c r="BS129" s="32"/>
      <c r="BT129" s="32"/>
      <c r="BU129" s="32"/>
      <c r="BV129" s="113" t="s">
        <v>1421</v>
      </c>
      <c r="BW129" s="113"/>
      <c r="BX129" s="113"/>
      <c r="BY129" s="113"/>
      <c r="BZ129" s="113"/>
      <c r="CA129" s="113"/>
      <c r="CB129" s="113"/>
      <c r="CC129" s="113"/>
      <c r="CD129" s="32"/>
      <c r="CE129" s="32"/>
      <c r="CF129" s="32"/>
      <c r="CG129" s="32"/>
      <c r="CH129" s="32"/>
      <c r="CI129" s="32"/>
      <c r="CJ129" s="32"/>
      <c r="CK129" s="32"/>
      <c r="CL129" s="32"/>
      <c r="CM129" s="32"/>
      <c r="CN129" s="32"/>
    </row>
    <row r="130" spans="1:92" ht="21" customHeight="1">
      <c r="A130" s="109">
        <v>128</v>
      </c>
      <c r="B130" s="110" t="s">
        <v>1196</v>
      </c>
      <c r="C130" s="111" t="s">
        <v>888</v>
      </c>
      <c r="D130" s="110" t="s">
        <v>182</v>
      </c>
      <c r="E130" s="111" t="s">
        <v>887</v>
      </c>
      <c r="F130" s="111" t="s">
        <v>131</v>
      </c>
      <c r="G130" s="24" t="s">
        <v>164</v>
      </c>
      <c r="H130" s="112" t="s">
        <v>926</v>
      </c>
      <c r="I130" s="13">
        <v>3821</v>
      </c>
      <c r="J130" s="38">
        <v>3651</v>
      </c>
      <c r="K130" s="130">
        <v>349.5</v>
      </c>
      <c r="L130" s="131">
        <v>80.5</v>
      </c>
      <c r="M130" s="131">
        <v>70.61</v>
      </c>
      <c r="N130" s="131">
        <v>62.26</v>
      </c>
      <c r="O130" s="39"/>
      <c r="P130" s="42" t="s">
        <v>420</v>
      </c>
      <c r="Q130" s="16">
        <v>40</v>
      </c>
      <c r="R130" s="37">
        <v>30</v>
      </c>
      <c r="S130" s="37">
        <v>36</v>
      </c>
      <c r="T130" s="37">
        <v>40</v>
      </c>
      <c r="U130" s="37">
        <v>43</v>
      </c>
      <c r="V130" s="37"/>
      <c r="W130" s="109">
        <v>189</v>
      </c>
      <c r="X130" s="96">
        <v>6550</v>
      </c>
      <c r="Y130" s="96">
        <v>10600</v>
      </c>
      <c r="Z130" s="96">
        <v>17000</v>
      </c>
      <c r="AA130" s="94">
        <v>25600</v>
      </c>
      <c r="AB130" s="94">
        <v>36900</v>
      </c>
      <c r="AC130" s="94">
        <v>54500</v>
      </c>
      <c r="AD130" s="94">
        <v>81000</v>
      </c>
      <c r="AE130" s="94">
        <v>119500</v>
      </c>
      <c r="AF130" s="94">
        <v>177000</v>
      </c>
      <c r="AG130" s="94">
        <v>256000</v>
      </c>
      <c r="AH130" s="94">
        <v>327000</v>
      </c>
      <c r="AI130" s="94">
        <v>376000</v>
      </c>
      <c r="AJ130" s="94"/>
      <c r="AK130" s="32"/>
      <c r="AL130" s="113">
        <v>5950600</v>
      </c>
      <c r="AM130" s="95">
        <v>25000</v>
      </c>
      <c r="AN130" s="95">
        <v>8</v>
      </c>
      <c r="AO130" s="96">
        <v>50000</v>
      </c>
      <c r="AP130" s="96">
        <v>5</v>
      </c>
      <c r="AQ130" s="97">
        <v>150000</v>
      </c>
      <c r="AR130" s="134">
        <v>2</v>
      </c>
      <c r="AS130" s="135"/>
      <c r="AT130" s="135"/>
      <c r="AU130" s="113">
        <v>3000000</v>
      </c>
      <c r="AV130" s="32">
        <v>8950600</v>
      </c>
      <c r="AW130" s="113">
        <v>363</v>
      </c>
      <c r="AX130" s="113"/>
      <c r="AY130" s="113">
        <v>477</v>
      </c>
      <c r="AZ130" s="113"/>
      <c r="BA130" s="82" t="s">
        <v>605</v>
      </c>
      <c r="BB130" s="32"/>
      <c r="BC130" s="32"/>
      <c r="BD130" s="32"/>
      <c r="BE130" s="32"/>
      <c r="BF130" s="32"/>
      <c r="BG130" s="32"/>
      <c r="BH130" s="32">
        <v>1</v>
      </c>
      <c r="BI130" s="32"/>
      <c r="BJ130" s="32"/>
      <c r="BK130" s="32"/>
      <c r="BL130" s="32"/>
      <c r="BM130" s="32"/>
      <c r="BN130" s="32"/>
      <c r="BO130" s="32"/>
      <c r="BP130" s="32"/>
      <c r="BQ130" s="32"/>
      <c r="BR130" s="32"/>
      <c r="BS130" s="32"/>
      <c r="BT130" s="32"/>
      <c r="BU130" s="32"/>
      <c r="BV130" s="113" t="s">
        <v>755</v>
      </c>
      <c r="BW130" s="113"/>
      <c r="BX130" s="113"/>
      <c r="BY130" s="113">
        <v>1</v>
      </c>
      <c r="BZ130" s="113">
        <v>7</v>
      </c>
      <c r="CA130" s="113"/>
      <c r="CB130" s="113"/>
      <c r="CC130" s="113"/>
      <c r="CD130" s="32"/>
      <c r="CE130" s="32"/>
      <c r="CF130" s="32"/>
      <c r="CG130" s="32"/>
      <c r="CH130" s="32"/>
      <c r="CI130" s="32"/>
      <c r="CJ130" s="32"/>
      <c r="CK130" s="32"/>
      <c r="CL130" s="77"/>
      <c r="CM130" s="32"/>
      <c r="CN130" s="32"/>
    </row>
    <row r="131" spans="1:92" ht="21" customHeight="1">
      <c r="A131" s="109">
        <v>129</v>
      </c>
      <c r="B131" s="110" t="s">
        <v>1197</v>
      </c>
      <c r="C131" s="111" t="s">
        <v>1198</v>
      </c>
      <c r="D131" s="110" t="s">
        <v>68</v>
      </c>
      <c r="E131" s="111" t="s">
        <v>1020</v>
      </c>
      <c r="F131" s="111" t="s">
        <v>131</v>
      </c>
      <c r="G131" s="24" t="s">
        <v>164</v>
      </c>
      <c r="H131" s="112" t="s">
        <v>1016</v>
      </c>
      <c r="I131" s="13">
        <v>3134</v>
      </c>
      <c r="J131" s="38">
        <v>3665</v>
      </c>
      <c r="K131" s="130">
        <v>346.9</v>
      </c>
      <c r="L131" s="131">
        <v>79.569999999999993</v>
      </c>
      <c r="M131" s="131">
        <v>69.5</v>
      </c>
      <c r="N131" s="131">
        <v>65.650000000000006</v>
      </c>
      <c r="O131" s="39"/>
      <c r="P131" s="42" t="s">
        <v>420</v>
      </c>
      <c r="Q131" s="16">
        <v>40</v>
      </c>
      <c r="R131" s="37">
        <v>42</v>
      </c>
      <c r="S131" s="75">
        <v>42</v>
      </c>
      <c r="T131" s="75">
        <v>45</v>
      </c>
      <c r="U131" s="75">
        <v>46</v>
      </c>
      <c r="V131" s="37"/>
      <c r="W131" s="109">
        <v>215</v>
      </c>
      <c r="X131" s="94">
        <v>16000</v>
      </c>
      <c r="Y131" s="94">
        <v>25000</v>
      </c>
      <c r="Z131" s="94">
        <v>35000</v>
      </c>
      <c r="AA131" s="94">
        <v>50000</v>
      </c>
      <c r="AB131" s="94">
        <v>84000</v>
      </c>
      <c r="AC131" s="94">
        <v>117000</v>
      </c>
      <c r="AD131" s="94">
        <v>166000</v>
      </c>
      <c r="AE131" s="94">
        <v>225000</v>
      </c>
      <c r="AF131" s="105">
        <v>263000</v>
      </c>
      <c r="AG131" s="105">
        <v>293000</v>
      </c>
      <c r="AH131" s="94">
        <v>302000</v>
      </c>
      <c r="AI131" s="94">
        <v>312000</v>
      </c>
      <c r="AJ131" s="94"/>
      <c r="AK131" s="32"/>
      <c r="AL131" s="113">
        <v>7552000</v>
      </c>
      <c r="AM131" s="95">
        <v>40000</v>
      </c>
      <c r="AN131" s="95">
        <v>8</v>
      </c>
      <c r="AO131" s="96">
        <v>80000</v>
      </c>
      <c r="AP131" s="96">
        <v>5</v>
      </c>
      <c r="AQ131" s="97">
        <v>240000</v>
      </c>
      <c r="AR131" s="134">
        <v>2</v>
      </c>
      <c r="AS131" s="135"/>
      <c r="AT131" s="135"/>
      <c r="AU131" s="113">
        <v>4800000</v>
      </c>
      <c r="AV131" s="32">
        <v>12352000</v>
      </c>
      <c r="AW131" s="113"/>
      <c r="AX131" s="113"/>
      <c r="AY131" s="113"/>
      <c r="AZ131" s="113"/>
      <c r="BA131" s="82" t="s">
        <v>605</v>
      </c>
      <c r="BB131" s="32"/>
      <c r="BC131" s="32"/>
      <c r="BD131" s="32"/>
      <c r="BE131" s="32"/>
      <c r="BF131" s="32"/>
      <c r="BG131" s="32"/>
      <c r="BH131" s="32">
        <v>1</v>
      </c>
      <c r="BI131" s="32"/>
      <c r="BJ131" s="32"/>
      <c r="BK131" s="32"/>
      <c r="BL131" s="32"/>
      <c r="BM131" s="32"/>
      <c r="BN131" s="32"/>
      <c r="BO131" s="32"/>
      <c r="BP131" s="32"/>
      <c r="BQ131" s="32"/>
      <c r="BR131" s="32"/>
      <c r="BS131" s="32"/>
      <c r="BT131" s="32"/>
      <c r="BU131" s="32"/>
      <c r="BV131" s="113" t="s">
        <v>744</v>
      </c>
      <c r="BW131" s="113"/>
      <c r="BX131" s="113"/>
      <c r="BY131" s="113">
        <v>1</v>
      </c>
      <c r="BZ131" s="113">
        <v>7</v>
      </c>
      <c r="CA131" s="113"/>
      <c r="CB131" s="113"/>
      <c r="CC131" s="113"/>
      <c r="CD131" s="32"/>
      <c r="CE131" s="32"/>
      <c r="CF131" s="32"/>
      <c r="CG131" s="32"/>
      <c r="CH131" s="32"/>
      <c r="CI131" s="32"/>
      <c r="CJ131" s="32"/>
      <c r="CK131" s="32"/>
      <c r="CL131" s="77"/>
      <c r="CM131" s="32"/>
      <c r="CN131" s="32"/>
    </row>
    <row r="132" spans="1:92" ht="21" customHeight="1">
      <c r="A132" s="109">
        <v>130</v>
      </c>
      <c r="B132" s="110" t="s">
        <v>1199</v>
      </c>
      <c r="C132" s="111" t="s">
        <v>869</v>
      </c>
      <c r="D132" s="110" t="s">
        <v>141</v>
      </c>
      <c r="E132" s="111" t="s">
        <v>868</v>
      </c>
      <c r="F132" s="111" t="s">
        <v>131</v>
      </c>
      <c r="G132" s="24" t="s">
        <v>164</v>
      </c>
      <c r="H132" s="112" t="s">
        <v>932</v>
      </c>
      <c r="I132" s="13">
        <v>3690</v>
      </c>
      <c r="J132" s="38">
        <v>3688</v>
      </c>
      <c r="K132" s="130">
        <v>346.7</v>
      </c>
      <c r="L132" s="131">
        <v>73.39</v>
      </c>
      <c r="M132" s="131">
        <v>56.22</v>
      </c>
      <c r="N132" s="131">
        <v>60.53</v>
      </c>
      <c r="O132" s="39"/>
      <c r="P132" s="42" t="s">
        <v>420</v>
      </c>
      <c r="Q132" s="37" t="s">
        <v>270</v>
      </c>
      <c r="R132" s="37">
        <v>35</v>
      </c>
      <c r="S132" s="37">
        <v>40</v>
      </c>
      <c r="T132" s="37">
        <v>52</v>
      </c>
      <c r="U132" s="37">
        <v>70</v>
      </c>
      <c r="V132" s="109"/>
      <c r="W132" s="109">
        <v>197</v>
      </c>
      <c r="X132" s="96">
        <v>6550</v>
      </c>
      <c r="Y132" s="96">
        <v>10600</v>
      </c>
      <c r="Z132" s="96">
        <v>17000</v>
      </c>
      <c r="AA132" s="96">
        <v>25600</v>
      </c>
      <c r="AB132" s="96">
        <v>36900</v>
      </c>
      <c r="AC132" s="96">
        <v>54500</v>
      </c>
      <c r="AD132" s="96">
        <v>81000</v>
      </c>
      <c r="AE132" s="96">
        <v>119500</v>
      </c>
      <c r="AF132" s="96">
        <v>177000</v>
      </c>
      <c r="AG132" s="96">
        <v>256000</v>
      </c>
      <c r="AH132" s="96">
        <v>327000</v>
      </c>
      <c r="AI132" s="96">
        <v>376000</v>
      </c>
      <c r="AJ132" s="94"/>
      <c r="AK132" s="32"/>
      <c r="AL132" s="113">
        <v>5950600</v>
      </c>
      <c r="AM132" s="95">
        <v>32500</v>
      </c>
      <c r="AN132" s="95">
        <v>8</v>
      </c>
      <c r="AO132" s="96">
        <v>65000</v>
      </c>
      <c r="AP132" s="96">
        <v>5</v>
      </c>
      <c r="AQ132" s="97">
        <v>195000</v>
      </c>
      <c r="AR132" s="134">
        <v>2</v>
      </c>
      <c r="AS132" s="135"/>
      <c r="AT132" s="135"/>
      <c r="AU132" s="32">
        <v>3900000</v>
      </c>
      <c r="AV132" s="32">
        <v>9850600</v>
      </c>
      <c r="AW132" s="113">
        <v>361</v>
      </c>
      <c r="AX132" s="113"/>
      <c r="AY132" s="113">
        <v>474</v>
      </c>
      <c r="AZ132" s="113"/>
      <c r="BA132" s="82" t="s">
        <v>640</v>
      </c>
      <c r="BB132" s="32"/>
      <c r="BC132" s="32"/>
      <c r="BD132" s="32"/>
      <c r="BE132" s="32"/>
      <c r="BF132" s="32"/>
      <c r="BG132" s="32"/>
      <c r="BH132" s="32"/>
      <c r="BI132" s="32"/>
      <c r="BJ132" s="32"/>
      <c r="BK132" s="32"/>
      <c r="BL132" s="32"/>
      <c r="BM132" s="32">
        <v>1</v>
      </c>
      <c r="BN132" s="32"/>
      <c r="BO132" s="32">
        <v>1</v>
      </c>
      <c r="BP132" s="32">
        <v>1</v>
      </c>
      <c r="BQ132" s="32"/>
      <c r="BR132" s="32"/>
      <c r="BS132" s="32"/>
      <c r="BT132" s="32"/>
      <c r="BU132" s="32"/>
      <c r="BV132" s="81" t="s">
        <v>802</v>
      </c>
      <c r="BW132" s="113"/>
      <c r="BX132" s="113"/>
      <c r="BY132" s="113">
        <v>1</v>
      </c>
      <c r="BZ132" s="113">
        <v>7</v>
      </c>
      <c r="CA132" s="113"/>
      <c r="CB132" s="113"/>
      <c r="CC132" s="113"/>
      <c r="CD132" s="32"/>
      <c r="CE132" s="32"/>
      <c r="CF132" s="32"/>
      <c r="CG132" s="32"/>
      <c r="CH132" s="32"/>
      <c r="CI132" s="32"/>
      <c r="CJ132" s="32"/>
      <c r="CK132" s="32"/>
      <c r="CL132" s="77"/>
      <c r="CM132" s="32"/>
      <c r="CN132" s="32"/>
    </row>
    <row r="133" spans="1:92" ht="21" customHeight="1">
      <c r="A133" s="109">
        <v>131</v>
      </c>
      <c r="B133" s="110" t="s">
        <v>1200</v>
      </c>
      <c r="C133" s="111" t="s">
        <v>886</v>
      </c>
      <c r="D133" s="110" t="s">
        <v>538</v>
      </c>
      <c r="E133" s="111" t="s">
        <v>885</v>
      </c>
      <c r="F133" s="111" t="s">
        <v>131</v>
      </c>
      <c r="G133" s="24" t="s">
        <v>164</v>
      </c>
      <c r="H133" s="112" t="s">
        <v>926</v>
      </c>
      <c r="I133" s="13">
        <v>3946</v>
      </c>
      <c r="J133" s="38">
        <v>3766</v>
      </c>
      <c r="K133" s="130">
        <v>348.4</v>
      </c>
      <c r="L133" s="131">
        <v>74.11</v>
      </c>
      <c r="M133" s="131">
        <v>66.05</v>
      </c>
      <c r="N133" s="131">
        <v>58.11</v>
      </c>
      <c r="O133" s="39"/>
      <c r="P133" s="42" t="s">
        <v>420</v>
      </c>
      <c r="Q133" s="37" t="s">
        <v>270</v>
      </c>
      <c r="R133" s="37">
        <v>35</v>
      </c>
      <c r="S133" s="37">
        <v>40</v>
      </c>
      <c r="T133" s="37">
        <v>52</v>
      </c>
      <c r="U133" s="37">
        <v>70</v>
      </c>
      <c r="V133" s="109"/>
      <c r="W133" s="109">
        <v>197</v>
      </c>
      <c r="X133" s="94">
        <v>6550</v>
      </c>
      <c r="Y133" s="94">
        <v>10600</v>
      </c>
      <c r="Z133" s="94">
        <v>17000</v>
      </c>
      <c r="AA133" s="94">
        <v>25600</v>
      </c>
      <c r="AB133" s="94">
        <v>36900</v>
      </c>
      <c r="AC133" s="94">
        <v>54500</v>
      </c>
      <c r="AD133" s="96">
        <v>81000</v>
      </c>
      <c r="AE133" s="96">
        <v>119500</v>
      </c>
      <c r="AF133" s="94">
        <v>177000</v>
      </c>
      <c r="AG133" s="94">
        <v>256000</v>
      </c>
      <c r="AH133" s="96">
        <v>327000</v>
      </c>
      <c r="AI133" s="96">
        <v>376000</v>
      </c>
      <c r="AJ133" s="94"/>
      <c r="AK133" s="32"/>
      <c r="AL133" s="113">
        <v>5950600</v>
      </c>
      <c r="AM133" s="95">
        <v>25000</v>
      </c>
      <c r="AN133" s="95">
        <v>8</v>
      </c>
      <c r="AO133" s="96">
        <v>50000</v>
      </c>
      <c r="AP133" s="96">
        <v>5</v>
      </c>
      <c r="AQ133" s="97">
        <v>150000</v>
      </c>
      <c r="AR133" s="134">
        <v>2</v>
      </c>
      <c r="AS133" s="135"/>
      <c r="AT133" s="135"/>
      <c r="AU133" s="113">
        <v>3000000</v>
      </c>
      <c r="AV133" s="32">
        <v>8950600</v>
      </c>
      <c r="AW133" s="113">
        <v>362</v>
      </c>
      <c r="AX133" s="113"/>
      <c r="AY133" s="113">
        <v>475</v>
      </c>
      <c r="AZ133" s="113"/>
      <c r="BA133" s="82" t="s">
        <v>640</v>
      </c>
      <c r="BB133" s="32"/>
      <c r="BC133" s="32"/>
      <c r="BD133" s="32"/>
      <c r="BE133" s="32"/>
      <c r="BF133" s="32"/>
      <c r="BG133" s="32"/>
      <c r="BH133" s="32"/>
      <c r="BI133" s="32"/>
      <c r="BJ133" s="32"/>
      <c r="BK133" s="32"/>
      <c r="BL133" s="32"/>
      <c r="BM133" s="32">
        <v>1</v>
      </c>
      <c r="BN133" s="32"/>
      <c r="BO133" s="32">
        <v>1</v>
      </c>
      <c r="BP133" s="32">
        <v>1</v>
      </c>
      <c r="BQ133" s="32"/>
      <c r="BR133" s="32"/>
      <c r="BS133" s="32"/>
      <c r="BT133" s="32"/>
      <c r="BU133" s="32"/>
      <c r="BV133" s="81" t="s">
        <v>267</v>
      </c>
      <c r="BW133" s="113"/>
      <c r="BX133" s="113"/>
      <c r="BY133" s="113">
        <v>1</v>
      </c>
      <c r="BZ133" s="113">
        <v>7</v>
      </c>
      <c r="CA133" s="113"/>
      <c r="CB133" s="113"/>
      <c r="CC133" s="113"/>
      <c r="CD133" s="32"/>
      <c r="CE133" s="32"/>
      <c r="CF133" s="32"/>
      <c r="CG133" s="32"/>
      <c r="CH133" s="32"/>
      <c r="CI133" s="32"/>
      <c r="CJ133" s="32"/>
      <c r="CK133" s="32"/>
      <c r="CL133" s="32"/>
      <c r="CM133" s="32"/>
      <c r="CN133" s="32"/>
    </row>
    <row r="134" spans="1:92" ht="21" customHeight="1">
      <c r="A134" s="109">
        <v>132</v>
      </c>
      <c r="B134" s="110" t="s">
        <v>1201</v>
      </c>
      <c r="C134" s="111" t="s">
        <v>842</v>
      </c>
      <c r="D134" s="110" t="s">
        <v>1129</v>
      </c>
      <c r="E134" s="111" t="s">
        <v>841</v>
      </c>
      <c r="F134" s="111" t="s">
        <v>131</v>
      </c>
      <c r="G134" s="24" t="s">
        <v>164</v>
      </c>
      <c r="H134" s="112" t="s">
        <v>900</v>
      </c>
      <c r="I134" s="13">
        <v>4022</v>
      </c>
      <c r="J134" s="14">
        <v>3771</v>
      </c>
      <c r="K134" s="126">
        <v>363.4</v>
      </c>
      <c r="L134" s="127">
        <v>79.319999999999993</v>
      </c>
      <c r="M134" s="127">
        <v>68.72</v>
      </c>
      <c r="N134" s="127">
        <v>56.56</v>
      </c>
      <c r="O134" s="39"/>
      <c r="P134" s="42" t="s">
        <v>420</v>
      </c>
      <c r="Q134" s="16">
        <v>40</v>
      </c>
      <c r="R134" s="16">
        <v>30</v>
      </c>
      <c r="S134" s="16">
        <v>36</v>
      </c>
      <c r="T134" s="16">
        <v>42</v>
      </c>
      <c r="U134" s="16">
        <v>52</v>
      </c>
      <c r="V134" s="37"/>
      <c r="W134" s="109">
        <v>200</v>
      </c>
      <c r="X134" s="96">
        <v>6550</v>
      </c>
      <c r="Y134" s="96">
        <v>10600</v>
      </c>
      <c r="Z134" s="94">
        <v>17000</v>
      </c>
      <c r="AA134" s="94">
        <v>25600</v>
      </c>
      <c r="AB134" s="94">
        <v>36900</v>
      </c>
      <c r="AC134" s="94">
        <v>54500</v>
      </c>
      <c r="AD134" s="94">
        <v>81000</v>
      </c>
      <c r="AE134" s="94">
        <v>119500</v>
      </c>
      <c r="AF134" s="96">
        <v>177000</v>
      </c>
      <c r="AG134" s="96">
        <v>256000</v>
      </c>
      <c r="AH134" s="96">
        <v>327000</v>
      </c>
      <c r="AI134" s="96">
        <v>376000</v>
      </c>
      <c r="AJ134" s="94"/>
      <c r="AK134" s="32"/>
      <c r="AL134" s="113">
        <v>5950600</v>
      </c>
      <c r="AM134" s="95">
        <v>25000</v>
      </c>
      <c r="AN134" s="95">
        <v>8</v>
      </c>
      <c r="AO134" s="96">
        <v>50000</v>
      </c>
      <c r="AP134" s="96">
        <v>5</v>
      </c>
      <c r="AQ134" s="97">
        <v>150000</v>
      </c>
      <c r="AR134" s="134">
        <v>2</v>
      </c>
      <c r="AS134" s="135"/>
      <c r="AT134" s="135"/>
      <c r="AU134" s="113">
        <v>3000000</v>
      </c>
      <c r="AV134" s="32">
        <v>8950600</v>
      </c>
      <c r="AW134" s="113">
        <v>378</v>
      </c>
      <c r="AX134" s="113"/>
      <c r="AY134" s="113">
        <v>501</v>
      </c>
      <c r="AZ134" s="113"/>
      <c r="BA134" s="82" t="s">
        <v>605</v>
      </c>
      <c r="BB134" s="32"/>
      <c r="BC134" s="32"/>
      <c r="BD134" s="32"/>
      <c r="BE134" s="32"/>
      <c r="BF134" s="32"/>
      <c r="BG134" s="32"/>
      <c r="BH134" s="32">
        <v>1</v>
      </c>
      <c r="BI134" s="32"/>
      <c r="BJ134" s="32"/>
      <c r="BK134" s="32"/>
      <c r="BL134" s="32"/>
      <c r="BM134" s="32"/>
      <c r="BN134" s="32"/>
      <c r="BO134" s="32"/>
      <c r="BP134" s="32"/>
      <c r="BQ134" s="117"/>
      <c r="BR134" s="32"/>
      <c r="BS134" s="32"/>
      <c r="BT134" s="32"/>
      <c r="BU134" s="32"/>
      <c r="BV134" s="113" t="s">
        <v>748</v>
      </c>
      <c r="BW134" s="113"/>
      <c r="BX134" s="113"/>
      <c r="BY134" s="113">
        <v>1</v>
      </c>
      <c r="BZ134" s="113">
        <v>7</v>
      </c>
      <c r="CA134" s="113"/>
      <c r="CB134" s="113"/>
      <c r="CC134" s="113"/>
      <c r="CD134" s="32"/>
      <c r="CE134" s="32"/>
      <c r="CF134" s="32"/>
      <c r="CG134" s="32"/>
      <c r="CH134" s="32"/>
      <c r="CI134" s="32"/>
      <c r="CJ134" s="32"/>
      <c r="CK134" s="32"/>
      <c r="CL134" s="32"/>
      <c r="CM134" s="32"/>
      <c r="CN134" s="32"/>
    </row>
    <row r="135" spans="1:92" ht="21" customHeight="1">
      <c r="A135" s="109">
        <v>133</v>
      </c>
      <c r="B135" s="110" t="s">
        <v>1202</v>
      </c>
      <c r="C135" s="111" t="s">
        <v>1053</v>
      </c>
      <c r="D135" s="110" t="s">
        <v>767</v>
      </c>
      <c r="E135" s="111" t="s">
        <v>1054</v>
      </c>
      <c r="F135" s="111" t="s">
        <v>131</v>
      </c>
      <c r="G135" s="26" t="s">
        <v>173</v>
      </c>
      <c r="H135" s="112" t="s">
        <v>1049</v>
      </c>
      <c r="I135" s="13"/>
      <c r="J135" s="38">
        <v>3772</v>
      </c>
      <c r="K135" s="130">
        <v>335.7</v>
      </c>
      <c r="L135" s="131">
        <v>81.63</v>
      </c>
      <c r="M135" s="131">
        <v>90.78</v>
      </c>
      <c r="N135" s="131">
        <v>75.84</v>
      </c>
      <c r="O135" s="39"/>
      <c r="P135" s="42" t="s">
        <v>420</v>
      </c>
      <c r="Q135" s="16" t="s">
        <v>270</v>
      </c>
      <c r="R135" s="37">
        <v>35</v>
      </c>
      <c r="S135" s="16">
        <v>38</v>
      </c>
      <c r="T135" s="16">
        <v>42</v>
      </c>
      <c r="U135" s="16">
        <v>48</v>
      </c>
      <c r="V135" s="16">
        <v>52</v>
      </c>
      <c r="W135" s="109"/>
      <c r="X135" s="94">
        <v>16000</v>
      </c>
      <c r="Y135" s="94">
        <v>25000</v>
      </c>
      <c r="Z135" s="94">
        <v>35000</v>
      </c>
      <c r="AA135" s="94">
        <v>50000</v>
      </c>
      <c r="AB135" s="94">
        <v>70000</v>
      </c>
      <c r="AC135" s="94">
        <v>95000</v>
      </c>
      <c r="AD135" s="98">
        <v>130000</v>
      </c>
      <c r="AE135" s="94">
        <v>170000</v>
      </c>
      <c r="AF135" s="94">
        <v>220000</v>
      </c>
      <c r="AG135" s="94">
        <v>266000</v>
      </c>
      <c r="AH135" s="94">
        <v>291000</v>
      </c>
      <c r="AI135" s="94">
        <v>311000</v>
      </c>
      <c r="AJ135" s="96">
        <v>322000</v>
      </c>
      <c r="AK135" s="32"/>
      <c r="AL135" s="113">
        <v>8004000</v>
      </c>
      <c r="AM135" s="95">
        <v>50000</v>
      </c>
      <c r="AN135" s="95">
        <v>8</v>
      </c>
      <c r="AO135" s="96">
        <v>100000</v>
      </c>
      <c r="AP135" s="96">
        <v>5</v>
      </c>
      <c r="AQ135" s="97">
        <v>300000</v>
      </c>
      <c r="AR135" s="134">
        <v>3</v>
      </c>
      <c r="AS135" s="135"/>
      <c r="AT135" s="135"/>
      <c r="AU135" s="113">
        <v>7200000</v>
      </c>
      <c r="AV135" s="32">
        <v>15204000</v>
      </c>
      <c r="AW135" s="113"/>
      <c r="AX135" s="113"/>
      <c r="AY135" s="113"/>
      <c r="AZ135" s="113"/>
      <c r="BA135" s="113" t="s">
        <v>640</v>
      </c>
      <c r="BB135" s="32"/>
      <c r="BC135" s="32"/>
      <c r="BD135" s="32"/>
      <c r="BE135" s="32"/>
      <c r="BF135" s="32"/>
      <c r="BG135" s="32"/>
      <c r="BH135" s="32"/>
      <c r="BI135" s="32"/>
      <c r="BJ135" s="32"/>
      <c r="BK135" s="32"/>
      <c r="BL135" s="32"/>
      <c r="BM135" s="32">
        <v>1</v>
      </c>
      <c r="BN135" s="32"/>
      <c r="BO135" s="32">
        <v>1</v>
      </c>
      <c r="BP135" s="32"/>
      <c r="BQ135" s="32"/>
      <c r="BR135" s="32"/>
      <c r="BS135" s="32"/>
      <c r="BT135" s="32"/>
      <c r="BU135" s="32"/>
      <c r="BV135" s="81" t="s">
        <v>753</v>
      </c>
      <c r="BW135" s="113"/>
      <c r="BX135" s="113"/>
      <c r="BY135" s="113"/>
      <c r="BZ135" s="113"/>
      <c r="CA135" s="113"/>
      <c r="CB135" s="113"/>
      <c r="CC135" s="113"/>
      <c r="CD135" s="32"/>
      <c r="CE135" s="32"/>
      <c r="CF135" s="32"/>
      <c r="CG135" s="32"/>
      <c r="CH135" s="32"/>
      <c r="CI135" s="32"/>
      <c r="CJ135" s="32"/>
      <c r="CK135" s="32"/>
      <c r="CL135" s="32"/>
      <c r="CM135" s="32"/>
      <c r="CN135" s="32"/>
    </row>
    <row r="136" spans="1:92" ht="21" customHeight="1">
      <c r="A136" s="109">
        <v>134</v>
      </c>
      <c r="B136" s="110" t="s">
        <v>283</v>
      </c>
      <c r="C136" s="111" t="s">
        <v>587</v>
      </c>
      <c r="D136" s="110" t="s">
        <v>1138</v>
      </c>
      <c r="E136" s="111" t="s">
        <v>355</v>
      </c>
      <c r="F136" s="111" t="s">
        <v>131</v>
      </c>
      <c r="G136" s="24" t="s">
        <v>164</v>
      </c>
      <c r="H136" s="112" t="s">
        <v>740</v>
      </c>
      <c r="I136" s="13">
        <v>3787</v>
      </c>
      <c r="J136" s="38">
        <v>3788</v>
      </c>
      <c r="K136" s="130">
        <v>327</v>
      </c>
      <c r="L136" s="131">
        <v>81.52</v>
      </c>
      <c r="M136" s="131">
        <v>60.15</v>
      </c>
      <c r="N136" s="131">
        <v>64.47</v>
      </c>
      <c r="O136" s="75">
        <v>7.1</v>
      </c>
      <c r="P136" s="42" t="s">
        <v>420</v>
      </c>
      <c r="Q136" s="16">
        <v>40</v>
      </c>
      <c r="R136" s="37">
        <v>30</v>
      </c>
      <c r="S136" s="37">
        <v>36</v>
      </c>
      <c r="T136" s="37">
        <v>40</v>
      </c>
      <c r="U136" s="37">
        <v>43</v>
      </c>
      <c r="V136" s="109"/>
      <c r="W136" s="109">
        <v>189</v>
      </c>
      <c r="X136" s="96">
        <v>6550</v>
      </c>
      <c r="Y136" s="96">
        <v>10600</v>
      </c>
      <c r="Z136" s="96">
        <v>17000</v>
      </c>
      <c r="AA136" s="96">
        <v>25600</v>
      </c>
      <c r="AB136" s="96">
        <v>36900</v>
      </c>
      <c r="AC136" s="96">
        <v>54500</v>
      </c>
      <c r="AD136" s="94">
        <v>81000</v>
      </c>
      <c r="AE136" s="94">
        <v>119500</v>
      </c>
      <c r="AF136" s="94">
        <v>177000</v>
      </c>
      <c r="AG136" s="94">
        <v>256000</v>
      </c>
      <c r="AH136" s="96">
        <v>327000</v>
      </c>
      <c r="AI136" s="96">
        <v>376000</v>
      </c>
      <c r="AJ136" s="94"/>
      <c r="AK136" s="32"/>
      <c r="AL136" s="113">
        <v>5950600</v>
      </c>
      <c r="AM136" s="95">
        <v>25000</v>
      </c>
      <c r="AN136" s="95">
        <v>8</v>
      </c>
      <c r="AO136" s="96">
        <v>50000</v>
      </c>
      <c r="AP136" s="96">
        <v>5</v>
      </c>
      <c r="AQ136" s="97">
        <v>150000</v>
      </c>
      <c r="AR136" s="134">
        <v>2</v>
      </c>
      <c r="AS136" s="135"/>
      <c r="AT136" s="135"/>
      <c r="AU136" s="113">
        <v>3000000</v>
      </c>
      <c r="AV136" s="32">
        <v>8950600</v>
      </c>
      <c r="AW136" s="113">
        <v>340</v>
      </c>
      <c r="AX136" s="113"/>
      <c r="AY136" s="113">
        <v>438</v>
      </c>
      <c r="AZ136" s="113"/>
      <c r="BA136" s="113" t="s">
        <v>605</v>
      </c>
      <c r="BB136" s="32"/>
      <c r="BC136" s="32"/>
      <c r="BD136" s="32"/>
      <c r="BE136" s="32"/>
      <c r="BF136" s="32"/>
      <c r="BG136" s="32"/>
      <c r="BH136" s="32">
        <v>1</v>
      </c>
      <c r="BI136" s="32"/>
      <c r="BJ136" s="32"/>
      <c r="BK136" s="32"/>
      <c r="BL136" s="32"/>
      <c r="BM136" s="32"/>
      <c r="BN136" s="32"/>
      <c r="BO136" s="32"/>
      <c r="BP136" s="32"/>
      <c r="BQ136" s="32"/>
      <c r="BR136" s="32"/>
      <c r="BS136" s="32"/>
      <c r="BT136" s="32"/>
      <c r="BU136" s="32"/>
      <c r="BV136" s="81" t="s">
        <v>1203</v>
      </c>
      <c r="BW136" s="113"/>
      <c r="BX136" s="113"/>
      <c r="BY136" s="113"/>
      <c r="BZ136" s="113"/>
      <c r="CA136" s="113"/>
      <c r="CB136" s="113"/>
      <c r="CC136" s="113"/>
      <c r="CD136" s="32"/>
      <c r="CE136" s="73"/>
      <c r="CF136" s="73"/>
      <c r="CG136" s="73"/>
      <c r="CH136" s="73"/>
      <c r="CI136" s="73"/>
      <c r="CJ136" s="73"/>
      <c r="CK136" s="73"/>
      <c r="CL136" s="32"/>
      <c r="CM136" s="32"/>
      <c r="CN136" s="32"/>
    </row>
    <row r="137" spans="1:92" ht="21" customHeight="1">
      <c r="A137" s="109">
        <v>135</v>
      </c>
      <c r="B137" s="110" t="s">
        <v>1204</v>
      </c>
      <c r="C137" s="111" t="s">
        <v>871</v>
      </c>
      <c r="D137" s="110" t="s">
        <v>141</v>
      </c>
      <c r="E137" s="111" t="s">
        <v>870</v>
      </c>
      <c r="F137" s="111" t="s">
        <v>131</v>
      </c>
      <c r="G137" s="24" t="s">
        <v>164</v>
      </c>
      <c r="H137" s="112" t="s">
        <v>932</v>
      </c>
      <c r="I137" s="13">
        <v>3871</v>
      </c>
      <c r="J137" s="38">
        <v>3869</v>
      </c>
      <c r="K137" s="130">
        <v>349.2</v>
      </c>
      <c r="L137" s="131">
        <v>74.97</v>
      </c>
      <c r="M137" s="131">
        <v>63.52</v>
      </c>
      <c r="N137" s="131">
        <v>58.83</v>
      </c>
      <c r="O137" s="39"/>
      <c r="P137" s="42" t="s">
        <v>420</v>
      </c>
      <c r="Q137" s="16">
        <v>40</v>
      </c>
      <c r="R137" s="37">
        <v>30</v>
      </c>
      <c r="S137" s="37">
        <v>36</v>
      </c>
      <c r="T137" s="16">
        <v>42</v>
      </c>
      <c r="U137" s="16">
        <v>52</v>
      </c>
      <c r="V137" s="109"/>
      <c r="W137" s="109">
        <v>200</v>
      </c>
      <c r="X137" s="94">
        <v>8300</v>
      </c>
      <c r="Y137" s="94">
        <v>13500</v>
      </c>
      <c r="Z137" s="94">
        <v>21600</v>
      </c>
      <c r="AA137" s="94">
        <v>32400</v>
      </c>
      <c r="AB137" s="94">
        <v>46800</v>
      </c>
      <c r="AC137" s="94">
        <v>69500</v>
      </c>
      <c r="AD137" s="96">
        <v>102500</v>
      </c>
      <c r="AE137" s="96">
        <v>152000</v>
      </c>
      <c r="AF137" s="94">
        <v>225000</v>
      </c>
      <c r="AG137" s="94">
        <v>324000</v>
      </c>
      <c r="AH137" s="105">
        <v>414000</v>
      </c>
      <c r="AI137" s="105">
        <v>477000</v>
      </c>
      <c r="AJ137" s="94"/>
      <c r="AK137" s="32"/>
      <c r="AL137" s="113">
        <v>7546400</v>
      </c>
      <c r="AM137" s="95">
        <v>45000</v>
      </c>
      <c r="AN137" s="95">
        <v>8</v>
      </c>
      <c r="AO137" s="96">
        <v>90000</v>
      </c>
      <c r="AP137" s="96">
        <v>5</v>
      </c>
      <c r="AQ137" s="97">
        <v>270000</v>
      </c>
      <c r="AR137" s="134">
        <v>2</v>
      </c>
      <c r="AS137" s="135"/>
      <c r="AT137" s="135"/>
      <c r="AU137" s="32">
        <v>5400000</v>
      </c>
      <c r="AV137" s="32">
        <v>12946400</v>
      </c>
      <c r="AW137" s="113">
        <v>363</v>
      </c>
      <c r="AX137" s="113"/>
      <c r="AY137" s="113">
        <v>477</v>
      </c>
      <c r="AZ137" s="113"/>
      <c r="BA137" s="82" t="s">
        <v>605</v>
      </c>
      <c r="BB137" s="32"/>
      <c r="BC137" s="32"/>
      <c r="BD137" s="32"/>
      <c r="BE137" s="32"/>
      <c r="BF137" s="32"/>
      <c r="BG137" s="32"/>
      <c r="BH137" s="32">
        <v>1</v>
      </c>
      <c r="BI137" s="32"/>
      <c r="BJ137" s="32"/>
      <c r="BK137" s="32"/>
      <c r="BL137" s="32"/>
      <c r="BM137" s="32"/>
      <c r="BN137" s="32"/>
      <c r="BO137" s="32"/>
      <c r="BP137" s="32"/>
      <c r="BQ137" s="32"/>
      <c r="BR137" s="32"/>
      <c r="BS137" s="32"/>
      <c r="BT137" s="32">
        <v>1</v>
      </c>
      <c r="BU137" s="32"/>
      <c r="BV137" s="81" t="s">
        <v>802</v>
      </c>
      <c r="BW137" s="113"/>
      <c r="BX137" s="113"/>
      <c r="BY137" s="113">
        <v>1</v>
      </c>
      <c r="BZ137" s="113">
        <v>7</v>
      </c>
      <c r="CA137" s="113"/>
      <c r="CB137" s="113"/>
      <c r="CC137" s="113"/>
      <c r="CD137" s="32"/>
      <c r="CE137" s="32"/>
      <c r="CF137" s="32"/>
      <c r="CG137" s="32"/>
      <c r="CH137" s="32"/>
      <c r="CI137" s="32"/>
      <c r="CJ137" s="32"/>
      <c r="CK137" s="32"/>
      <c r="CL137" s="32"/>
      <c r="CM137" s="32"/>
      <c r="CN137" s="32"/>
    </row>
    <row r="138" spans="1:92" ht="21" customHeight="1">
      <c r="A138" s="109">
        <v>136</v>
      </c>
      <c r="B138" s="110" t="s">
        <v>1578</v>
      </c>
      <c r="C138" s="111" t="s">
        <v>1579</v>
      </c>
      <c r="D138" s="110" t="s">
        <v>1229</v>
      </c>
      <c r="E138" s="111" t="s">
        <v>1580</v>
      </c>
      <c r="F138" s="111" t="s">
        <v>131</v>
      </c>
      <c r="G138" s="24" t="s">
        <v>164</v>
      </c>
      <c r="H138" s="112" t="s">
        <v>1567</v>
      </c>
      <c r="I138" s="13"/>
      <c r="J138" s="38">
        <v>3896</v>
      </c>
      <c r="K138" s="130">
        <v>333.5</v>
      </c>
      <c r="L138" s="131">
        <v>80.790000000000006</v>
      </c>
      <c r="M138" s="131">
        <v>82.01</v>
      </c>
      <c r="N138" s="131">
        <v>74.7</v>
      </c>
      <c r="O138" s="39"/>
      <c r="P138" s="42" t="s">
        <v>420</v>
      </c>
      <c r="Q138" s="37">
        <v>40</v>
      </c>
      <c r="R138" s="37">
        <v>42</v>
      </c>
      <c r="S138" s="37">
        <v>42</v>
      </c>
      <c r="T138" s="37">
        <v>45</v>
      </c>
      <c r="U138" s="37">
        <v>46</v>
      </c>
      <c r="V138" s="37"/>
      <c r="W138" s="109">
        <v>215</v>
      </c>
      <c r="X138" s="94"/>
      <c r="Y138" s="94"/>
      <c r="Z138" s="94"/>
      <c r="AA138" s="94"/>
      <c r="AB138" s="94"/>
      <c r="AC138" s="94"/>
      <c r="AD138" s="96"/>
      <c r="AE138" s="96"/>
      <c r="AF138" s="94"/>
      <c r="AG138" s="94"/>
      <c r="AH138" s="94"/>
      <c r="AI138" s="94"/>
      <c r="AJ138" s="94"/>
      <c r="AK138" s="32"/>
      <c r="AL138" s="113"/>
      <c r="AM138" s="95"/>
      <c r="AN138" s="95">
        <v>8</v>
      </c>
      <c r="AO138" s="96"/>
      <c r="AP138" s="96">
        <v>5</v>
      </c>
      <c r="AQ138" s="97"/>
      <c r="AR138" s="134">
        <v>2</v>
      </c>
      <c r="AS138" s="135"/>
      <c r="AT138" s="135"/>
      <c r="AU138" s="32"/>
      <c r="AV138" s="32"/>
      <c r="AW138" s="113"/>
      <c r="AX138" s="113"/>
      <c r="AY138" s="113"/>
      <c r="AZ138" s="113"/>
      <c r="BA138" s="82" t="s">
        <v>1500</v>
      </c>
      <c r="BB138" s="32"/>
      <c r="BC138" s="32"/>
      <c r="BD138" s="32"/>
      <c r="BE138" s="32"/>
      <c r="BF138" s="32"/>
      <c r="BG138" s="32"/>
      <c r="BH138" s="32"/>
      <c r="BI138" s="32"/>
      <c r="BJ138" s="32"/>
      <c r="BK138" s="32"/>
      <c r="BL138" s="32"/>
      <c r="BM138" s="32"/>
      <c r="BN138" s="32"/>
      <c r="BO138" s="32"/>
      <c r="BP138" s="32"/>
      <c r="BQ138" s="32"/>
      <c r="BR138" s="32"/>
      <c r="BS138" s="32"/>
      <c r="BT138" s="32"/>
      <c r="BU138" s="32"/>
      <c r="BV138" s="113" t="s">
        <v>744</v>
      </c>
      <c r="BW138" s="113"/>
      <c r="BX138" s="113"/>
      <c r="BY138" s="113"/>
      <c r="BZ138" s="113"/>
      <c r="CA138" s="113"/>
      <c r="CB138" s="113"/>
      <c r="CC138" s="113"/>
      <c r="CD138" s="32"/>
      <c r="CE138" s="32"/>
      <c r="CF138" s="32"/>
      <c r="CG138" s="32"/>
      <c r="CH138" s="32"/>
      <c r="CI138" s="32"/>
      <c r="CJ138" s="32"/>
      <c r="CK138" s="32"/>
      <c r="CL138" s="32"/>
      <c r="CM138" s="32"/>
      <c r="CN138" s="32"/>
    </row>
    <row r="139" spans="1:92" ht="21" customHeight="1">
      <c r="A139" s="109">
        <v>137</v>
      </c>
      <c r="B139" s="110" t="s">
        <v>1581</v>
      </c>
      <c r="C139" s="111" t="s">
        <v>845</v>
      </c>
      <c r="D139" s="110" t="s">
        <v>158</v>
      </c>
      <c r="E139" s="111" t="s">
        <v>1582</v>
      </c>
      <c r="F139" s="111" t="s">
        <v>131</v>
      </c>
      <c r="G139" s="24" t="s">
        <v>164</v>
      </c>
      <c r="H139" s="112" t="s">
        <v>1567</v>
      </c>
      <c r="I139" s="13"/>
      <c r="J139" s="38">
        <v>3950</v>
      </c>
      <c r="K139" s="130">
        <v>357.2</v>
      </c>
      <c r="L139" s="131">
        <v>81.86</v>
      </c>
      <c r="M139" s="131">
        <v>61.13</v>
      </c>
      <c r="N139" s="131">
        <v>68.14</v>
      </c>
      <c r="O139" s="39"/>
      <c r="P139" s="42" t="s">
        <v>420</v>
      </c>
      <c r="Q139" s="37">
        <v>40</v>
      </c>
      <c r="R139" s="37">
        <v>36</v>
      </c>
      <c r="S139" s="37">
        <v>38</v>
      </c>
      <c r="T139" s="37">
        <v>42</v>
      </c>
      <c r="U139" s="37">
        <v>45</v>
      </c>
      <c r="V139" s="37"/>
      <c r="W139" s="109">
        <v>201</v>
      </c>
      <c r="X139" s="94"/>
      <c r="Y139" s="94"/>
      <c r="Z139" s="94"/>
      <c r="AA139" s="94"/>
      <c r="AB139" s="94"/>
      <c r="AC139" s="94"/>
      <c r="AD139" s="96"/>
      <c r="AE139" s="96"/>
      <c r="AF139" s="94"/>
      <c r="AG139" s="94"/>
      <c r="AH139" s="94"/>
      <c r="AI139" s="94"/>
      <c r="AJ139" s="94"/>
      <c r="AK139" s="32"/>
      <c r="AL139" s="113"/>
      <c r="AM139" s="95"/>
      <c r="AN139" s="95">
        <v>8</v>
      </c>
      <c r="AO139" s="96"/>
      <c r="AP139" s="96">
        <v>5</v>
      </c>
      <c r="AQ139" s="97"/>
      <c r="AR139" s="134">
        <v>2</v>
      </c>
      <c r="AS139" s="135"/>
      <c r="AT139" s="135"/>
      <c r="AU139" s="32"/>
      <c r="AV139" s="32"/>
      <c r="AW139" s="113">
        <v>371</v>
      </c>
      <c r="AX139" s="113"/>
      <c r="AY139" s="113">
        <v>490</v>
      </c>
      <c r="AZ139" s="113"/>
      <c r="BA139" s="82" t="s">
        <v>605</v>
      </c>
      <c r="BB139" s="32"/>
      <c r="BC139" s="32"/>
      <c r="BD139" s="32"/>
      <c r="BE139" s="32"/>
      <c r="BF139" s="32"/>
      <c r="BG139" s="32"/>
      <c r="BH139" s="32"/>
      <c r="BI139" s="32"/>
      <c r="BJ139" s="32"/>
      <c r="BK139" s="32"/>
      <c r="BL139" s="32"/>
      <c r="BM139" s="32"/>
      <c r="BN139" s="32"/>
      <c r="BO139" s="32"/>
      <c r="BP139" s="32"/>
      <c r="BQ139" s="32"/>
      <c r="BR139" s="32"/>
      <c r="BS139" s="32"/>
      <c r="BT139" s="32"/>
      <c r="BU139" s="32"/>
      <c r="BV139" s="113" t="s">
        <v>754</v>
      </c>
      <c r="BW139" s="113"/>
      <c r="BX139" s="113"/>
      <c r="BY139" s="113"/>
      <c r="BZ139" s="113"/>
      <c r="CA139" s="113"/>
      <c r="CB139" s="113"/>
      <c r="CC139" s="113"/>
      <c r="CD139" s="32"/>
      <c r="CE139" s="32"/>
      <c r="CF139" s="32"/>
      <c r="CG139" s="32"/>
      <c r="CH139" s="32"/>
      <c r="CI139" s="32"/>
      <c r="CJ139" s="32"/>
      <c r="CK139" s="32"/>
      <c r="CL139" s="32"/>
      <c r="CM139" s="32"/>
      <c r="CN139" s="32"/>
    </row>
    <row r="140" spans="1:92" ht="21" customHeight="1">
      <c r="A140" s="109">
        <v>138</v>
      </c>
      <c r="B140" s="110" t="s">
        <v>1205</v>
      </c>
      <c r="C140" s="111" t="s">
        <v>873</v>
      </c>
      <c r="D140" s="110" t="s">
        <v>141</v>
      </c>
      <c r="E140" s="111" t="s">
        <v>872</v>
      </c>
      <c r="F140" s="111" t="s">
        <v>131</v>
      </c>
      <c r="G140" s="26" t="s">
        <v>173</v>
      </c>
      <c r="H140" s="112" t="s">
        <v>932</v>
      </c>
      <c r="I140" s="13">
        <v>3984</v>
      </c>
      <c r="J140" s="38">
        <v>3983</v>
      </c>
      <c r="K140" s="130">
        <v>357</v>
      </c>
      <c r="L140" s="131">
        <v>79.38</v>
      </c>
      <c r="M140" s="131">
        <v>69.05</v>
      </c>
      <c r="N140" s="131">
        <v>74.91</v>
      </c>
      <c r="O140" s="39"/>
      <c r="P140" s="42" t="s">
        <v>420</v>
      </c>
      <c r="Q140" s="37" t="s">
        <v>270</v>
      </c>
      <c r="R140" s="37">
        <v>28</v>
      </c>
      <c r="S140" s="37">
        <v>36</v>
      </c>
      <c r="T140" s="37">
        <v>48</v>
      </c>
      <c r="U140" s="37">
        <v>58</v>
      </c>
      <c r="V140" s="37">
        <v>72</v>
      </c>
      <c r="W140" s="109">
        <v>242</v>
      </c>
      <c r="X140" s="94"/>
      <c r="Y140" s="94"/>
      <c r="Z140" s="94"/>
      <c r="AA140" s="94"/>
      <c r="AB140" s="94"/>
      <c r="AC140" s="94"/>
      <c r="AD140" s="96">
        <v>80500</v>
      </c>
      <c r="AE140" s="96">
        <v>119500</v>
      </c>
      <c r="AF140" s="94">
        <v>176500</v>
      </c>
      <c r="AG140" s="94">
        <v>255000</v>
      </c>
      <c r="AH140" s="94">
        <v>326000</v>
      </c>
      <c r="AI140" s="94">
        <v>375000</v>
      </c>
      <c r="AJ140" s="94">
        <v>404000</v>
      </c>
      <c r="AK140" s="32"/>
      <c r="AL140" s="113"/>
      <c r="AM140" s="95">
        <v>45000</v>
      </c>
      <c r="AN140" s="95">
        <v>8</v>
      </c>
      <c r="AO140" s="96">
        <v>90000</v>
      </c>
      <c r="AP140" s="96">
        <v>5</v>
      </c>
      <c r="AQ140" s="97">
        <v>270000</v>
      </c>
      <c r="AR140" s="134">
        <v>3</v>
      </c>
      <c r="AS140" s="135"/>
      <c r="AT140" s="135"/>
      <c r="AU140" s="32">
        <v>6480000</v>
      </c>
      <c r="AV140" s="32"/>
      <c r="AW140" s="113">
        <v>371</v>
      </c>
      <c r="AX140" s="113"/>
      <c r="AY140" s="113">
        <v>490</v>
      </c>
      <c r="AZ140" s="113"/>
      <c r="BA140" s="82" t="s">
        <v>640</v>
      </c>
      <c r="BB140" s="32"/>
      <c r="BC140" s="32"/>
      <c r="BD140" s="32"/>
      <c r="BE140" s="32"/>
      <c r="BF140" s="32"/>
      <c r="BG140" s="32"/>
      <c r="BH140" s="32"/>
      <c r="BI140" s="32"/>
      <c r="BJ140" s="32"/>
      <c r="BK140" s="32"/>
      <c r="BL140" s="32"/>
      <c r="BM140" s="32">
        <v>1</v>
      </c>
      <c r="BN140" s="32"/>
      <c r="BO140" s="32">
        <v>1</v>
      </c>
      <c r="BP140" s="32">
        <v>1</v>
      </c>
      <c r="BQ140" s="32"/>
      <c r="BR140" s="32"/>
      <c r="BS140" s="32"/>
      <c r="BT140" s="32"/>
      <c r="BU140" s="32"/>
      <c r="BV140" s="113" t="s">
        <v>802</v>
      </c>
      <c r="BW140" s="113"/>
      <c r="BX140" s="113"/>
      <c r="BY140" s="113">
        <v>1</v>
      </c>
      <c r="BZ140" s="113">
        <v>8</v>
      </c>
      <c r="CA140" s="113"/>
      <c r="CB140" s="113"/>
      <c r="CC140" s="113"/>
      <c r="CD140" s="32"/>
      <c r="CE140" s="32"/>
      <c r="CF140" s="32"/>
      <c r="CG140" s="32"/>
      <c r="CH140" s="32"/>
      <c r="CI140" s="32"/>
      <c r="CJ140" s="32"/>
      <c r="CK140" s="32"/>
      <c r="CL140" s="77"/>
      <c r="CM140" s="32"/>
      <c r="CN140" s="32"/>
    </row>
    <row r="141" spans="1:92" ht="21" customHeight="1">
      <c r="A141" s="109">
        <v>139</v>
      </c>
      <c r="B141" s="110" t="s">
        <v>1656</v>
      </c>
      <c r="C141" s="111" t="s">
        <v>1657</v>
      </c>
      <c r="D141" s="110" t="s">
        <v>182</v>
      </c>
      <c r="E141" s="111" t="s">
        <v>1658</v>
      </c>
      <c r="F141" s="111" t="s">
        <v>131</v>
      </c>
      <c r="G141" s="24" t="s">
        <v>164</v>
      </c>
      <c r="H141" s="112" t="s">
        <v>1646</v>
      </c>
      <c r="I141" s="13"/>
      <c r="J141" s="14">
        <v>3996</v>
      </c>
      <c r="K141" s="120">
        <v>348.8</v>
      </c>
      <c r="L141" s="121">
        <v>83.02</v>
      </c>
      <c r="M141" s="121">
        <v>65.3</v>
      </c>
      <c r="N141" s="121">
        <v>67.36</v>
      </c>
      <c r="O141" s="15"/>
      <c r="P141" s="42" t="s">
        <v>420</v>
      </c>
      <c r="Q141" s="16" t="s">
        <v>607</v>
      </c>
      <c r="R141" s="16" t="s">
        <v>607</v>
      </c>
      <c r="S141" s="16" t="s">
        <v>607</v>
      </c>
      <c r="T141" s="16" t="s">
        <v>607</v>
      </c>
      <c r="U141" s="16" t="s">
        <v>607</v>
      </c>
      <c r="V141" s="16"/>
      <c r="W141" s="109"/>
      <c r="X141" s="100"/>
      <c r="Y141" s="100"/>
      <c r="Z141" s="100"/>
      <c r="AA141" s="100"/>
      <c r="AB141" s="100"/>
      <c r="AC141" s="100"/>
      <c r="AD141" s="100"/>
      <c r="AE141" s="100"/>
      <c r="AF141" s="100"/>
      <c r="AG141" s="100"/>
      <c r="AH141" s="94"/>
      <c r="AI141" s="94"/>
      <c r="AJ141" s="94"/>
      <c r="AK141" s="32"/>
      <c r="AL141" s="113"/>
      <c r="AM141" s="95"/>
      <c r="AN141" s="95"/>
      <c r="AO141" s="96"/>
      <c r="AP141" s="96"/>
      <c r="AQ141" s="97"/>
      <c r="AR141" s="134"/>
      <c r="AS141" s="135"/>
      <c r="AT141" s="135"/>
      <c r="AU141" s="32"/>
      <c r="AV141" s="113"/>
      <c r="AW141" s="113"/>
      <c r="AX141" s="113"/>
      <c r="AY141" s="113"/>
      <c r="AZ141" s="113"/>
      <c r="BA141" s="113" t="s">
        <v>605</v>
      </c>
      <c r="BB141" s="32"/>
      <c r="BC141" s="32"/>
      <c r="BD141" s="32"/>
      <c r="BE141" s="32"/>
      <c r="BF141" s="32"/>
      <c r="BG141" s="32"/>
      <c r="BH141" s="32"/>
      <c r="BI141" s="32"/>
      <c r="BJ141" s="32"/>
      <c r="BK141" s="32"/>
      <c r="BL141" s="32"/>
      <c r="BM141" s="32"/>
      <c r="BN141" s="32"/>
      <c r="BO141" s="32"/>
      <c r="BP141" s="32"/>
      <c r="BQ141" s="84"/>
      <c r="BR141" s="32"/>
      <c r="BS141" s="32"/>
      <c r="BT141" s="32"/>
      <c r="BU141" s="32"/>
      <c r="BV141" s="81" t="s">
        <v>1511</v>
      </c>
      <c r="BW141" s="113"/>
      <c r="BX141" s="113"/>
      <c r="BY141" s="113"/>
      <c r="BZ141" s="113"/>
      <c r="CA141" s="113"/>
      <c r="CB141" s="113"/>
      <c r="CC141" s="113"/>
      <c r="CD141" s="32"/>
      <c r="CE141" s="32"/>
      <c r="CF141" s="32"/>
      <c r="CG141" s="32"/>
      <c r="CH141" s="32"/>
      <c r="CI141" s="32"/>
      <c r="CJ141" s="32"/>
      <c r="CK141" s="32"/>
      <c r="CL141" s="32"/>
      <c r="CM141" s="32"/>
      <c r="CN141" s="32"/>
    </row>
    <row r="142" spans="1:92" ht="21" customHeight="1">
      <c r="A142" s="109">
        <v>140</v>
      </c>
      <c r="B142" s="110" t="s">
        <v>1206</v>
      </c>
      <c r="C142" s="111" t="s">
        <v>1456</v>
      </c>
      <c r="D142" s="110" t="s">
        <v>1207</v>
      </c>
      <c r="E142" s="111" t="s">
        <v>1080</v>
      </c>
      <c r="F142" s="111" t="s">
        <v>131</v>
      </c>
      <c r="G142" s="26" t="s">
        <v>173</v>
      </c>
      <c r="H142" s="112" t="s">
        <v>1071</v>
      </c>
      <c r="I142" s="13"/>
      <c r="J142" s="14">
        <v>4019</v>
      </c>
      <c r="K142" s="120">
        <v>323.5</v>
      </c>
      <c r="L142" s="121">
        <v>83.75</v>
      </c>
      <c r="M142" s="121">
        <v>87.29</v>
      </c>
      <c r="N142" s="121">
        <v>78.34</v>
      </c>
      <c r="O142" s="15"/>
      <c r="P142" s="42" t="s">
        <v>420</v>
      </c>
      <c r="Q142" s="16">
        <v>40</v>
      </c>
      <c r="R142" s="16">
        <v>30</v>
      </c>
      <c r="S142" s="16">
        <v>36</v>
      </c>
      <c r="T142" s="16">
        <v>38</v>
      </c>
      <c r="U142" s="16">
        <v>46</v>
      </c>
      <c r="V142" s="16">
        <v>52</v>
      </c>
      <c r="W142" s="109">
        <v>242</v>
      </c>
      <c r="X142" s="100">
        <v>16000</v>
      </c>
      <c r="Y142" s="100">
        <v>25000</v>
      </c>
      <c r="Z142" s="100">
        <v>35000</v>
      </c>
      <c r="AA142" s="100">
        <v>50000</v>
      </c>
      <c r="AB142" s="100">
        <v>70000</v>
      </c>
      <c r="AC142" s="100">
        <v>95000</v>
      </c>
      <c r="AD142" s="100">
        <v>130000</v>
      </c>
      <c r="AE142" s="100">
        <v>170000</v>
      </c>
      <c r="AF142" s="100">
        <v>220000</v>
      </c>
      <c r="AG142" s="100">
        <v>266000</v>
      </c>
      <c r="AH142" s="94">
        <v>291000</v>
      </c>
      <c r="AI142" s="94">
        <v>311000</v>
      </c>
      <c r="AJ142" s="94">
        <v>322000</v>
      </c>
      <c r="AK142" s="32"/>
      <c r="AL142" s="113">
        <v>8004000</v>
      </c>
      <c r="AM142" s="95">
        <v>56000</v>
      </c>
      <c r="AN142" s="95">
        <v>8</v>
      </c>
      <c r="AO142" s="96">
        <v>112000</v>
      </c>
      <c r="AP142" s="96">
        <v>5</v>
      </c>
      <c r="AQ142" s="97">
        <v>336000</v>
      </c>
      <c r="AR142" s="134">
        <v>3</v>
      </c>
      <c r="AS142" s="135"/>
      <c r="AT142" s="135"/>
      <c r="AU142" s="32">
        <v>8064000</v>
      </c>
      <c r="AV142" s="113">
        <v>16068000</v>
      </c>
      <c r="AW142" s="113">
        <v>337</v>
      </c>
      <c r="AX142" s="113"/>
      <c r="AY142" s="113">
        <v>432</v>
      </c>
      <c r="AZ142" s="113"/>
      <c r="BA142" s="113" t="s">
        <v>639</v>
      </c>
      <c r="BB142" s="32"/>
      <c r="BC142" s="32"/>
      <c r="BD142" s="32"/>
      <c r="BE142" s="32"/>
      <c r="BF142" s="32"/>
      <c r="BG142" s="32"/>
      <c r="BH142" s="32"/>
      <c r="BI142" s="32"/>
      <c r="BJ142" s="32"/>
      <c r="BK142" s="32"/>
      <c r="BL142" s="32">
        <v>1</v>
      </c>
      <c r="BM142" s="32"/>
      <c r="BN142" s="32"/>
      <c r="BO142" s="32"/>
      <c r="BP142" s="32"/>
      <c r="BQ142" s="84"/>
      <c r="BR142" s="32"/>
      <c r="BS142" s="32"/>
      <c r="BT142" s="32"/>
      <c r="BU142" s="32"/>
      <c r="BV142" s="81" t="s">
        <v>1081</v>
      </c>
      <c r="BW142" s="113"/>
      <c r="BX142" s="113"/>
      <c r="BY142" s="113"/>
      <c r="BZ142" s="113"/>
      <c r="CA142" s="113"/>
      <c r="CB142" s="113"/>
      <c r="CC142" s="113"/>
      <c r="CD142" s="32"/>
      <c r="CE142" s="32"/>
      <c r="CF142" s="32"/>
      <c r="CG142" s="32"/>
      <c r="CH142" s="32"/>
      <c r="CI142" s="32"/>
      <c r="CJ142" s="32"/>
      <c r="CK142" s="32"/>
      <c r="CL142" s="32"/>
      <c r="CM142" s="32"/>
      <c r="CN142" s="32"/>
    </row>
    <row r="143" spans="1:92" ht="21" customHeight="1">
      <c r="A143" s="109">
        <v>141</v>
      </c>
      <c r="B143" s="110" t="s">
        <v>1583</v>
      </c>
      <c r="C143" s="111" t="s">
        <v>1584</v>
      </c>
      <c r="D143" s="110" t="s">
        <v>68</v>
      </c>
      <c r="E143" s="111" t="s">
        <v>1585</v>
      </c>
      <c r="F143" s="111" t="s">
        <v>131</v>
      </c>
      <c r="G143" s="26" t="s">
        <v>173</v>
      </c>
      <c r="H143" s="112" t="s">
        <v>1555</v>
      </c>
      <c r="I143" s="13"/>
      <c r="J143" s="14">
        <v>4057</v>
      </c>
      <c r="K143" s="120">
        <v>355.8</v>
      </c>
      <c r="L143" s="121">
        <v>81.39</v>
      </c>
      <c r="M143" s="121">
        <v>67.099999999999994</v>
      </c>
      <c r="N143" s="121">
        <v>69.84</v>
      </c>
      <c r="O143" s="15"/>
      <c r="P143" s="42" t="s">
        <v>420</v>
      </c>
      <c r="Q143" s="16" t="s">
        <v>270</v>
      </c>
      <c r="R143" s="37">
        <v>40</v>
      </c>
      <c r="S143" s="37">
        <v>45</v>
      </c>
      <c r="T143" s="37">
        <v>55</v>
      </c>
      <c r="U143" s="37">
        <v>60</v>
      </c>
      <c r="V143" s="37">
        <v>65</v>
      </c>
      <c r="W143" s="109">
        <v>265</v>
      </c>
      <c r="X143" s="100"/>
      <c r="Y143" s="100"/>
      <c r="Z143" s="100"/>
      <c r="AA143" s="100">
        <v>45000</v>
      </c>
      <c r="AB143" s="100">
        <v>65000</v>
      </c>
      <c r="AC143" s="100">
        <v>87000</v>
      </c>
      <c r="AD143" s="100"/>
      <c r="AE143" s="100"/>
      <c r="AF143" s="100"/>
      <c r="AG143" s="100"/>
      <c r="AH143" s="100"/>
      <c r="AI143" s="100"/>
      <c r="AJ143" s="94"/>
      <c r="AK143" s="32"/>
      <c r="AL143" s="113"/>
      <c r="AM143" s="95">
        <v>49000</v>
      </c>
      <c r="AN143" s="95"/>
      <c r="AO143" s="96">
        <v>98000</v>
      </c>
      <c r="AP143" s="96"/>
      <c r="AQ143" s="97"/>
      <c r="AR143" s="134"/>
      <c r="AS143" s="135"/>
      <c r="AT143" s="135"/>
      <c r="AU143" s="32"/>
      <c r="AV143" s="113"/>
      <c r="AW143" s="113"/>
      <c r="AX143" s="113"/>
      <c r="AY143" s="113"/>
      <c r="AZ143" s="113"/>
      <c r="BA143" s="113" t="s">
        <v>639</v>
      </c>
      <c r="BB143" s="32"/>
      <c r="BC143" s="32"/>
      <c r="BD143" s="32"/>
      <c r="BE143" s="32"/>
      <c r="BF143" s="32"/>
      <c r="BG143" s="32"/>
      <c r="BH143" s="32"/>
      <c r="BI143" s="32"/>
      <c r="BJ143" s="32"/>
      <c r="BK143" s="32"/>
      <c r="BL143" s="32"/>
      <c r="BM143" s="32"/>
      <c r="BN143" s="32"/>
      <c r="BO143" s="32"/>
      <c r="BP143" s="32"/>
      <c r="BQ143" s="84"/>
      <c r="BR143" s="32"/>
      <c r="BS143" s="32"/>
      <c r="BT143" s="32"/>
      <c r="BU143" s="32"/>
      <c r="BV143" s="81" t="s">
        <v>1586</v>
      </c>
      <c r="BW143" s="113"/>
      <c r="BX143" s="113"/>
      <c r="BY143" s="113"/>
      <c r="BZ143" s="113"/>
      <c r="CA143" s="113"/>
      <c r="CB143" s="113"/>
      <c r="CC143" s="113"/>
      <c r="CD143" s="32"/>
      <c r="CE143" s="32"/>
      <c r="CF143" s="32"/>
      <c r="CG143" s="32"/>
      <c r="CH143" s="32"/>
      <c r="CI143" s="32"/>
      <c r="CJ143" s="32"/>
      <c r="CK143" s="32"/>
      <c r="CL143" s="32"/>
      <c r="CM143" s="32"/>
      <c r="CN143" s="32"/>
    </row>
    <row r="144" spans="1:92" ht="21" customHeight="1">
      <c r="A144" s="109">
        <v>142</v>
      </c>
      <c r="B144" s="110" t="s">
        <v>1357</v>
      </c>
      <c r="C144" s="111" t="s">
        <v>1358</v>
      </c>
      <c r="D144" s="110" t="s">
        <v>141</v>
      </c>
      <c r="E144" s="111" t="s">
        <v>1359</v>
      </c>
      <c r="F144" s="111" t="s">
        <v>131</v>
      </c>
      <c r="G144" s="24" t="s">
        <v>164</v>
      </c>
      <c r="H144" s="112" t="s">
        <v>1368</v>
      </c>
      <c r="I144" s="13"/>
      <c r="J144" s="14">
        <v>4062</v>
      </c>
      <c r="K144" s="120">
        <v>353.8</v>
      </c>
      <c r="L144" s="121">
        <v>85.38</v>
      </c>
      <c r="M144" s="121">
        <v>70.150000000000006</v>
      </c>
      <c r="N144" s="121">
        <v>56.43</v>
      </c>
      <c r="O144" s="15"/>
      <c r="P144" s="42" t="s">
        <v>420</v>
      </c>
      <c r="Q144" s="37" t="s">
        <v>270</v>
      </c>
      <c r="R144" s="16">
        <v>35</v>
      </c>
      <c r="S144" s="16">
        <v>40</v>
      </c>
      <c r="T144" s="37">
        <v>52</v>
      </c>
      <c r="U144" s="37">
        <v>70</v>
      </c>
      <c r="V144" s="16"/>
      <c r="W144" s="109"/>
      <c r="X144" s="100">
        <v>16000</v>
      </c>
      <c r="Y144" s="100">
        <v>20000</v>
      </c>
      <c r="Z144" s="100">
        <v>30000</v>
      </c>
      <c r="AA144" s="100">
        <v>45000</v>
      </c>
      <c r="AB144" s="100">
        <v>65000</v>
      </c>
      <c r="AC144" s="100">
        <v>87000</v>
      </c>
      <c r="AD144" s="100">
        <v>124000</v>
      </c>
      <c r="AE144" s="100">
        <v>167000</v>
      </c>
      <c r="AF144" s="100">
        <v>196000</v>
      </c>
      <c r="AG144" s="100">
        <v>218000</v>
      </c>
      <c r="AH144" s="100">
        <v>225000</v>
      </c>
      <c r="AI144" s="100">
        <v>232000</v>
      </c>
      <c r="AJ144" s="94"/>
      <c r="AK144" s="32"/>
      <c r="AL144" s="113">
        <v>5700000</v>
      </c>
      <c r="AM144" s="95">
        <v>35000</v>
      </c>
      <c r="AN144" s="95">
        <v>8</v>
      </c>
      <c r="AO144" s="96">
        <v>70000</v>
      </c>
      <c r="AP144" s="96">
        <v>5</v>
      </c>
      <c r="AQ144" s="97">
        <v>210000</v>
      </c>
      <c r="AR144" s="134">
        <v>2</v>
      </c>
      <c r="AS144" s="135"/>
      <c r="AT144" s="135"/>
      <c r="AU144" s="32">
        <v>4200000</v>
      </c>
      <c r="AV144" s="113">
        <v>9900000</v>
      </c>
      <c r="AW144" s="113"/>
      <c r="AX144" s="113"/>
      <c r="AY144" s="113"/>
      <c r="AZ144" s="113"/>
      <c r="BA144" s="113" t="s">
        <v>640</v>
      </c>
      <c r="BB144" s="32"/>
      <c r="BC144" s="32"/>
      <c r="BD144" s="32"/>
      <c r="BE144" s="32"/>
      <c r="BF144" s="32"/>
      <c r="BG144" s="32"/>
      <c r="BH144" s="32"/>
      <c r="BI144" s="32"/>
      <c r="BJ144" s="32"/>
      <c r="BK144" s="32"/>
      <c r="BL144" s="32"/>
      <c r="BM144" s="32">
        <v>1</v>
      </c>
      <c r="BN144" s="32"/>
      <c r="BO144" s="32">
        <v>1</v>
      </c>
      <c r="BP144" s="32"/>
      <c r="BQ144" s="84"/>
      <c r="BR144" s="32"/>
      <c r="BS144" s="32"/>
      <c r="BT144" s="32"/>
      <c r="BU144" s="32"/>
      <c r="BV144" s="81"/>
      <c r="BW144" s="113"/>
      <c r="BX144" s="113"/>
      <c r="BY144" s="113"/>
      <c r="BZ144" s="113"/>
      <c r="CA144" s="113"/>
      <c r="CB144" s="113"/>
      <c r="CC144" s="113"/>
      <c r="CD144" s="32"/>
      <c r="CE144" s="32"/>
      <c r="CF144" s="32"/>
      <c r="CG144" s="32"/>
      <c r="CH144" s="32"/>
      <c r="CI144" s="32"/>
      <c r="CJ144" s="32"/>
      <c r="CK144" s="32"/>
      <c r="CL144" s="32"/>
      <c r="CM144" s="32"/>
      <c r="CN144" s="32"/>
    </row>
    <row r="145" spans="1:92" ht="21" customHeight="1">
      <c r="A145" s="109">
        <v>143</v>
      </c>
      <c r="B145" s="110" t="s">
        <v>1208</v>
      </c>
      <c r="C145" s="111" t="s">
        <v>1046</v>
      </c>
      <c r="D145" s="110" t="s">
        <v>1129</v>
      </c>
      <c r="E145" s="111" t="s">
        <v>1032</v>
      </c>
      <c r="F145" s="111" t="s">
        <v>131</v>
      </c>
      <c r="G145" s="26" t="s">
        <v>173</v>
      </c>
      <c r="H145" s="112" t="s">
        <v>1031</v>
      </c>
      <c r="I145" s="13"/>
      <c r="J145" s="14">
        <v>4072</v>
      </c>
      <c r="K145" s="120">
        <v>343.7</v>
      </c>
      <c r="L145" s="121">
        <v>79.400000000000006</v>
      </c>
      <c r="M145" s="121">
        <v>88.64</v>
      </c>
      <c r="N145" s="121">
        <v>79.819999999999993</v>
      </c>
      <c r="O145" s="15"/>
      <c r="P145" s="42" t="s">
        <v>420</v>
      </c>
      <c r="Q145" s="16">
        <v>40</v>
      </c>
      <c r="R145" s="16">
        <v>30</v>
      </c>
      <c r="S145" s="16">
        <v>36</v>
      </c>
      <c r="T145" s="16">
        <v>38</v>
      </c>
      <c r="U145" s="16">
        <v>46</v>
      </c>
      <c r="V145" s="16">
        <v>52</v>
      </c>
      <c r="W145" s="109">
        <v>242</v>
      </c>
      <c r="X145" s="103">
        <v>18000</v>
      </c>
      <c r="Y145" s="103">
        <v>28000</v>
      </c>
      <c r="Z145" s="103">
        <v>40000</v>
      </c>
      <c r="AA145" s="103">
        <v>60000</v>
      </c>
      <c r="AB145" s="103">
        <v>90000</v>
      </c>
      <c r="AC145" s="103">
        <v>130000</v>
      </c>
      <c r="AD145" s="103">
        <v>170000</v>
      </c>
      <c r="AE145" s="103">
        <v>225000</v>
      </c>
      <c r="AF145" s="103">
        <v>310000</v>
      </c>
      <c r="AG145" s="103">
        <v>400000</v>
      </c>
      <c r="AH145" s="103">
        <v>470000</v>
      </c>
      <c r="AI145" s="100">
        <v>510000</v>
      </c>
      <c r="AJ145" s="94">
        <v>549000</v>
      </c>
      <c r="AK145" s="32"/>
      <c r="AL145" s="113">
        <v>12000000</v>
      </c>
      <c r="AM145" s="95">
        <v>63000</v>
      </c>
      <c r="AN145" s="95">
        <v>8</v>
      </c>
      <c r="AO145" s="96">
        <v>126000</v>
      </c>
      <c r="AP145" s="96">
        <v>5</v>
      </c>
      <c r="AQ145" s="97">
        <v>378000</v>
      </c>
      <c r="AR145" s="134">
        <v>3</v>
      </c>
      <c r="AS145" s="135"/>
      <c r="AT145" s="135"/>
      <c r="AU145" s="32">
        <v>9072000</v>
      </c>
      <c r="AV145" s="113">
        <v>21072000</v>
      </c>
      <c r="AW145" s="113">
        <v>358</v>
      </c>
      <c r="AX145" s="113"/>
      <c r="AY145" s="113">
        <v>467</v>
      </c>
      <c r="AZ145" s="113"/>
      <c r="BA145" s="113" t="s">
        <v>641</v>
      </c>
      <c r="BB145" s="32"/>
      <c r="BC145" s="32"/>
      <c r="BD145" s="32"/>
      <c r="BE145" s="32"/>
      <c r="BF145" s="32"/>
      <c r="BG145" s="32"/>
      <c r="BH145" s="32"/>
      <c r="BI145" s="32"/>
      <c r="BJ145" s="32"/>
      <c r="BK145" s="32"/>
      <c r="BL145" s="32"/>
      <c r="BM145" s="32"/>
      <c r="BN145" s="32">
        <v>1</v>
      </c>
      <c r="BO145" s="32"/>
      <c r="BP145" s="32"/>
      <c r="BQ145" s="84"/>
      <c r="BR145" s="32"/>
      <c r="BS145" s="32"/>
      <c r="BT145" s="32"/>
      <c r="BU145" s="32"/>
      <c r="BV145" s="81" t="s">
        <v>748</v>
      </c>
      <c r="BW145" s="113"/>
      <c r="BX145" s="113"/>
      <c r="BY145" s="113"/>
      <c r="BZ145" s="113"/>
      <c r="CA145" s="113"/>
      <c r="CB145" s="113"/>
      <c r="CC145" s="113"/>
      <c r="CD145" s="32"/>
      <c r="CE145" s="32"/>
      <c r="CF145" s="32"/>
      <c r="CG145" s="32"/>
      <c r="CH145" s="32"/>
      <c r="CI145" s="32"/>
      <c r="CJ145" s="32"/>
      <c r="CK145" s="32"/>
      <c r="CL145" s="32"/>
      <c r="CM145" s="32"/>
      <c r="CN145" s="32"/>
    </row>
    <row r="146" spans="1:92" ht="21" customHeight="1">
      <c r="A146" s="109">
        <v>144</v>
      </c>
      <c r="B146" s="110" t="s">
        <v>1209</v>
      </c>
      <c r="C146" s="111" t="s">
        <v>974</v>
      </c>
      <c r="D146" s="110" t="s">
        <v>182</v>
      </c>
      <c r="E146" s="111" t="s">
        <v>975</v>
      </c>
      <c r="F146" s="111" t="s">
        <v>131</v>
      </c>
      <c r="G146" s="24" t="s">
        <v>164</v>
      </c>
      <c r="H146" s="112" t="s">
        <v>967</v>
      </c>
      <c r="I146" s="13">
        <v>4075</v>
      </c>
      <c r="J146" s="14">
        <v>4075</v>
      </c>
      <c r="K146" s="120">
        <v>340.5</v>
      </c>
      <c r="L146" s="121">
        <v>86.11</v>
      </c>
      <c r="M146" s="121">
        <v>83.17</v>
      </c>
      <c r="N146" s="121">
        <v>74.540000000000006</v>
      </c>
      <c r="O146" s="15"/>
      <c r="P146" s="42" t="s">
        <v>420</v>
      </c>
      <c r="Q146" s="16">
        <v>40</v>
      </c>
      <c r="R146" s="16">
        <v>36</v>
      </c>
      <c r="S146" s="16">
        <v>38</v>
      </c>
      <c r="T146" s="16">
        <v>42</v>
      </c>
      <c r="U146" s="16">
        <v>42</v>
      </c>
      <c r="V146" s="109"/>
      <c r="W146" s="109">
        <v>198</v>
      </c>
      <c r="X146" s="94">
        <v>34150</v>
      </c>
      <c r="Y146" s="94">
        <v>39000</v>
      </c>
      <c r="Z146" s="94">
        <v>48800</v>
      </c>
      <c r="AA146" s="94">
        <v>63400</v>
      </c>
      <c r="AB146" s="94">
        <v>87800</v>
      </c>
      <c r="AC146" s="94">
        <v>117000</v>
      </c>
      <c r="AD146" s="94">
        <v>166000</v>
      </c>
      <c r="AE146" s="94">
        <v>224500</v>
      </c>
      <c r="AF146" s="94">
        <v>263500</v>
      </c>
      <c r="AG146" s="94">
        <v>293000</v>
      </c>
      <c r="AH146" s="94">
        <v>302000</v>
      </c>
      <c r="AI146" s="94">
        <v>312000</v>
      </c>
      <c r="AJ146" s="94"/>
      <c r="AK146" s="32"/>
      <c r="AL146" s="113"/>
      <c r="AM146" s="95">
        <v>42000</v>
      </c>
      <c r="AN146" s="95">
        <v>8</v>
      </c>
      <c r="AO146" s="96">
        <v>84000</v>
      </c>
      <c r="AP146" s="96">
        <v>5</v>
      </c>
      <c r="AQ146" s="97">
        <v>252000</v>
      </c>
      <c r="AR146" s="134">
        <v>2</v>
      </c>
      <c r="AS146" s="135"/>
      <c r="AT146" s="135"/>
      <c r="AU146" s="32">
        <v>5040000</v>
      </c>
      <c r="AV146" s="113"/>
      <c r="AW146" s="113">
        <v>354</v>
      </c>
      <c r="AX146" s="113"/>
      <c r="AY146" s="113">
        <v>461</v>
      </c>
      <c r="AZ146" s="113"/>
      <c r="BA146" s="113" t="s">
        <v>636</v>
      </c>
      <c r="BB146" s="32"/>
      <c r="BC146" s="32"/>
      <c r="BD146" s="32"/>
      <c r="BE146" s="32"/>
      <c r="BF146" s="32"/>
      <c r="BG146" s="32"/>
      <c r="BH146" s="32"/>
      <c r="BI146" s="32">
        <v>1</v>
      </c>
      <c r="BJ146" s="32"/>
      <c r="BK146" s="32"/>
      <c r="BL146" s="32"/>
      <c r="BM146" s="32"/>
      <c r="BN146" s="32"/>
      <c r="BO146" s="32"/>
      <c r="BP146" s="32"/>
      <c r="BQ146" s="84"/>
      <c r="BR146" s="32"/>
      <c r="BS146" s="32" t="s">
        <v>649</v>
      </c>
      <c r="BT146" s="32"/>
      <c r="BU146" s="32"/>
      <c r="BV146" s="81" t="s">
        <v>755</v>
      </c>
      <c r="BW146" s="113"/>
      <c r="BX146" s="113"/>
      <c r="BY146" s="113">
        <v>1</v>
      </c>
      <c r="BZ146" s="113">
        <v>7</v>
      </c>
      <c r="CA146" s="113"/>
      <c r="CB146" s="113"/>
      <c r="CC146" s="113"/>
      <c r="CD146" s="32"/>
      <c r="CE146" s="32"/>
      <c r="CF146" s="32"/>
      <c r="CG146" s="32"/>
      <c r="CH146" s="32"/>
      <c r="CI146" s="32"/>
      <c r="CJ146" s="32"/>
      <c r="CK146" s="32"/>
      <c r="CL146" s="32"/>
      <c r="CM146" s="32"/>
      <c r="CN146" s="32"/>
    </row>
    <row r="147" spans="1:92" ht="21" customHeight="1">
      <c r="A147" s="109">
        <v>145</v>
      </c>
      <c r="B147" s="110" t="s">
        <v>1210</v>
      </c>
      <c r="C147" s="111" t="s">
        <v>1211</v>
      </c>
      <c r="D147" s="110" t="s">
        <v>182</v>
      </c>
      <c r="E147" s="111" t="s">
        <v>1033</v>
      </c>
      <c r="F147" s="111" t="s">
        <v>131</v>
      </c>
      <c r="G147" s="26" t="s">
        <v>173</v>
      </c>
      <c r="H147" s="112" t="s">
        <v>1031</v>
      </c>
      <c r="I147" s="13"/>
      <c r="J147" s="14">
        <v>4075</v>
      </c>
      <c r="K147" s="120">
        <v>335.4</v>
      </c>
      <c r="L147" s="121">
        <v>89.3</v>
      </c>
      <c r="M147" s="121">
        <v>83.11</v>
      </c>
      <c r="N147" s="121">
        <v>76.819999999999993</v>
      </c>
      <c r="O147" s="15"/>
      <c r="P147" s="42" t="s">
        <v>420</v>
      </c>
      <c r="Q147" s="16" t="s">
        <v>270</v>
      </c>
      <c r="R147" s="16">
        <v>35</v>
      </c>
      <c r="S147" s="16">
        <v>38</v>
      </c>
      <c r="T147" s="16">
        <v>42</v>
      </c>
      <c r="U147" s="16">
        <v>48</v>
      </c>
      <c r="V147" s="16">
        <v>52</v>
      </c>
      <c r="W147" s="109">
        <v>215</v>
      </c>
      <c r="X147" s="96">
        <v>16000</v>
      </c>
      <c r="Y147" s="96">
        <v>25000</v>
      </c>
      <c r="Z147" s="96">
        <v>35000</v>
      </c>
      <c r="AA147" s="105">
        <v>50000</v>
      </c>
      <c r="AB147" s="105">
        <v>70000</v>
      </c>
      <c r="AC147" s="105">
        <v>95000</v>
      </c>
      <c r="AD147" s="105">
        <v>130000</v>
      </c>
      <c r="AE147" s="105">
        <v>170000</v>
      </c>
      <c r="AF147" s="105">
        <v>220000</v>
      </c>
      <c r="AG147" s="105">
        <v>266000</v>
      </c>
      <c r="AH147" s="94">
        <v>291000</v>
      </c>
      <c r="AI147" s="94">
        <v>311000</v>
      </c>
      <c r="AJ147" s="94">
        <v>322000</v>
      </c>
      <c r="AK147" s="32"/>
      <c r="AL147" s="113">
        <v>8004000</v>
      </c>
      <c r="AM147" s="95">
        <v>49000</v>
      </c>
      <c r="AN147" s="95">
        <v>8</v>
      </c>
      <c r="AO147" s="96">
        <v>98000</v>
      </c>
      <c r="AP147" s="96">
        <v>5</v>
      </c>
      <c r="AQ147" s="97">
        <v>294000</v>
      </c>
      <c r="AR147" s="134">
        <v>3</v>
      </c>
      <c r="AS147" s="135"/>
      <c r="AT147" s="135"/>
      <c r="AU147" s="32">
        <v>7056000</v>
      </c>
      <c r="AV147" s="113">
        <v>15060000</v>
      </c>
      <c r="AW147" s="113">
        <v>349</v>
      </c>
      <c r="AX147" s="113"/>
      <c r="AY147" s="113">
        <v>453</v>
      </c>
      <c r="AZ147" s="113"/>
      <c r="BA147" s="113" t="s">
        <v>640</v>
      </c>
      <c r="BB147" s="32"/>
      <c r="BC147" s="32"/>
      <c r="BD147" s="32"/>
      <c r="BE147" s="32"/>
      <c r="BF147" s="32"/>
      <c r="BG147" s="32"/>
      <c r="BH147" s="32"/>
      <c r="BI147" s="32"/>
      <c r="BJ147" s="32"/>
      <c r="BK147" s="32"/>
      <c r="BL147" s="32"/>
      <c r="BM147" s="32">
        <v>1</v>
      </c>
      <c r="BN147" s="32"/>
      <c r="BO147" s="32">
        <v>1</v>
      </c>
      <c r="BP147" s="32"/>
      <c r="BQ147" s="84"/>
      <c r="BR147" s="32"/>
      <c r="BS147" s="32"/>
      <c r="BT147" s="32"/>
      <c r="BU147" s="32"/>
      <c r="BV147" s="81" t="s">
        <v>755</v>
      </c>
      <c r="BW147" s="113"/>
      <c r="BX147" s="113"/>
      <c r="BY147" s="113">
        <v>1</v>
      </c>
      <c r="BZ147" s="113">
        <v>8</v>
      </c>
      <c r="CA147" s="113"/>
      <c r="CB147" s="113"/>
      <c r="CC147" s="113"/>
      <c r="CD147" s="32"/>
      <c r="CE147" s="32"/>
      <c r="CF147" s="32"/>
      <c r="CG147" s="32"/>
      <c r="CH147" s="32"/>
      <c r="CI147" s="32"/>
      <c r="CJ147" s="32"/>
      <c r="CK147" s="32"/>
      <c r="CL147" s="32"/>
      <c r="CM147" s="32"/>
      <c r="CN147" s="32"/>
    </row>
    <row r="148" spans="1:92" ht="21" customHeight="1">
      <c r="A148" s="109">
        <v>146</v>
      </c>
      <c r="B148" s="110" t="s">
        <v>1587</v>
      </c>
      <c r="C148" s="111" t="s">
        <v>1588</v>
      </c>
      <c r="D148" s="110" t="s">
        <v>1534</v>
      </c>
      <c r="E148" s="148" t="s">
        <v>1589</v>
      </c>
      <c r="F148" s="111" t="s">
        <v>131</v>
      </c>
      <c r="G148" s="24" t="s">
        <v>164</v>
      </c>
      <c r="H148" s="112" t="s">
        <v>1561</v>
      </c>
      <c r="I148" s="13"/>
      <c r="J148" s="14">
        <v>4076</v>
      </c>
      <c r="K148" s="126">
        <v>364.8</v>
      </c>
      <c r="L148" s="127">
        <v>85.64</v>
      </c>
      <c r="M148" s="127">
        <v>56.7</v>
      </c>
      <c r="N148" s="127">
        <v>45.09</v>
      </c>
      <c r="O148" s="15"/>
      <c r="P148" s="42" t="s">
        <v>420</v>
      </c>
      <c r="Q148" s="16" t="s">
        <v>270</v>
      </c>
      <c r="R148" s="16">
        <v>26</v>
      </c>
      <c r="S148" s="16">
        <v>42</v>
      </c>
      <c r="T148" s="16">
        <v>48</v>
      </c>
      <c r="U148" s="16">
        <v>60</v>
      </c>
      <c r="V148" s="16"/>
      <c r="W148" s="109">
        <v>176</v>
      </c>
      <c r="X148" s="94"/>
      <c r="Y148" s="94"/>
      <c r="Z148" s="94"/>
      <c r="AA148" s="94"/>
      <c r="AB148" s="94"/>
      <c r="AC148" s="94"/>
      <c r="AD148" s="105"/>
      <c r="AE148" s="100"/>
      <c r="AF148" s="105"/>
      <c r="AG148" s="105"/>
      <c r="AH148" s="94"/>
      <c r="AI148" s="94"/>
      <c r="AJ148" s="94"/>
      <c r="AK148" s="32"/>
      <c r="AL148" s="113"/>
      <c r="AM148" s="95"/>
      <c r="AN148" s="95"/>
      <c r="AO148" s="96"/>
      <c r="AP148" s="96"/>
      <c r="AQ148" s="97"/>
      <c r="AR148" s="134"/>
      <c r="AS148" s="135"/>
      <c r="AT148" s="135"/>
      <c r="AU148" s="32"/>
      <c r="AV148" s="113"/>
      <c r="AW148" s="113"/>
      <c r="AX148" s="113"/>
      <c r="AY148" s="113"/>
      <c r="AZ148" s="113"/>
      <c r="BA148" s="113" t="s">
        <v>640</v>
      </c>
      <c r="BB148" s="32"/>
      <c r="BC148" s="32"/>
      <c r="BD148" s="32"/>
      <c r="BE148" s="32"/>
      <c r="BF148" s="32"/>
      <c r="BG148" s="32"/>
      <c r="BH148" s="32"/>
      <c r="BI148" s="32"/>
      <c r="BJ148" s="32"/>
      <c r="BK148" s="32"/>
      <c r="BL148" s="32"/>
      <c r="BM148" s="32"/>
      <c r="BN148" s="32"/>
      <c r="BO148" s="32"/>
      <c r="BP148" s="32"/>
      <c r="BQ148" s="84"/>
      <c r="BR148" s="32"/>
      <c r="BS148" s="32"/>
      <c r="BT148" s="32"/>
      <c r="BU148" s="32"/>
      <c r="BV148" s="81" t="s">
        <v>1571</v>
      </c>
      <c r="BW148" s="113"/>
      <c r="BX148" s="113"/>
      <c r="BY148" s="113"/>
      <c r="BZ148" s="113"/>
      <c r="CA148" s="113"/>
      <c r="CB148" s="113"/>
      <c r="CC148" s="113"/>
      <c r="CD148" s="32"/>
      <c r="CE148" s="32"/>
      <c r="CF148" s="32"/>
      <c r="CG148" s="32"/>
      <c r="CH148" s="32"/>
      <c r="CI148" s="32"/>
      <c r="CJ148" s="32"/>
      <c r="CK148" s="32"/>
      <c r="CL148" s="32"/>
      <c r="CM148" s="32"/>
      <c r="CN148" s="32"/>
    </row>
    <row r="149" spans="1:92" ht="21" customHeight="1">
      <c r="A149" s="109">
        <v>147</v>
      </c>
      <c r="B149" s="110" t="s">
        <v>1212</v>
      </c>
      <c r="C149" s="111" t="s">
        <v>1093</v>
      </c>
      <c r="D149" s="110" t="s">
        <v>141</v>
      </c>
      <c r="E149" s="111" t="s">
        <v>1094</v>
      </c>
      <c r="F149" s="111" t="s">
        <v>131</v>
      </c>
      <c r="G149" s="24" t="s">
        <v>164</v>
      </c>
      <c r="H149" s="112" t="s">
        <v>1090</v>
      </c>
      <c r="I149" s="13"/>
      <c r="J149" s="14">
        <v>4091</v>
      </c>
      <c r="K149" s="120">
        <v>340.4</v>
      </c>
      <c r="L149" s="121">
        <v>88.49</v>
      </c>
      <c r="M149" s="121">
        <v>75.739999999999995</v>
      </c>
      <c r="N149" s="121">
        <v>67.64</v>
      </c>
      <c r="O149" s="15"/>
      <c r="P149" s="42" t="s">
        <v>420</v>
      </c>
      <c r="Q149" s="16">
        <v>40</v>
      </c>
      <c r="R149" s="16">
        <v>30</v>
      </c>
      <c r="S149" s="16">
        <v>36</v>
      </c>
      <c r="T149" s="16">
        <v>42</v>
      </c>
      <c r="U149" s="16">
        <v>52</v>
      </c>
      <c r="V149" s="16"/>
      <c r="W149" s="109">
        <v>200</v>
      </c>
      <c r="X149" s="94">
        <v>16000</v>
      </c>
      <c r="Y149" s="94">
        <v>25000</v>
      </c>
      <c r="Z149" s="94">
        <v>35000</v>
      </c>
      <c r="AA149" s="94">
        <v>50000</v>
      </c>
      <c r="AB149" s="94">
        <v>84000</v>
      </c>
      <c r="AC149" s="94">
        <v>117000</v>
      </c>
      <c r="AD149" s="105">
        <v>166000</v>
      </c>
      <c r="AE149" s="103">
        <v>225000</v>
      </c>
      <c r="AF149" s="105">
        <v>263000</v>
      </c>
      <c r="AG149" s="105">
        <v>293000</v>
      </c>
      <c r="AH149" s="94">
        <v>302000</v>
      </c>
      <c r="AI149" s="94">
        <v>312000</v>
      </c>
      <c r="AJ149" s="94"/>
      <c r="AK149" s="32"/>
      <c r="AL149" s="113">
        <v>7552000</v>
      </c>
      <c r="AM149" s="95">
        <v>56000</v>
      </c>
      <c r="AN149" s="95">
        <v>8</v>
      </c>
      <c r="AO149" s="96">
        <v>112000</v>
      </c>
      <c r="AP149" s="96">
        <v>5</v>
      </c>
      <c r="AQ149" s="97">
        <v>336000</v>
      </c>
      <c r="AR149" s="134">
        <v>2</v>
      </c>
      <c r="AS149" s="135"/>
      <c r="AT149" s="135"/>
      <c r="AU149" s="32">
        <v>6720000</v>
      </c>
      <c r="AV149" s="113">
        <v>14272000</v>
      </c>
      <c r="AW149" s="113"/>
      <c r="AX149" s="113"/>
      <c r="AY149" s="113"/>
      <c r="AZ149" s="113"/>
      <c r="BA149" s="113" t="s">
        <v>605</v>
      </c>
      <c r="BB149" s="32"/>
      <c r="BC149" s="32"/>
      <c r="BD149" s="32"/>
      <c r="BE149" s="32"/>
      <c r="BF149" s="32"/>
      <c r="BG149" s="32"/>
      <c r="BH149" s="32">
        <v>1</v>
      </c>
      <c r="BI149" s="32"/>
      <c r="BJ149" s="32"/>
      <c r="BK149" s="32"/>
      <c r="BL149" s="32"/>
      <c r="BM149" s="32"/>
      <c r="BN149" s="32"/>
      <c r="BO149" s="32"/>
      <c r="BP149" s="32"/>
      <c r="BQ149" s="84"/>
      <c r="BR149" s="32"/>
      <c r="BS149" s="32"/>
      <c r="BT149" s="32"/>
      <c r="BU149" s="32"/>
      <c r="BV149" s="81" t="s">
        <v>802</v>
      </c>
      <c r="BW149" s="113"/>
      <c r="BX149" s="113"/>
      <c r="BY149" s="113"/>
      <c r="BZ149" s="113"/>
      <c r="CA149" s="113"/>
      <c r="CB149" s="113"/>
      <c r="CC149" s="113"/>
      <c r="CD149" s="32"/>
      <c r="CE149" s="32"/>
      <c r="CF149" s="32"/>
      <c r="CG149" s="32"/>
      <c r="CH149" s="32"/>
      <c r="CI149" s="32"/>
      <c r="CJ149" s="32"/>
      <c r="CK149" s="32"/>
      <c r="CL149" s="32"/>
      <c r="CM149" s="32"/>
      <c r="CN149" s="32"/>
    </row>
    <row r="150" spans="1:92" ht="21" customHeight="1">
      <c r="A150" s="109">
        <v>148</v>
      </c>
      <c r="B150" s="110" t="s">
        <v>171</v>
      </c>
      <c r="C150" s="111" t="s">
        <v>172</v>
      </c>
      <c r="D150" s="110" t="s">
        <v>141</v>
      </c>
      <c r="E150" s="111" t="s">
        <v>344</v>
      </c>
      <c r="F150" s="111" t="s">
        <v>131</v>
      </c>
      <c r="G150" s="26" t="s">
        <v>173</v>
      </c>
      <c r="H150" s="112" t="s">
        <v>297</v>
      </c>
      <c r="I150" s="13">
        <v>4109</v>
      </c>
      <c r="J150" s="14">
        <v>4108</v>
      </c>
      <c r="K150" s="120">
        <v>344</v>
      </c>
      <c r="L150" s="121">
        <v>84.31</v>
      </c>
      <c r="M150" s="121">
        <v>75.97</v>
      </c>
      <c r="N150" s="121">
        <v>82.43</v>
      </c>
      <c r="O150" s="32">
        <v>11.516999999999999</v>
      </c>
      <c r="P150" s="41" t="s">
        <v>415</v>
      </c>
      <c r="Q150" s="16">
        <v>40</v>
      </c>
      <c r="R150" s="16">
        <v>30</v>
      </c>
      <c r="S150" s="16">
        <v>36</v>
      </c>
      <c r="T150" s="16">
        <v>38</v>
      </c>
      <c r="U150" s="16">
        <v>46</v>
      </c>
      <c r="V150" s="16">
        <v>52</v>
      </c>
      <c r="W150" s="109">
        <v>242</v>
      </c>
      <c r="X150" s="94">
        <v>9250</v>
      </c>
      <c r="Y150" s="94">
        <v>15100</v>
      </c>
      <c r="Z150" s="94">
        <v>24100</v>
      </c>
      <c r="AA150" s="94">
        <v>36200</v>
      </c>
      <c r="AB150" s="94">
        <v>52300</v>
      </c>
      <c r="AC150" s="94">
        <v>77500</v>
      </c>
      <c r="AD150" s="94">
        <v>114500</v>
      </c>
      <c r="AE150" s="94">
        <v>169500</v>
      </c>
      <c r="AF150" s="94">
        <v>251000</v>
      </c>
      <c r="AG150" s="94">
        <v>362000</v>
      </c>
      <c r="AH150" s="94">
        <v>463000</v>
      </c>
      <c r="AI150" s="94">
        <v>533000</v>
      </c>
      <c r="AJ150" s="94">
        <v>574000</v>
      </c>
      <c r="AK150" s="32"/>
      <c r="AL150" s="113">
        <v>10725800</v>
      </c>
      <c r="AM150" s="95">
        <v>35000</v>
      </c>
      <c r="AN150" s="95">
        <v>8</v>
      </c>
      <c r="AO150" s="96">
        <v>70000</v>
      </c>
      <c r="AP150" s="96">
        <v>5</v>
      </c>
      <c r="AQ150" s="97">
        <v>210000</v>
      </c>
      <c r="AR150" s="134">
        <v>3</v>
      </c>
      <c r="AS150" s="135"/>
      <c r="AT150" s="135"/>
      <c r="AU150" s="113">
        <v>5040000</v>
      </c>
      <c r="AV150" s="113">
        <v>15765800</v>
      </c>
      <c r="AW150" s="113">
        <v>358</v>
      </c>
      <c r="AX150" s="113"/>
      <c r="AY150" s="113">
        <v>468</v>
      </c>
      <c r="AZ150" s="113"/>
      <c r="BA150" s="113" t="s">
        <v>658</v>
      </c>
      <c r="BB150" s="32"/>
      <c r="BC150" s="32"/>
      <c r="BD150" s="32"/>
      <c r="BE150" s="32"/>
      <c r="BF150" s="32"/>
      <c r="BG150" s="32"/>
      <c r="BH150" s="32"/>
      <c r="BI150" s="32"/>
      <c r="BJ150" s="32"/>
      <c r="BK150" s="32"/>
      <c r="BL150" s="32"/>
      <c r="BM150" s="32"/>
      <c r="BN150" s="32"/>
      <c r="BO150" s="32"/>
      <c r="BP150" s="32">
        <v>1</v>
      </c>
      <c r="BQ150" s="84" t="s">
        <v>828</v>
      </c>
      <c r="BR150" s="32">
        <v>1</v>
      </c>
      <c r="BS150" s="32" t="s">
        <v>649</v>
      </c>
      <c r="BT150" s="32">
        <v>1</v>
      </c>
      <c r="BU150" s="32"/>
      <c r="BV150" s="81" t="s">
        <v>1213</v>
      </c>
      <c r="BW150" s="113"/>
      <c r="BX150" s="113"/>
      <c r="BY150" s="113"/>
      <c r="BZ150" s="113"/>
      <c r="CA150" s="113"/>
      <c r="CB150" s="113"/>
      <c r="CC150" s="113"/>
      <c r="CD150" s="32"/>
      <c r="CE150" s="32"/>
      <c r="CF150" s="32"/>
      <c r="CG150" s="32"/>
      <c r="CH150" s="32"/>
      <c r="CI150" s="32"/>
      <c r="CJ150" s="32"/>
      <c r="CK150" s="32"/>
      <c r="CL150" s="32"/>
      <c r="CM150" s="32"/>
      <c r="CN150" s="32"/>
    </row>
    <row r="151" spans="1:92" ht="21" customHeight="1">
      <c r="A151" s="109">
        <v>149</v>
      </c>
      <c r="B151" s="110" t="s">
        <v>1457</v>
      </c>
      <c r="C151" s="111" t="s">
        <v>1458</v>
      </c>
      <c r="D151" s="110" t="s">
        <v>1288</v>
      </c>
      <c r="E151" s="111" t="s">
        <v>1459</v>
      </c>
      <c r="F151" s="111" t="s">
        <v>131</v>
      </c>
      <c r="G151" s="24" t="s">
        <v>164</v>
      </c>
      <c r="H151" s="112" t="s">
        <v>1443</v>
      </c>
      <c r="I151" s="13"/>
      <c r="J151" s="38">
        <v>4127</v>
      </c>
      <c r="K151" s="130">
        <v>371.1</v>
      </c>
      <c r="L151" s="131">
        <v>81.8</v>
      </c>
      <c r="M151" s="131">
        <v>51.98</v>
      </c>
      <c r="N151" s="131">
        <v>54.39</v>
      </c>
      <c r="O151" s="39"/>
      <c r="P151" s="42" t="s">
        <v>420</v>
      </c>
      <c r="Q151" s="37" t="s">
        <v>270</v>
      </c>
      <c r="R151" s="37">
        <v>35</v>
      </c>
      <c r="S151" s="37">
        <v>40</v>
      </c>
      <c r="T151" s="37">
        <v>52</v>
      </c>
      <c r="U151" s="37">
        <v>70</v>
      </c>
      <c r="V151" s="16"/>
      <c r="W151" s="109">
        <v>197</v>
      </c>
      <c r="X151" s="100">
        <v>16000</v>
      </c>
      <c r="Y151" s="100">
        <v>20000</v>
      </c>
      <c r="Z151" s="100">
        <v>30000</v>
      </c>
      <c r="AA151" s="100">
        <v>45000</v>
      </c>
      <c r="AB151" s="100">
        <v>65000</v>
      </c>
      <c r="AC151" s="100">
        <v>87000</v>
      </c>
      <c r="AD151" s="100">
        <v>124000</v>
      </c>
      <c r="AE151" s="100">
        <v>167000</v>
      </c>
      <c r="AF151" s="94">
        <v>196000</v>
      </c>
      <c r="AG151" s="94">
        <v>218000</v>
      </c>
      <c r="AH151" s="94">
        <v>225000</v>
      </c>
      <c r="AI151" s="94">
        <v>232000</v>
      </c>
      <c r="AJ151" s="94"/>
      <c r="AK151" s="32"/>
      <c r="AL151" s="113">
        <v>5700000</v>
      </c>
      <c r="AM151" s="95">
        <v>35000</v>
      </c>
      <c r="AN151" s="95">
        <v>8</v>
      </c>
      <c r="AO151" s="96">
        <v>70000</v>
      </c>
      <c r="AP151" s="96">
        <v>5</v>
      </c>
      <c r="AQ151" s="97">
        <v>210000</v>
      </c>
      <c r="AR151" s="134">
        <v>2</v>
      </c>
      <c r="AS151" s="135"/>
      <c r="AT151" s="135"/>
      <c r="AU151" s="113">
        <v>4200000</v>
      </c>
      <c r="AV151" s="113">
        <v>9900000</v>
      </c>
      <c r="AW151" s="113"/>
      <c r="AX151" s="113"/>
      <c r="AY151" s="113"/>
      <c r="AZ151" s="113"/>
      <c r="BA151" s="82" t="s">
        <v>640</v>
      </c>
      <c r="BB151" s="32"/>
      <c r="BC151" s="32"/>
      <c r="BD151" s="32"/>
      <c r="BE151" s="32"/>
      <c r="BF151" s="32"/>
      <c r="BG151" s="32"/>
      <c r="BH151" s="32"/>
      <c r="BI151" s="32"/>
      <c r="BJ151" s="32"/>
      <c r="BK151" s="32"/>
      <c r="BL151" s="32"/>
      <c r="BM151" s="32"/>
      <c r="BN151" s="32"/>
      <c r="BO151" s="32">
        <v>1</v>
      </c>
      <c r="BP151" s="32"/>
      <c r="BQ151" s="32"/>
      <c r="BR151" s="32"/>
      <c r="BS151" s="32"/>
      <c r="BT151" s="32"/>
      <c r="BU151" s="32"/>
      <c r="BV151" s="113" t="s">
        <v>1005</v>
      </c>
      <c r="BW151" s="113"/>
      <c r="BX151" s="113"/>
      <c r="BY151" s="113"/>
      <c r="BZ151" s="113"/>
      <c r="CA151" s="113"/>
      <c r="CB151" s="113"/>
      <c r="CC151" s="113"/>
      <c r="CD151" s="32"/>
      <c r="CE151" s="32"/>
      <c r="CF151" s="32"/>
      <c r="CG151" s="32"/>
      <c r="CH151" s="32"/>
      <c r="CI151" s="32"/>
      <c r="CJ151" s="32"/>
      <c r="CK151" s="32"/>
      <c r="CL151" s="32"/>
      <c r="CM151" s="32"/>
      <c r="CN151" s="32"/>
    </row>
    <row r="152" spans="1:92" ht="21" customHeight="1">
      <c r="A152" s="109">
        <v>150</v>
      </c>
      <c r="B152" s="110" t="s">
        <v>1214</v>
      </c>
      <c r="C152" s="111" t="s">
        <v>875</v>
      </c>
      <c r="D152" s="110" t="s">
        <v>141</v>
      </c>
      <c r="E152" s="111" t="s">
        <v>874</v>
      </c>
      <c r="F152" s="111" t="s">
        <v>131</v>
      </c>
      <c r="G152" s="26" t="s">
        <v>173</v>
      </c>
      <c r="H152" s="112" t="s">
        <v>932</v>
      </c>
      <c r="I152" s="13">
        <v>4183</v>
      </c>
      <c r="J152" s="38">
        <v>4183</v>
      </c>
      <c r="K152" s="130">
        <v>347.2</v>
      </c>
      <c r="L152" s="131">
        <v>88.16</v>
      </c>
      <c r="M152" s="131">
        <v>70.97</v>
      </c>
      <c r="N152" s="131">
        <v>74.78</v>
      </c>
      <c r="O152" s="39"/>
      <c r="P152" s="42" t="s">
        <v>420</v>
      </c>
      <c r="Q152" s="16">
        <v>40</v>
      </c>
      <c r="R152" s="16">
        <v>30</v>
      </c>
      <c r="S152" s="16">
        <v>36</v>
      </c>
      <c r="T152" s="16">
        <v>38</v>
      </c>
      <c r="U152" s="16">
        <v>46</v>
      </c>
      <c r="V152" s="16">
        <v>52</v>
      </c>
      <c r="W152" s="109">
        <v>242</v>
      </c>
      <c r="X152" s="94">
        <v>9250</v>
      </c>
      <c r="Y152" s="94">
        <v>15100</v>
      </c>
      <c r="Z152" s="94">
        <v>24100</v>
      </c>
      <c r="AA152" s="94">
        <v>36200</v>
      </c>
      <c r="AB152" s="94">
        <v>52300</v>
      </c>
      <c r="AC152" s="94">
        <v>77500</v>
      </c>
      <c r="AD152" s="94">
        <v>114500</v>
      </c>
      <c r="AE152" s="94">
        <v>169500</v>
      </c>
      <c r="AF152" s="94">
        <v>251000</v>
      </c>
      <c r="AG152" s="94">
        <v>362000</v>
      </c>
      <c r="AH152" s="94">
        <v>463000</v>
      </c>
      <c r="AI152" s="94">
        <v>574000</v>
      </c>
      <c r="AJ152" s="94"/>
      <c r="AK152" s="32"/>
      <c r="AL152" s="113">
        <v>8593800</v>
      </c>
      <c r="AM152" s="95">
        <v>63000</v>
      </c>
      <c r="AN152" s="95">
        <v>8</v>
      </c>
      <c r="AO152" s="96">
        <v>126000</v>
      </c>
      <c r="AP152" s="96">
        <v>5</v>
      </c>
      <c r="AQ152" s="97">
        <v>378000</v>
      </c>
      <c r="AR152" s="134">
        <v>3</v>
      </c>
      <c r="AS152" s="135"/>
      <c r="AT152" s="135"/>
      <c r="AU152" s="32">
        <v>9072000</v>
      </c>
      <c r="AV152" s="113">
        <v>17665800</v>
      </c>
      <c r="AW152" s="113">
        <v>361</v>
      </c>
      <c r="AX152" s="113"/>
      <c r="AY152" s="113">
        <v>473</v>
      </c>
      <c r="AZ152" s="113"/>
      <c r="BA152" s="82" t="s">
        <v>639</v>
      </c>
      <c r="BB152" s="32"/>
      <c r="BC152" s="32"/>
      <c r="BD152" s="32"/>
      <c r="BE152" s="32"/>
      <c r="BF152" s="32"/>
      <c r="BG152" s="32"/>
      <c r="BH152" s="32"/>
      <c r="BI152" s="32"/>
      <c r="BJ152" s="32"/>
      <c r="BK152" s="32"/>
      <c r="BL152" s="32">
        <v>1</v>
      </c>
      <c r="BM152" s="32"/>
      <c r="BN152" s="32"/>
      <c r="BO152" s="32"/>
      <c r="BP152" s="32">
        <v>1</v>
      </c>
      <c r="BQ152" s="32"/>
      <c r="BR152" s="32"/>
      <c r="BS152" s="32"/>
      <c r="BT152" s="32">
        <v>1</v>
      </c>
      <c r="BU152" s="32"/>
      <c r="BV152" s="113" t="s">
        <v>1215</v>
      </c>
      <c r="BW152" s="113"/>
      <c r="BX152" s="113"/>
      <c r="BY152" s="113">
        <v>1</v>
      </c>
      <c r="BZ152" s="113">
        <v>9</v>
      </c>
      <c r="CA152" s="113"/>
      <c r="CB152" s="113"/>
      <c r="CC152" s="113"/>
      <c r="CD152" s="32"/>
      <c r="CE152" s="32"/>
      <c r="CF152" s="32"/>
      <c r="CG152" s="32"/>
      <c r="CH152" s="32"/>
      <c r="CI152" s="32"/>
      <c r="CJ152" s="32"/>
      <c r="CK152" s="32"/>
      <c r="CL152" s="32"/>
      <c r="CM152" s="32"/>
      <c r="CN152" s="32"/>
    </row>
    <row r="153" spans="1:92" ht="21" customHeight="1">
      <c r="A153" s="109">
        <v>151</v>
      </c>
      <c r="B153" s="110" t="s">
        <v>1539</v>
      </c>
      <c r="C153" s="111" t="s">
        <v>1540</v>
      </c>
      <c r="D153" s="110" t="s">
        <v>115</v>
      </c>
      <c r="E153" s="111" t="s">
        <v>1541</v>
      </c>
      <c r="F153" s="111" t="s">
        <v>131</v>
      </c>
      <c r="G153" s="26" t="s">
        <v>173</v>
      </c>
      <c r="H153" s="112" t="s">
        <v>1529</v>
      </c>
      <c r="I153" s="13"/>
      <c r="J153" s="14">
        <v>4262</v>
      </c>
      <c r="K153" s="130">
        <v>361.4</v>
      </c>
      <c r="L153" s="131">
        <v>87.26</v>
      </c>
      <c r="M153" s="131">
        <v>54.52</v>
      </c>
      <c r="N153" s="131">
        <v>59.57</v>
      </c>
      <c r="O153" s="39"/>
      <c r="P153" s="42" t="s">
        <v>420</v>
      </c>
      <c r="Q153" s="37" t="s">
        <v>270</v>
      </c>
      <c r="R153" s="16">
        <v>45</v>
      </c>
      <c r="S153" s="16">
        <v>50</v>
      </c>
      <c r="T153" s="16">
        <v>56</v>
      </c>
      <c r="U153" s="16">
        <v>62</v>
      </c>
      <c r="V153" s="16">
        <v>66</v>
      </c>
      <c r="W153" s="109">
        <v>279</v>
      </c>
      <c r="X153" s="100">
        <v>18000</v>
      </c>
      <c r="Y153" s="100">
        <v>28000</v>
      </c>
      <c r="Z153" s="100">
        <v>40000</v>
      </c>
      <c r="AA153" s="100">
        <v>60000</v>
      </c>
      <c r="AB153" s="100">
        <v>90000</v>
      </c>
      <c r="AC153" s="100">
        <v>130000</v>
      </c>
      <c r="AD153" s="100">
        <v>170000</v>
      </c>
      <c r="AE153" s="100">
        <v>225000</v>
      </c>
      <c r="AF153" s="100">
        <v>310000</v>
      </c>
      <c r="AG153" s="100">
        <v>400000</v>
      </c>
      <c r="AH153" s="100">
        <v>470000</v>
      </c>
      <c r="AI153" s="100">
        <v>510000</v>
      </c>
      <c r="AJ153" s="96">
        <v>549000</v>
      </c>
      <c r="AK153" s="32"/>
      <c r="AL153" s="113">
        <v>12000000</v>
      </c>
      <c r="AM153" s="95">
        <v>58500</v>
      </c>
      <c r="AN153" s="95">
        <v>8</v>
      </c>
      <c r="AO153" s="96">
        <v>117000</v>
      </c>
      <c r="AP153" s="96">
        <v>5</v>
      </c>
      <c r="AQ153" s="97">
        <v>351000</v>
      </c>
      <c r="AR153" s="134">
        <v>3</v>
      </c>
      <c r="AS153" s="135"/>
      <c r="AT153" s="135"/>
      <c r="AU153" s="32">
        <v>8424000</v>
      </c>
      <c r="AV153" s="113">
        <v>20424000</v>
      </c>
      <c r="AW153" s="113"/>
      <c r="AX153" s="113"/>
      <c r="AY153" s="113"/>
      <c r="AZ153" s="113"/>
      <c r="BA153" s="113" t="s">
        <v>639</v>
      </c>
      <c r="BB153" s="32"/>
      <c r="BC153" s="32"/>
      <c r="BD153" s="32"/>
      <c r="BE153" s="32"/>
      <c r="BF153" s="32"/>
      <c r="BG153" s="32"/>
      <c r="BH153" s="32"/>
      <c r="BI153" s="32"/>
      <c r="BJ153" s="32"/>
      <c r="BK153" s="32"/>
      <c r="BL153" s="32"/>
      <c r="BM153" s="32"/>
      <c r="BN153" s="32"/>
      <c r="BO153" s="32"/>
      <c r="BP153" s="32"/>
      <c r="BQ153" s="32"/>
      <c r="BR153" s="32"/>
      <c r="BS153" s="32"/>
      <c r="BT153" s="32"/>
      <c r="BU153" s="32"/>
      <c r="BV153" s="113"/>
      <c r="BW153" s="113"/>
      <c r="BX153" s="113"/>
      <c r="BY153" s="113"/>
      <c r="BZ153" s="113"/>
      <c r="CA153" s="113"/>
      <c r="CB153" s="113"/>
      <c r="CC153" s="113"/>
      <c r="CD153" s="32"/>
      <c r="CE153" s="32"/>
      <c r="CF153" s="32"/>
      <c r="CG153" s="32"/>
      <c r="CH153" s="32"/>
      <c r="CI153" s="32"/>
      <c r="CJ153" s="32"/>
      <c r="CK153" s="32"/>
      <c r="CL153" s="32"/>
      <c r="CM153" s="32"/>
      <c r="CN153" s="32"/>
    </row>
    <row r="154" spans="1:92" ht="21" customHeight="1">
      <c r="A154" s="109">
        <v>152</v>
      </c>
      <c r="B154" s="110" t="s">
        <v>1497</v>
      </c>
      <c r="C154" s="111" t="s">
        <v>1498</v>
      </c>
      <c r="D154" s="110" t="s">
        <v>1229</v>
      </c>
      <c r="E154" s="111" t="s">
        <v>1499</v>
      </c>
      <c r="F154" s="111" t="s">
        <v>131</v>
      </c>
      <c r="G154" s="26" t="s">
        <v>173</v>
      </c>
      <c r="H154" s="112" t="s">
        <v>1491</v>
      </c>
      <c r="I154" s="13"/>
      <c r="J154" s="14">
        <v>4264</v>
      </c>
      <c r="K154" s="130">
        <v>368.2</v>
      </c>
      <c r="L154" s="131">
        <v>83.11</v>
      </c>
      <c r="M154" s="131">
        <v>70.61</v>
      </c>
      <c r="N154" s="131">
        <v>56.07</v>
      </c>
      <c r="O154" s="39"/>
      <c r="P154" s="42" t="s">
        <v>420</v>
      </c>
      <c r="Q154" s="16">
        <v>40</v>
      </c>
      <c r="R154" s="16">
        <v>30</v>
      </c>
      <c r="S154" s="16">
        <v>36</v>
      </c>
      <c r="T154" s="16">
        <v>38</v>
      </c>
      <c r="U154" s="16">
        <v>46</v>
      </c>
      <c r="V154" s="16">
        <v>52</v>
      </c>
      <c r="W154" s="109">
        <v>242</v>
      </c>
      <c r="X154" s="103">
        <v>18000</v>
      </c>
      <c r="Y154" s="103">
        <v>28000</v>
      </c>
      <c r="Z154" s="103">
        <v>40000</v>
      </c>
      <c r="AA154" s="103">
        <v>60000</v>
      </c>
      <c r="AB154" s="103">
        <v>90000</v>
      </c>
      <c r="AC154" s="103">
        <v>130000</v>
      </c>
      <c r="AD154" s="103">
        <v>170000</v>
      </c>
      <c r="AE154" s="103">
        <v>225000</v>
      </c>
      <c r="AF154" s="16">
        <v>310000</v>
      </c>
      <c r="AG154" s="16">
        <v>400000</v>
      </c>
      <c r="AH154" s="16">
        <v>470000</v>
      </c>
      <c r="AI154" s="17">
        <v>510000</v>
      </c>
      <c r="AJ154" s="94">
        <v>549000</v>
      </c>
      <c r="AK154" s="32"/>
      <c r="AL154" s="113">
        <v>12000000</v>
      </c>
      <c r="AM154" s="95">
        <v>72000</v>
      </c>
      <c r="AN154" s="95">
        <v>8</v>
      </c>
      <c r="AO154" s="96">
        <v>144000</v>
      </c>
      <c r="AP154" s="96">
        <v>5</v>
      </c>
      <c r="AQ154" s="97">
        <v>432000</v>
      </c>
      <c r="AR154" s="134">
        <v>3</v>
      </c>
      <c r="AS154" s="135"/>
      <c r="AT154" s="135"/>
      <c r="AU154" s="32">
        <v>10368000</v>
      </c>
      <c r="AV154" s="113">
        <v>22368000</v>
      </c>
      <c r="AW154" s="113"/>
      <c r="AX154" s="113"/>
      <c r="AY154" s="113"/>
      <c r="AZ154" s="113"/>
      <c r="BA154" s="82" t="s">
        <v>1500</v>
      </c>
      <c r="BB154" s="32"/>
      <c r="BC154" s="32"/>
      <c r="BD154" s="32"/>
      <c r="BE154" s="32"/>
      <c r="BF154" s="32"/>
      <c r="BG154" s="32"/>
      <c r="BH154" s="32"/>
      <c r="BI154" s="32"/>
      <c r="BJ154" s="32"/>
      <c r="BK154" s="32"/>
      <c r="BL154" s="32"/>
      <c r="BM154" s="32"/>
      <c r="BN154" s="32"/>
      <c r="BO154" s="32"/>
      <c r="BP154" s="32"/>
      <c r="BQ154" s="32"/>
      <c r="BR154" s="32"/>
      <c r="BS154" s="32"/>
      <c r="BT154" s="32"/>
      <c r="BU154" s="32"/>
      <c r="BV154" s="113" t="s">
        <v>1501</v>
      </c>
      <c r="BW154" s="113"/>
      <c r="BX154" s="113"/>
      <c r="BY154" s="113"/>
      <c r="BZ154" s="113"/>
      <c r="CA154" s="113"/>
      <c r="CB154" s="113"/>
      <c r="CC154" s="113"/>
      <c r="CD154" s="32"/>
      <c r="CE154" s="32"/>
      <c r="CF154" s="32"/>
      <c r="CG154" s="32"/>
      <c r="CH154" s="32"/>
      <c r="CI154" s="32"/>
      <c r="CJ154" s="32"/>
      <c r="CK154" s="32"/>
      <c r="CL154" s="32"/>
      <c r="CM154" s="32"/>
      <c r="CN154" s="32"/>
    </row>
    <row r="155" spans="1:92" ht="21" customHeight="1">
      <c r="A155" s="109">
        <v>153</v>
      </c>
      <c r="B155" s="110" t="s">
        <v>1216</v>
      </c>
      <c r="C155" s="111" t="s">
        <v>1021</v>
      </c>
      <c r="D155" s="110" t="s">
        <v>530</v>
      </c>
      <c r="E155" s="111" t="s">
        <v>1022</v>
      </c>
      <c r="F155" s="111" t="s">
        <v>131</v>
      </c>
      <c r="G155" s="26" t="s">
        <v>173</v>
      </c>
      <c r="H155" s="112" t="s">
        <v>1016</v>
      </c>
      <c r="I155" s="13">
        <v>4265</v>
      </c>
      <c r="J155" s="14">
        <v>4265</v>
      </c>
      <c r="K155" s="130">
        <v>355</v>
      </c>
      <c r="L155" s="131">
        <v>85.46</v>
      </c>
      <c r="M155" s="131">
        <v>70.34</v>
      </c>
      <c r="N155" s="131">
        <v>65.790000000000006</v>
      </c>
      <c r="O155" s="39"/>
      <c r="P155" s="42" t="s">
        <v>420</v>
      </c>
      <c r="Q155" s="16">
        <v>40</v>
      </c>
      <c r="R155" s="16">
        <v>30</v>
      </c>
      <c r="S155" s="16">
        <v>36</v>
      </c>
      <c r="T155" s="16">
        <v>38</v>
      </c>
      <c r="U155" s="16">
        <v>46</v>
      </c>
      <c r="V155" s="16">
        <v>52</v>
      </c>
      <c r="W155" s="109">
        <v>242</v>
      </c>
      <c r="X155" s="103">
        <v>18000</v>
      </c>
      <c r="Y155" s="103">
        <v>28000</v>
      </c>
      <c r="Z155" s="103">
        <v>40000</v>
      </c>
      <c r="AA155" s="103">
        <v>60000</v>
      </c>
      <c r="AB155" s="103">
        <v>90000</v>
      </c>
      <c r="AC155" s="103">
        <v>130000</v>
      </c>
      <c r="AD155" s="103">
        <v>170000</v>
      </c>
      <c r="AE155" s="103">
        <v>225000</v>
      </c>
      <c r="AF155" s="16">
        <v>310000</v>
      </c>
      <c r="AG155" s="16">
        <v>400000</v>
      </c>
      <c r="AH155" s="16">
        <v>470000</v>
      </c>
      <c r="AI155" s="17">
        <v>510000</v>
      </c>
      <c r="AJ155" s="94">
        <v>549000</v>
      </c>
      <c r="AK155" s="32"/>
      <c r="AL155" s="113">
        <v>12000000</v>
      </c>
      <c r="AM155" s="95">
        <v>63000</v>
      </c>
      <c r="AN155" s="95">
        <v>8</v>
      </c>
      <c r="AO155" s="96">
        <v>126000</v>
      </c>
      <c r="AP155" s="96">
        <v>5</v>
      </c>
      <c r="AQ155" s="97">
        <v>378000</v>
      </c>
      <c r="AR155" s="134">
        <v>3</v>
      </c>
      <c r="AS155" s="135"/>
      <c r="AT155" s="135"/>
      <c r="AU155" s="32">
        <v>9072000</v>
      </c>
      <c r="AV155" s="113">
        <v>21072000</v>
      </c>
      <c r="AW155" s="113">
        <v>369</v>
      </c>
      <c r="AX155" s="113"/>
      <c r="AY155" s="113">
        <v>487</v>
      </c>
      <c r="AZ155" s="113"/>
      <c r="BA155" s="82" t="s">
        <v>639</v>
      </c>
      <c r="BB155" s="32"/>
      <c r="BC155" s="32"/>
      <c r="BD155" s="32"/>
      <c r="BE155" s="32"/>
      <c r="BF155" s="32"/>
      <c r="BG155" s="32"/>
      <c r="BH155" s="32"/>
      <c r="BI155" s="32"/>
      <c r="BJ155" s="32"/>
      <c r="BK155" s="32"/>
      <c r="BL155" s="32">
        <v>1</v>
      </c>
      <c r="BM155" s="32"/>
      <c r="BN155" s="32"/>
      <c r="BO155" s="32"/>
      <c r="BP155" s="32"/>
      <c r="BQ155" s="32"/>
      <c r="BR155" s="32"/>
      <c r="BS155" s="32"/>
      <c r="BT155" s="32"/>
      <c r="BU155" s="32"/>
      <c r="BV155" s="113" t="s">
        <v>1023</v>
      </c>
      <c r="BW155" s="113"/>
      <c r="BX155" s="113"/>
      <c r="BY155" s="113">
        <v>1</v>
      </c>
      <c r="BZ155" s="113">
        <v>9</v>
      </c>
      <c r="CA155" s="113"/>
      <c r="CB155" s="113"/>
      <c r="CC155" s="113"/>
      <c r="CD155" s="32"/>
      <c r="CE155" s="32"/>
      <c r="CF155" s="32"/>
      <c r="CG155" s="32"/>
      <c r="CH155" s="32"/>
      <c r="CI155" s="32"/>
      <c r="CJ155" s="32"/>
      <c r="CK155" s="32"/>
      <c r="CL155" s="32"/>
      <c r="CM155" s="32"/>
      <c r="CN155" s="32"/>
    </row>
    <row r="156" spans="1:92" ht="21" customHeight="1">
      <c r="A156" s="109">
        <v>154</v>
      </c>
      <c r="B156" s="110" t="s">
        <v>1386</v>
      </c>
      <c r="C156" s="111" t="s">
        <v>1377</v>
      </c>
      <c r="D156" s="110" t="s">
        <v>93</v>
      </c>
      <c r="E156" s="111" t="s">
        <v>1378</v>
      </c>
      <c r="F156" s="111" t="s">
        <v>131</v>
      </c>
      <c r="G156" s="26" t="s">
        <v>173</v>
      </c>
      <c r="H156" s="112" t="s">
        <v>1373</v>
      </c>
      <c r="I156" s="13"/>
      <c r="J156" s="14">
        <v>4308</v>
      </c>
      <c r="K156" s="130">
        <v>367.5</v>
      </c>
      <c r="L156" s="131">
        <v>87.44</v>
      </c>
      <c r="M156" s="131">
        <v>72.33</v>
      </c>
      <c r="N156" s="131">
        <v>49.35</v>
      </c>
      <c r="O156" s="39"/>
      <c r="P156" s="42" t="s">
        <v>420</v>
      </c>
      <c r="Q156" s="16" t="s">
        <v>270</v>
      </c>
      <c r="R156" s="16">
        <v>28</v>
      </c>
      <c r="S156" s="37">
        <v>36</v>
      </c>
      <c r="T156" s="37">
        <v>48</v>
      </c>
      <c r="U156" s="37">
        <v>58</v>
      </c>
      <c r="V156" s="37">
        <v>72</v>
      </c>
      <c r="W156" s="109">
        <v>242</v>
      </c>
      <c r="X156" s="103">
        <v>18000</v>
      </c>
      <c r="Y156" s="103">
        <v>28000</v>
      </c>
      <c r="Z156" s="103">
        <v>40000</v>
      </c>
      <c r="AA156" s="103">
        <v>60000</v>
      </c>
      <c r="AB156" s="103">
        <v>90000</v>
      </c>
      <c r="AC156" s="103">
        <v>130000</v>
      </c>
      <c r="AD156" s="103">
        <v>170000</v>
      </c>
      <c r="AE156" s="103">
        <v>225000</v>
      </c>
      <c r="AF156" s="16">
        <v>310000</v>
      </c>
      <c r="AG156" s="16">
        <v>400000</v>
      </c>
      <c r="AH156" s="16">
        <v>470000</v>
      </c>
      <c r="AI156" s="17">
        <v>510000</v>
      </c>
      <c r="AJ156" s="94">
        <v>549000</v>
      </c>
      <c r="AK156" s="32"/>
      <c r="AL156" s="113">
        <v>12000000</v>
      </c>
      <c r="AM156" s="95">
        <v>67500</v>
      </c>
      <c r="AN156" s="95">
        <v>8</v>
      </c>
      <c r="AO156" s="96">
        <v>135000</v>
      </c>
      <c r="AP156" s="96">
        <v>5</v>
      </c>
      <c r="AQ156" s="97">
        <v>405000</v>
      </c>
      <c r="AR156" s="134">
        <v>3</v>
      </c>
      <c r="AS156" s="135"/>
      <c r="AT156" s="135"/>
      <c r="AU156" s="32">
        <v>9720000</v>
      </c>
      <c r="AV156" s="113">
        <v>21720000</v>
      </c>
      <c r="AW156" s="113">
        <v>382</v>
      </c>
      <c r="AX156" s="113"/>
      <c r="AY156" s="113">
        <v>508</v>
      </c>
      <c r="AZ156" s="113"/>
      <c r="BA156" s="82" t="s">
        <v>639</v>
      </c>
      <c r="BB156" s="32"/>
      <c r="BC156" s="32"/>
      <c r="BD156" s="32"/>
      <c r="BE156" s="32"/>
      <c r="BF156" s="32"/>
      <c r="BG156" s="32"/>
      <c r="BH156" s="32"/>
      <c r="BI156" s="32"/>
      <c r="BJ156" s="32"/>
      <c r="BK156" s="32"/>
      <c r="BL156" s="32">
        <v>1</v>
      </c>
      <c r="BM156" s="32"/>
      <c r="BN156" s="32"/>
      <c r="BO156" s="32">
        <v>1</v>
      </c>
      <c r="BP156" s="32"/>
      <c r="BQ156" s="32"/>
      <c r="BR156" s="32"/>
      <c r="BS156" s="32"/>
      <c r="BT156" s="32"/>
      <c r="BU156" s="32"/>
      <c r="BV156" s="113" t="s">
        <v>94</v>
      </c>
      <c r="BW156" s="113"/>
      <c r="BX156" s="113"/>
      <c r="BY156" s="113"/>
      <c r="BZ156" s="113"/>
      <c r="CA156" s="113"/>
      <c r="CB156" s="113"/>
      <c r="CC156" s="113"/>
      <c r="CD156" s="32"/>
      <c r="CE156" s="32"/>
      <c r="CF156" s="32"/>
      <c r="CG156" s="32"/>
      <c r="CH156" s="32"/>
      <c r="CI156" s="32"/>
      <c r="CJ156" s="32"/>
      <c r="CK156" s="32"/>
      <c r="CL156" s="32"/>
      <c r="CM156" s="32"/>
      <c r="CN156" s="32"/>
    </row>
    <row r="157" spans="1:92" ht="21" customHeight="1">
      <c r="A157" s="109">
        <v>155</v>
      </c>
      <c r="B157" s="110" t="s">
        <v>1217</v>
      </c>
      <c r="C157" s="111" t="s">
        <v>998</v>
      </c>
      <c r="D157" s="110" t="s">
        <v>141</v>
      </c>
      <c r="E157" s="111" t="s">
        <v>999</v>
      </c>
      <c r="F157" s="111" t="s">
        <v>131</v>
      </c>
      <c r="G157" s="26" t="s">
        <v>173</v>
      </c>
      <c r="H157" s="112" t="s">
        <v>992</v>
      </c>
      <c r="I157" s="13">
        <v>4375</v>
      </c>
      <c r="J157" s="14">
        <v>4375</v>
      </c>
      <c r="K157" s="130">
        <v>361.5</v>
      </c>
      <c r="L157" s="131">
        <v>86.36</v>
      </c>
      <c r="M157" s="131">
        <v>76.33</v>
      </c>
      <c r="N157" s="131">
        <v>54.22</v>
      </c>
      <c r="O157" s="39"/>
      <c r="P157" s="42" t="s">
        <v>420</v>
      </c>
      <c r="Q157" s="16">
        <v>40</v>
      </c>
      <c r="R157" s="16">
        <v>30</v>
      </c>
      <c r="S157" s="16">
        <v>36</v>
      </c>
      <c r="T157" s="16">
        <v>38</v>
      </c>
      <c r="U157" s="16">
        <v>46</v>
      </c>
      <c r="V157" s="16">
        <v>52</v>
      </c>
      <c r="W157" s="109">
        <v>242</v>
      </c>
      <c r="X157" s="16">
        <v>18000</v>
      </c>
      <c r="Y157" s="16">
        <v>28000</v>
      </c>
      <c r="Z157" s="16">
        <v>40000</v>
      </c>
      <c r="AA157" s="16">
        <v>60000</v>
      </c>
      <c r="AB157" s="16">
        <v>90000</v>
      </c>
      <c r="AC157" s="16">
        <v>130000</v>
      </c>
      <c r="AD157" s="16">
        <v>170000</v>
      </c>
      <c r="AE157" s="16">
        <v>225000</v>
      </c>
      <c r="AF157" s="16">
        <v>310000</v>
      </c>
      <c r="AG157" s="16">
        <v>400000</v>
      </c>
      <c r="AH157" s="16">
        <v>470000</v>
      </c>
      <c r="AI157" s="17">
        <v>510000</v>
      </c>
      <c r="AJ157" s="94">
        <v>549000</v>
      </c>
      <c r="AK157" s="32"/>
      <c r="AL157" s="113">
        <v>12000000</v>
      </c>
      <c r="AM157" s="95">
        <v>67500</v>
      </c>
      <c r="AN157" s="95">
        <v>8</v>
      </c>
      <c r="AO157" s="96">
        <v>135000</v>
      </c>
      <c r="AP157" s="96">
        <v>5</v>
      </c>
      <c r="AQ157" s="97">
        <v>405000</v>
      </c>
      <c r="AR157" s="134">
        <v>3</v>
      </c>
      <c r="AS157" s="135"/>
      <c r="AT157" s="135"/>
      <c r="AU157" s="32">
        <v>9720000</v>
      </c>
      <c r="AV157" s="113">
        <v>21720000</v>
      </c>
      <c r="AW157" s="113">
        <v>376</v>
      </c>
      <c r="AX157" s="113"/>
      <c r="AY157" s="113">
        <v>498</v>
      </c>
      <c r="AZ157" s="113"/>
      <c r="BA157" s="82" t="s">
        <v>1000</v>
      </c>
      <c r="BB157" s="32"/>
      <c r="BC157" s="32"/>
      <c r="BD157" s="32"/>
      <c r="BE157" s="32"/>
      <c r="BF157" s="32"/>
      <c r="BG157" s="32"/>
      <c r="BH157" s="32"/>
      <c r="BI157" s="32"/>
      <c r="BJ157" s="32"/>
      <c r="BK157" s="32"/>
      <c r="BL157" s="32"/>
      <c r="BM157" s="32"/>
      <c r="BN157" s="32"/>
      <c r="BO157" s="32"/>
      <c r="BP157" s="32"/>
      <c r="BQ157" s="32"/>
      <c r="BR157" s="32"/>
      <c r="BS157" s="32"/>
      <c r="BT157" s="32"/>
      <c r="BU157" s="32"/>
      <c r="BV157" s="113" t="s">
        <v>1218</v>
      </c>
      <c r="BW157" s="113"/>
      <c r="BX157" s="113"/>
      <c r="BY157" s="113">
        <v>1</v>
      </c>
      <c r="BZ157" s="113">
        <v>9</v>
      </c>
      <c r="CA157" s="113"/>
      <c r="CB157" s="113"/>
      <c r="CC157" s="113"/>
      <c r="CD157" s="32"/>
      <c r="CE157" s="32"/>
      <c r="CF157" s="32"/>
      <c r="CG157" s="32"/>
      <c r="CH157" s="32"/>
      <c r="CI157" s="32"/>
      <c r="CJ157" s="32"/>
      <c r="CK157" s="32"/>
      <c r="CL157" s="32"/>
      <c r="CM157" s="32"/>
      <c r="CN157" s="32"/>
    </row>
    <row r="158" spans="1:92" ht="21" customHeight="1">
      <c r="A158" s="109">
        <v>156</v>
      </c>
      <c r="B158" s="23" t="s">
        <v>174</v>
      </c>
      <c r="C158" s="111" t="s">
        <v>175</v>
      </c>
      <c r="D158" s="110" t="s">
        <v>158</v>
      </c>
      <c r="E158" s="111" t="s">
        <v>347</v>
      </c>
      <c r="F158" s="111" t="s">
        <v>176</v>
      </c>
      <c r="G158" s="24" t="s">
        <v>164</v>
      </c>
      <c r="H158" s="112" t="s">
        <v>296</v>
      </c>
      <c r="I158" s="13">
        <v>3445</v>
      </c>
      <c r="J158" s="14">
        <v>3445</v>
      </c>
      <c r="K158" s="120">
        <v>364.6</v>
      </c>
      <c r="L158" s="121">
        <v>80.23</v>
      </c>
      <c r="M158" s="121">
        <v>43.06</v>
      </c>
      <c r="N158" s="121">
        <v>71.400000000000006</v>
      </c>
      <c r="O158" s="32">
        <v>7.45</v>
      </c>
      <c r="P158" s="41" t="s">
        <v>415</v>
      </c>
      <c r="Q158" s="16">
        <v>35</v>
      </c>
      <c r="R158" s="16">
        <v>15</v>
      </c>
      <c r="S158" s="16">
        <v>21</v>
      </c>
      <c r="T158" s="16">
        <v>24</v>
      </c>
      <c r="U158" s="16">
        <v>36</v>
      </c>
      <c r="V158" s="109"/>
      <c r="W158" s="109">
        <v>131</v>
      </c>
      <c r="X158" s="16">
        <v>5100</v>
      </c>
      <c r="Y158" s="16">
        <v>8300</v>
      </c>
      <c r="Z158" s="16">
        <v>13300</v>
      </c>
      <c r="AA158" s="16">
        <v>20000</v>
      </c>
      <c r="AB158" s="16">
        <v>28900</v>
      </c>
      <c r="AC158" s="16">
        <v>42500</v>
      </c>
      <c r="AD158" s="16">
        <v>63000</v>
      </c>
      <c r="AE158" s="16">
        <v>93500</v>
      </c>
      <c r="AF158" s="16">
        <v>138500</v>
      </c>
      <c r="AG158" s="16">
        <v>200000</v>
      </c>
      <c r="AH158" s="16">
        <v>255000</v>
      </c>
      <c r="AI158" s="17">
        <v>294000</v>
      </c>
      <c r="AJ158" s="94"/>
      <c r="AK158" s="32"/>
      <c r="AL158" s="113">
        <v>4648400</v>
      </c>
      <c r="AM158" s="95">
        <v>22500</v>
      </c>
      <c r="AN158" s="95">
        <v>6</v>
      </c>
      <c r="AO158" s="96">
        <v>45000</v>
      </c>
      <c r="AP158" s="96">
        <v>5</v>
      </c>
      <c r="AQ158" s="97">
        <v>135000</v>
      </c>
      <c r="AR158" s="134">
        <v>3</v>
      </c>
      <c r="AS158" s="135"/>
      <c r="AT158" s="135"/>
      <c r="AU158" s="113">
        <v>3060000</v>
      </c>
      <c r="AV158" s="32">
        <v>7708400</v>
      </c>
      <c r="AW158" s="113">
        <v>379</v>
      </c>
      <c r="AX158" s="113"/>
      <c r="AY158" s="113">
        <v>503</v>
      </c>
      <c r="AZ158" s="113">
        <v>1</v>
      </c>
      <c r="BA158" s="113" t="s">
        <v>633</v>
      </c>
      <c r="BB158" s="32">
        <v>1</v>
      </c>
      <c r="BC158" s="32"/>
      <c r="BD158" s="32">
        <v>1</v>
      </c>
      <c r="BE158" s="32">
        <v>1</v>
      </c>
      <c r="BF158" s="32"/>
      <c r="BG158" s="32"/>
      <c r="BH158" s="32"/>
      <c r="BI158" s="32"/>
      <c r="BJ158" s="32"/>
      <c r="BK158" s="32"/>
      <c r="BL158" s="32"/>
      <c r="BM158" s="32"/>
      <c r="BN158" s="32"/>
      <c r="BO158" s="32"/>
      <c r="BP158" s="32"/>
      <c r="BQ158" s="32"/>
      <c r="BR158" s="32"/>
      <c r="BS158" s="32"/>
      <c r="BT158" s="32"/>
      <c r="BU158" s="32">
        <v>1</v>
      </c>
      <c r="BV158" s="81" t="s">
        <v>1219</v>
      </c>
      <c r="BW158" s="113"/>
      <c r="BX158" s="113"/>
      <c r="BY158" s="113">
        <v>1</v>
      </c>
      <c r="BZ158" s="113">
        <v>7</v>
      </c>
      <c r="CA158" s="113"/>
      <c r="CB158" s="113"/>
      <c r="CC158" s="113"/>
      <c r="CD158" s="32"/>
      <c r="CE158" s="32"/>
      <c r="CF158" s="32"/>
      <c r="CG158" s="32"/>
      <c r="CH158" s="32"/>
      <c r="CI158" s="32"/>
      <c r="CJ158" s="32"/>
      <c r="CK158" s="32"/>
      <c r="CL158" s="32"/>
      <c r="CM158" s="32"/>
      <c r="CN158" s="32"/>
    </row>
    <row r="159" spans="1:92" ht="21" customHeight="1">
      <c r="A159" s="109">
        <v>157</v>
      </c>
      <c r="B159" s="23" t="s">
        <v>1502</v>
      </c>
      <c r="C159" s="111" t="s">
        <v>1503</v>
      </c>
      <c r="D159" s="110" t="s">
        <v>1229</v>
      </c>
      <c r="E159" s="111" t="s">
        <v>1504</v>
      </c>
      <c r="F159" s="111" t="s">
        <v>176</v>
      </c>
      <c r="G159" s="26" t="s">
        <v>173</v>
      </c>
      <c r="H159" s="149" t="s">
        <v>1491</v>
      </c>
      <c r="I159" s="13"/>
      <c r="J159" s="14">
        <v>3522</v>
      </c>
      <c r="K159" s="120">
        <v>364.6</v>
      </c>
      <c r="L159" s="121">
        <v>81.819999999999993</v>
      </c>
      <c r="M159" s="121">
        <v>45.96</v>
      </c>
      <c r="N159" s="121">
        <v>64.44</v>
      </c>
      <c r="O159" s="32"/>
      <c r="P159" s="42" t="s">
        <v>420</v>
      </c>
      <c r="Q159" s="16">
        <v>40</v>
      </c>
      <c r="R159" s="37">
        <v>30</v>
      </c>
      <c r="S159" s="37">
        <v>35</v>
      </c>
      <c r="T159" s="37">
        <v>40</v>
      </c>
      <c r="U159" s="37">
        <v>50</v>
      </c>
      <c r="V159" s="37">
        <v>55</v>
      </c>
      <c r="W159" s="109">
        <v>250</v>
      </c>
      <c r="X159" s="96">
        <v>20000</v>
      </c>
      <c r="Y159" s="96">
        <v>35000</v>
      </c>
      <c r="Z159" s="96">
        <v>50000</v>
      </c>
      <c r="AA159" s="105">
        <v>80000</v>
      </c>
      <c r="AB159" s="105">
        <v>115000</v>
      </c>
      <c r="AC159" s="105">
        <v>170000</v>
      </c>
      <c r="AD159" s="96">
        <v>260000</v>
      </c>
      <c r="AE159" s="96">
        <v>375000</v>
      </c>
      <c r="AF159" s="96">
        <v>585000</v>
      </c>
      <c r="AG159" s="96">
        <v>800000</v>
      </c>
      <c r="AH159" s="142">
        <v>940000</v>
      </c>
      <c r="AI159" s="142">
        <v>1020000</v>
      </c>
      <c r="AJ159" s="94">
        <v>1050000</v>
      </c>
      <c r="AK159" s="32"/>
      <c r="AL159" s="113">
        <v>22000000</v>
      </c>
      <c r="AM159" s="95">
        <v>27000</v>
      </c>
      <c r="AN159" s="95">
        <v>6</v>
      </c>
      <c r="AO159" s="96">
        <v>54000</v>
      </c>
      <c r="AP159" s="96">
        <v>5</v>
      </c>
      <c r="AQ159" s="97">
        <v>162000</v>
      </c>
      <c r="AR159" s="134">
        <v>4</v>
      </c>
      <c r="AS159" s="135"/>
      <c r="AT159" s="135"/>
      <c r="AU159" s="113">
        <v>4320000</v>
      </c>
      <c r="AV159" s="32">
        <v>26320000</v>
      </c>
      <c r="AW159" s="113"/>
      <c r="AX159" s="113"/>
      <c r="AY159" s="113"/>
      <c r="AZ159" s="113"/>
      <c r="BA159" s="113" t="s">
        <v>636</v>
      </c>
      <c r="BB159" s="32"/>
      <c r="BC159" s="32"/>
      <c r="BD159" s="32"/>
      <c r="BE159" s="32"/>
      <c r="BF159" s="32"/>
      <c r="BG159" s="32"/>
      <c r="BH159" s="32"/>
      <c r="BI159" s="32"/>
      <c r="BJ159" s="32"/>
      <c r="BK159" s="32"/>
      <c r="BL159" s="32"/>
      <c r="BM159" s="32"/>
      <c r="BN159" s="32"/>
      <c r="BO159" s="32"/>
      <c r="BP159" s="32"/>
      <c r="BQ159" s="32"/>
      <c r="BR159" s="32"/>
      <c r="BS159" s="32"/>
      <c r="BT159" s="32"/>
      <c r="BU159" s="32"/>
      <c r="BV159" s="113" t="s">
        <v>1228</v>
      </c>
      <c r="BW159" s="113"/>
      <c r="BX159" s="113"/>
      <c r="BY159" s="113"/>
      <c r="BZ159" s="113"/>
      <c r="CA159" s="113"/>
      <c r="CB159" s="113"/>
      <c r="CC159" s="113"/>
      <c r="CD159" s="32"/>
      <c r="CE159" s="32"/>
      <c r="CF159" s="32"/>
      <c r="CG159" s="32"/>
      <c r="CH159" s="32"/>
      <c r="CI159" s="32"/>
      <c r="CJ159" s="32"/>
      <c r="CK159" s="32"/>
      <c r="CL159" s="32"/>
      <c r="CM159" s="32"/>
      <c r="CN159" s="32"/>
    </row>
    <row r="160" spans="1:92" ht="21" customHeight="1">
      <c r="A160" s="109">
        <v>158</v>
      </c>
      <c r="B160" s="23" t="s">
        <v>1220</v>
      </c>
      <c r="C160" s="111" t="s">
        <v>178</v>
      </c>
      <c r="D160" s="110" t="s">
        <v>912</v>
      </c>
      <c r="E160" s="111" t="s">
        <v>178</v>
      </c>
      <c r="F160" s="111" t="s">
        <v>176</v>
      </c>
      <c r="G160" s="18" t="s">
        <v>89</v>
      </c>
      <c r="H160" s="112" t="s">
        <v>296</v>
      </c>
      <c r="I160" s="13">
        <v>3519</v>
      </c>
      <c r="J160" s="14">
        <v>3534</v>
      </c>
      <c r="K160" s="120">
        <v>369</v>
      </c>
      <c r="L160" s="121">
        <v>79.44</v>
      </c>
      <c r="M160" s="121">
        <v>38.58</v>
      </c>
      <c r="N160" s="121">
        <v>63.11</v>
      </c>
      <c r="O160" s="32">
        <v>6.1660000000000004</v>
      </c>
      <c r="P160" s="41" t="s">
        <v>415</v>
      </c>
      <c r="Q160" s="16">
        <v>35</v>
      </c>
      <c r="R160" s="16">
        <v>21</v>
      </c>
      <c r="S160" s="16">
        <v>28</v>
      </c>
      <c r="T160" s="16">
        <v>42</v>
      </c>
      <c r="U160" s="109"/>
      <c r="V160" s="109"/>
      <c r="W160" s="109">
        <v>126</v>
      </c>
      <c r="X160" s="103">
        <v>8000</v>
      </c>
      <c r="Y160" s="103">
        <v>12500</v>
      </c>
      <c r="Z160" s="103">
        <v>20000</v>
      </c>
      <c r="AA160" s="103">
        <v>40000</v>
      </c>
      <c r="AB160" s="103">
        <v>60000</v>
      </c>
      <c r="AC160" s="103">
        <v>90000</v>
      </c>
      <c r="AD160" s="103">
        <v>130000</v>
      </c>
      <c r="AE160" s="103">
        <v>160000</v>
      </c>
      <c r="AF160" s="103">
        <v>175000</v>
      </c>
      <c r="AG160" s="103">
        <v>192000</v>
      </c>
      <c r="AH160" s="103">
        <v>198000</v>
      </c>
      <c r="AI160" s="100"/>
      <c r="AJ160" s="94"/>
      <c r="AK160" s="32"/>
      <c r="AL160" s="113">
        <v>4342000</v>
      </c>
      <c r="AM160" s="95">
        <v>22500</v>
      </c>
      <c r="AN160" s="95">
        <v>5</v>
      </c>
      <c r="AO160" s="96">
        <v>45000</v>
      </c>
      <c r="AP160" s="96">
        <v>5</v>
      </c>
      <c r="AQ160" s="97">
        <v>135000</v>
      </c>
      <c r="AR160" s="134">
        <v>2</v>
      </c>
      <c r="AS160" s="135"/>
      <c r="AT160" s="135"/>
      <c r="AU160" s="113">
        <v>2430000</v>
      </c>
      <c r="AV160" s="32">
        <v>6772000</v>
      </c>
      <c r="AW160" s="113">
        <v>384</v>
      </c>
      <c r="AX160" s="113"/>
      <c r="AY160" s="113">
        <v>511</v>
      </c>
      <c r="AZ160" s="113">
        <v>1</v>
      </c>
      <c r="BA160" s="113" t="s">
        <v>633</v>
      </c>
      <c r="BB160" s="32"/>
      <c r="BC160" s="32"/>
      <c r="BD160" s="32">
        <v>1</v>
      </c>
      <c r="BE160" s="32">
        <v>1</v>
      </c>
      <c r="BF160" s="32"/>
      <c r="BG160" s="32">
        <v>1</v>
      </c>
      <c r="BH160" s="32"/>
      <c r="BI160" s="32"/>
      <c r="BJ160" s="32"/>
      <c r="BK160" s="32"/>
      <c r="BL160" s="32"/>
      <c r="BM160" s="32"/>
      <c r="BN160" s="32"/>
      <c r="BO160" s="32"/>
      <c r="BP160" s="32"/>
      <c r="BQ160" s="32"/>
      <c r="BR160" s="32"/>
      <c r="BS160" s="32"/>
      <c r="BT160" s="32"/>
      <c r="BU160" s="32">
        <v>1</v>
      </c>
      <c r="BV160" s="113"/>
      <c r="BW160" s="113"/>
      <c r="BX160" s="113"/>
      <c r="BY160" s="113"/>
      <c r="BZ160" s="113"/>
      <c r="CA160" s="113"/>
      <c r="CB160" s="113"/>
      <c r="CC160" s="113"/>
      <c r="CD160" s="32"/>
      <c r="CE160" s="32"/>
      <c r="CF160" s="32"/>
      <c r="CG160" s="32"/>
      <c r="CH160" s="32"/>
      <c r="CI160" s="32"/>
      <c r="CJ160" s="32"/>
      <c r="CK160" s="32"/>
      <c r="CL160" s="32"/>
      <c r="CM160" s="32"/>
      <c r="CN160" s="32"/>
    </row>
    <row r="161" spans="1:92" ht="21" customHeight="1">
      <c r="A161" s="109">
        <v>159</v>
      </c>
      <c r="B161" s="23" t="s">
        <v>179</v>
      </c>
      <c r="C161" s="111" t="s">
        <v>180</v>
      </c>
      <c r="D161" s="110" t="s">
        <v>530</v>
      </c>
      <c r="E161" s="111" t="s">
        <v>348</v>
      </c>
      <c r="F161" s="111" t="s">
        <v>176</v>
      </c>
      <c r="G161" s="24" t="s">
        <v>164</v>
      </c>
      <c r="H161" s="112" t="s">
        <v>296</v>
      </c>
      <c r="I161" s="13">
        <v>4047</v>
      </c>
      <c r="J161" s="14">
        <v>3548</v>
      </c>
      <c r="K161" s="120">
        <v>369.6</v>
      </c>
      <c r="L161" s="121">
        <v>80.319999999999993</v>
      </c>
      <c r="M161" s="121">
        <v>58.13</v>
      </c>
      <c r="N161" s="121">
        <v>60.57</v>
      </c>
      <c r="O161" s="32">
        <v>5.8159999999999998</v>
      </c>
      <c r="P161" s="41" t="s">
        <v>415</v>
      </c>
      <c r="Q161" s="16">
        <v>35</v>
      </c>
      <c r="R161" s="16">
        <v>15</v>
      </c>
      <c r="S161" s="16">
        <v>21</v>
      </c>
      <c r="T161" s="16">
        <v>24</v>
      </c>
      <c r="U161" s="16">
        <v>36</v>
      </c>
      <c r="V161" s="109"/>
      <c r="W161" s="109">
        <v>131</v>
      </c>
      <c r="X161" s="103">
        <v>5100</v>
      </c>
      <c r="Y161" s="103">
        <v>8300</v>
      </c>
      <c r="Z161" s="103">
        <v>13300</v>
      </c>
      <c r="AA161" s="103">
        <v>20000</v>
      </c>
      <c r="AB161" s="103">
        <v>28900</v>
      </c>
      <c r="AC161" s="103">
        <v>42500</v>
      </c>
      <c r="AD161" s="103">
        <v>63000</v>
      </c>
      <c r="AE161" s="103">
        <v>93500</v>
      </c>
      <c r="AF161" s="103">
        <v>138500</v>
      </c>
      <c r="AG161" s="103">
        <v>200000</v>
      </c>
      <c r="AH161" s="103">
        <v>255000</v>
      </c>
      <c r="AI161" s="100">
        <v>294000</v>
      </c>
      <c r="AJ161" s="94"/>
      <c r="AK161" s="32"/>
      <c r="AL161" s="113">
        <v>4648400</v>
      </c>
      <c r="AM161" s="95">
        <v>22500</v>
      </c>
      <c r="AN161" s="95">
        <v>6</v>
      </c>
      <c r="AO161" s="96">
        <v>45000</v>
      </c>
      <c r="AP161" s="96">
        <v>5</v>
      </c>
      <c r="AQ161" s="97">
        <v>135000</v>
      </c>
      <c r="AR161" s="134">
        <v>3</v>
      </c>
      <c r="AS161" s="135"/>
      <c r="AT161" s="135"/>
      <c r="AU161" s="113">
        <v>3060000</v>
      </c>
      <c r="AV161" s="32">
        <v>7708400</v>
      </c>
      <c r="AW161" s="113">
        <v>384</v>
      </c>
      <c r="AX161" s="113"/>
      <c r="AY161" s="113">
        <v>512</v>
      </c>
      <c r="AZ161" s="113">
        <v>12</v>
      </c>
      <c r="BA161" s="113" t="s">
        <v>633</v>
      </c>
      <c r="BB161" s="32"/>
      <c r="BC161" s="32"/>
      <c r="BD161" s="32">
        <v>1</v>
      </c>
      <c r="BE161" s="32"/>
      <c r="BF161" s="32"/>
      <c r="BG161" s="32">
        <v>1</v>
      </c>
      <c r="BH161" s="32"/>
      <c r="BI161" s="32"/>
      <c r="BJ161" s="32"/>
      <c r="BK161" s="32"/>
      <c r="BL161" s="32"/>
      <c r="BM161" s="32"/>
      <c r="BN161" s="32"/>
      <c r="BO161" s="32"/>
      <c r="BP161" s="32"/>
      <c r="BQ161" s="32"/>
      <c r="BR161" s="32"/>
      <c r="BS161" s="32"/>
      <c r="BT161" s="32"/>
      <c r="BU161" s="32">
        <v>1</v>
      </c>
      <c r="BV161" s="81" t="s">
        <v>1221</v>
      </c>
      <c r="BW161" s="113"/>
      <c r="BX161" s="113"/>
      <c r="BY161" s="113">
        <v>1</v>
      </c>
      <c r="BZ161" s="113">
        <v>7</v>
      </c>
      <c r="CA161" s="113"/>
      <c r="CB161" s="113"/>
      <c r="CC161" s="113"/>
      <c r="CD161" s="32"/>
      <c r="CE161" s="32"/>
      <c r="CF161" s="32"/>
      <c r="CG161" s="32"/>
      <c r="CH161" s="32"/>
      <c r="CI161" s="32"/>
      <c r="CJ161" s="32"/>
      <c r="CK161" s="32"/>
      <c r="CL161" s="32"/>
      <c r="CM161" s="32"/>
      <c r="CN161" s="32"/>
    </row>
    <row r="162" spans="1:92" ht="21" customHeight="1">
      <c r="A162" s="109">
        <v>160</v>
      </c>
      <c r="B162" s="23" t="s">
        <v>181</v>
      </c>
      <c r="C162" s="111" t="s">
        <v>183</v>
      </c>
      <c r="D162" s="110" t="s">
        <v>182</v>
      </c>
      <c r="E162" s="111" t="s">
        <v>349</v>
      </c>
      <c r="F162" s="111" t="s">
        <v>176</v>
      </c>
      <c r="G162" s="24" t="s">
        <v>164</v>
      </c>
      <c r="H162" s="112" t="s">
        <v>296</v>
      </c>
      <c r="I162" s="13">
        <v>3602</v>
      </c>
      <c r="J162" s="14">
        <v>3602</v>
      </c>
      <c r="K162" s="120">
        <v>364.6</v>
      </c>
      <c r="L162" s="121">
        <v>83.64</v>
      </c>
      <c r="M162" s="121">
        <v>47.54</v>
      </c>
      <c r="N162" s="121">
        <v>62.89</v>
      </c>
      <c r="O162" s="32">
        <v>6.02</v>
      </c>
      <c r="P162" s="41" t="s">
        <v>415</v>
      </c>
      <c r="Q162" s="16">
        <v>35</v>
      </c>
      <c r="R162" s="16">
        <v>15</v>
      </c>
      <c r="S162" s="16">
        <v>21</v>
      </c>
      <c r="T162" s="16">
        <v>24</v>
      </c>
      <c r="U162" s="16">
        <v>36</v>
      </c>
      <c r="V162" s="109"/>
      <c r="W162" s="109">
        <v>131</v>
      </c>
      <c r="X162" s="103">
        <v>6550</v>
      </c>
      <c r="Y162" s="103">
        <v>10600</v>
      </c>
      <c r="Z162" s="103">
        <v>17000</v>
      </c>
      <c r="AA162" s="103">
        <v>25600</v>
      </c>
      <c r="AB162" s="103">
        <v>36900</v>
      </c>
      <c r="AC162" s="103">
        <v>54500</v>
      </c>
      <c r="AD162" s="103">
        <v>81000</v>
      </c>
      <c r="AE162" s="100">
        <v>119500</v>
      </c>
      <c r="AF162" s="100">
        <v>177000</v>
      </c>
      <c r="AG162" s="100">
        <v>256000</v>
      </c>
      <c r="AH162" s="103">
        <v>327000</v>
      </c>
      <c r="AI162" s="103">
        <v>376000</v>
      </c>
      <c r="AJ162" s="94"/>
      <c r="AK162" s="32"/>
      <c r="AL162" s="113">
        <v>5950600</v>
      </c>
      <c r="AM162" s="95">
        <v>25000</v>
      </c>
      <c r="AN162" s="95">
        <v>6</v>
      </c>
      <c r="AO162" s="96">
        <v>50000</v>
      </c>
      <c r="AP162" s="96">
        <v>5</v>
      </c>
      <c r="AQ162" s="97">
        <v>150000</v>
      </c>
      <c r="AR162" s="134">
        <v>3</v>
      </c>
      <c r="AS162" s="135"/>
      <c r="AT162" s="135"/>
      <c r="AU162" s="113">
        <v>3400000</v>
      </c>
      <c r="AV162" s="32">
        <v>9350600</v>
      </c>
      <c r="AW162" s="113">
        <v>379</v>
      </c>
      <c r="AX162" s="113"/>
      <c r="AY162" s="113">
        <v>503</v>
      </c>
      <c r="AZ162" s="113">
        <v>1</v>
      </c>
      <c r="BA162" s="113" t="s">
        <v>635</v>
      </c>
      <c r="BB162" s="32"/>
      <c r="BC162" s="32"/>
      <c r="BD162" s="32"/>
      <c r="BE162" s="32"/>
      <c r="BF162" s="32"/>
      <c r="BG162" s="32">
        <v>1</v>
      </c>
      <c r="BH162" s="32"/>
      <c r="BI162" s="32"/>
      <c r="BJ162" s="32"/>
      <c r="BK162" s="32"/>
      <c r="BL162" s="32"/>
      <c r="BM162" s="32"/>
      <c r="BN162" s="32"/>
      <c r="BO162" s="32"/>
      <c r="BP162" s="32"/>
      <c r="BQ162" s="32" t="s">
        <v>800</v>
      </c>
      <c r="BR162" s="32"/>
      <c r="BS162" s="32"/>
      <c r="BT162" s="32"/>
      <c r="BU162" s="32">
        <v>1</v>
      </c>
      <c r="BV162" s="81" t="s">
        <v>755</v>
      </c>
      <c r="BW162" s="113"/>
      <c r="BX162" s="113"/>
      <c r="BY162" s="113">
        <v>1</v>
      </c>
      <c r="BZ162" s="113">
        <v>7</v>
      </c>
      <c r="CA162" s="113"/>
      <c r="CB162" s="113"/>
      <c r="CC162" s="113"/>
      <c r="CD162" s="32"/>
      <c r="CE162" s="32"/>
      <c r="CF162" s="32"/>
      <c r="CG162" s="32"/>
      <c r="CH162" s="32"/>
      <c r="CI162" s="32"/>
      <c r="CJ162" s="32"/>
      <c r="CK162" s="32"/>
      <c r="CL162" s="32"/>
      <c r="CM162" s="32"/>
      <c r="CN162" s="32"/>
    </row>
    <row r="163" spans="1:92" ht="21" customHeight="1">
      <c r="A163" s="109">
        <v>161</v>
      </c>
      <c r="B163" s="23" t="s">
        <v>1222</v>
      </c>
      <c r="C163" s="111" t="s">
        <v>696</v>
      </c>
      <c r="D163" s="110" t="s">
        <v>620</v>
      </c>
      <c r="E163" s="111" t="s">
        <v>695</v>
      </c>
      <c r="F163" s="111" t="s">
        <v>176</v>
      </c>
      <c r="G163" s="24" t="s">
        <v>164</v>
      </c>
      <c r="H163" s="112" t="s">
        <v>863</v>
      </c>
      <c r="I163" s="13">
        <v>3674</v>
      </c>
      <c r="J163" s="14">
        <v>3678</v>
      </c>
      <c r="K163" s="120">
        <v>350.1</v>
      </c>
      <c r="L163" s="121">
        <v>79.44</v>
      </c>
      <c r="M163" s="121">
        <v>73.510000000000005</v>
      </c>
      <c r="N163" s="121">
        <v>73.66</v>
      </c>
      <c r="O163" s="15"/>
      <c r="P163" s="42" t="s">
        <v>420</v>
      </c>
      <c r="Q163" s="16" t="s">
        <v>270</v>
      </c>
      <c r="R163" s="16">
        <v>30</v>
      </c>
      <c r="S163" s="16">
        <v>38</v>
      </c>
      <c r="T163" s="16">
        <v>55</v>
      </c>
      <c r="U163" s="16">
        <v>77</v>
      </c>
      <c r="V163" s="109"/>
      <c r="W163" s="109">
        <v>200</v>
      </c>
      <c r="X163" s="16">
        <v>6550</v>
      </c>
      <c r="Y163" s="16">
        <v>10600</v>
      </c>
      <c r="Z163" s="16">
        <v>17000</v>
      </c>
      <c r="AA163" s="16">
        <v>25600</v>
      </c>
      <c r="AB163" s="16">
        <v>36900</v>
      </c>
      <c r="AC163" s="16">
        <v>54500</v>
      </c>
      <c r="AD163" s="16">
        <v>81000</v>
      </c>
      <c r="AE163" s="17">
        <v>119500</v>
      </c>
      <c r="AF163" s="17">
        <v>177000</v>
      </c>
      <c r="AG163" s="17">
        <v>256000</v>
      </c>
      <c r="AH163" s="103">
        <v>327000</v>
      </c>
      <c r="AI163" s="103">
        <v>376000</v>
      </c>
      <c r="AJ163" s="94"/>
      <c r="AK163" s="32"/>
      <c r="AL163" s="113">
        <v>5950600</v>
      </c>
      <c r="AM163" s="95">
        <v>25000</v>
      </c>
      <c r="AN163" s="95">
        <v>6</v>
      </c>
      <c r="AO163" s="96">
        <v>50000</v>
      </c>
      <c r="AP163" s="96">
        <v>5</v>
      </c>
      <c r="AQ163" s="97">
        <v>150000</v>
      </c>
      <c r="AR163" s="134">
        <v>3</v>
      </c>
      <c r="AS163" s="135"/>
      <c r="AT163" s="135"/>
      <c r="AU163" s="113">
        <v>3400000</v>
      </c>
      <c r="AV163" s="32">
        <v>9350600</v>
      </c>
      <c r="AW163" s="113">
        <v>364</v>
      </c>
      <c r="AX163" s="113"/>
      <c r="AY163" s="113">
        <v>478</v>
      </c>
      <c r="AZ163" s="113"/>
      <c r="BA163" s="82" t="s">
        <v>640</v>
      </c>
      <c r="BB163" s="32"/>
      <c r="BC163" s="32"/>
      <c r="BD163" s="32"/>
      <c r="BE163" s="32"/>
      <c r="BF163" s="32"/>
      <c r="BG163" s="32"/>
      <c r="BH163" s="32"/>
      <c r="BI163" s="32"/>
      <c r="BJ163" s="32"/>
      <c r="BK163" s="32"/>
      <c r="BL163" s="32"/>
      <c r="BM163" s="32">
        <v>1</v>
      </c>
      <c r="BN163" s="32"/>
      <c r="BO163" s="32">
        <v>1</v>
      </c>
      <c r="BP163" s="32">
        <v>1</v>
      </c>
      <c r="BQ163" s="32"/>
      <c r="BR163" s="32"/>
      <c r="BS163" s="32" t="s">
        <v>650</v>
      </c>
      <c r="BT163" s="32"/>
      <c r="BU163" s="32"/>
      <c r="BV163" s="113" t="s">
        <v>1223</v>
      </c>
      <c r="BW163" s="113"/>
      <c r="BX163" s="113"/>
      <c r="BY163" s="113"/>
      <c r="BZ163" s="113"/>
      <c r="CA163" s="113"/>
      <c r="CB163" s="113"/>
      <c r="CC163" s="113"/>
      <c r="CD163" s="32"/>
      <c r="CE163" s="32"/>
      <c r="CF163" s="32"/>
      <c r="CG163" s="32"/>
      <c r="CH163" s="32"/>
      <c r="CI163" s="32"/>
      <c r="CJ163" s="32"/>
      <c r="CK163" s="32"/>
      <c r="CL163" s="32"/>
      <c r="CM163" s="32"/>
      <c r="CN163" s="32"/>
    </row>
    <row r="164" spans="1:92" ht="21" customHeight="1">
      <c r="A164" s="109">
        <v>162</v>
      </c>
      <c r="B164" s="23" t="s">
        <v>184</v>
      </c>
      <c r="C164" s="111" t="s">
        <v>185</v>
      </c>
      <c r="D164" s="110" t="s">
        <v>141</v>
      </c>
      <c r="E164" s="111" t="s">
        <v>351</v>
      </c>
      <c r="F164" s="111" t="s">
        <v>176</v>
      </c>
      <c r="G164" s="24" t="s">
        <v>164</v>
      </c>
      <c r="H164" s="112" t="s">
        <v>296</v>
      </c>
      <c r="I164" s="13">
        <v>3709</v>
      </c>
      <c r="J164" s="14">
        <v>3696</v>
      </c>
      <c r="K164" s="120">
        <v>363.7</v>
      </c>
      <c r="L164" s="121">
        <v>80.48</v>
      </c>
      <c r="M164" s="121">
        <v>47.46</v>
      </c>
      <c r="N164" s="121">
        <v>70.31</v>
      </c>
      <c r="O164" s="32">
        <v>7.25</v>
      </c>
      <c r="P164" s="41" t="s">
        <v>415</v>
      </c>
      <c r="Q164" s="16">
        <v>35</v>
      </c>
      <c r="R164" s="16">
        <v>15</v>
      </c>
      <c r="S164" s="16">
        <v>21</v>
      </c>
      <c r="T164" s="16">
        <v>24</v>
      </c>
      <c r="U164" s="16">
        <v>36</v>
      </c>
      <c r="V164" s="109"/>
      <c r="W164" s="109">
        <v>131</v>
      </c>
      <c r="X164" s="103">
        <v>6550</v>
      </c>
      <c r="Y164" s="103">
        <v>10600</v>
      </c>
      <c r="Z164" s="103">
        <v>17000</v>
      </c>
      <c r="AA164" s="103">
        <v>25600</v>
      </c>
      <c r="AB164" s="103">
        <v>36900</v>
      </c>
      <c r="AC164" s="103">
        <v>54500</v>
      </c>
      <c r="AD164" s="103">
        <v>81000</v>
      </c>
      <c r="AE164" s="100">
        <v>119500</v>
      </c>
      <c r="AF164" s="100">
        <v>177000</v>
      </c>
      <c r="AG164" s="100">
        <v>256000</v>
      </c>
      <c r="AH164" s="103">
        <v>327000</v>
      </c>
      <c r="AI164" s="103">
        <v>376000</v>
      </c>
      <c r="AJ164" s="94"/>
      <c r="AK164" s="32"/>
      <c r="AL164" s="113">
        <v>5950600</v>
      </c>
      <c r="AM164" s="95">
        <v>25000</v>
      </c>
      <c r="AN164" s="95">
        <v>6</v>
      </c>
      <c r="AO164" s="96">
        <v>50000</v>
      </c>
      <c r="AP164" s="96">
        <v>5</v>
      </c>
      <c r="AQ164" s="97">
        <v>150000</v>
      </c>
      <c r="AR164" s="134">
        <v>3</v>
      </c>
      <c r="AS164" s="135"/>
      <c r="AT164" s="135"/>
      <c r="AU164" s="113">
        <v>3400000</v>
      </c>
      <c r="AV164" s="32">
        <v>9350600</v>
      </c>
      <c r="AW164" s="113">
        <v>378</v>
      </c>
      <c r="AX164" s="113"/>
      <c r="AY164" s="113">
        <v>502</v>
      </c>
      <c r="AZ164" s="113">
        <v>1</v>
      </c>
      <c r="BA164" s="113" t="s">
        <v>635</v>
      </c>
      <c r="BB164" s="32"/>
      <c r="BC164" s="32"/>
      <c r="BD164" s="32">
        <v>1</v>
      </c>
      <c r="BE164" s="32"/>
      <c r="BF164" s="32"/>
      <c r="BG164" s="32">
        <v>1</v>
      </c>
      <c r="BH164" s="32"/>
      <c r="BI164" s="32"/>
      <c r="BJ164" s="32"/>
      <c r="BK164" s="32"/>
      <c r="BL164" s="32"/>
      <c r="BM164" s="32"/>
      <c r="BN164" s="32"/>
      <c r="BO164" s="32"/>
      <c r="BP164" s="32"/>
      <c r="BQ164" s="32" t="s">
        <v>800</v>
      </c>
      <c r="BR164" s="32"/>
      <c r="BS164" s="32"/>
      <c r="BT164" s="32"/>
      <c r="BU164" s="32">
        <v>1</v>
      </c>
      <c r="BV164" s="81" t="s">
        <v>1224</v>
      </c>
      <c r="BW164" s="113"/>
      <c r="BX164" s="113"/>
      <c r="BY164" s="113">
        <v>1</v>
      </c>
      <c r="BZ164" s="113">
        <v>14</v>
      </c>
      <c r="CA164" s="113"/>
      <c r="CB164" s="113"/>
      <c r="CC164" s="113"/>
      <c r="CD164" s="32"/>
      <c r="CE164" s="32"/>
      <c r="CF164" s="32"/>
      <c r="CG164" s="32"/>
      <c r="CH164" s="32"/>
      <c r="CI164" s="32"/>
      <c r="CJ164" s="32"/>
      <c r="CK164" s="32"/>
      <c r="CL164" s="32"/>
      <c r="CM164" s="32"/>
      <c r="CN164" s="32"/>
    </row>
    <row r="165" spans="1:92" ht="21" customHeight="1">
      <c r="A165" s="109">
        <v>163</v>
      </c>
      <c r="B165" s="23" t="s">
        <v>186</v>
      </c>
      <c r="C165" s="111" t="s">
        <v>595</v>
      </c>
      <c r="D165" s="110" t="s">
        <v>158</v>
      </c>
      <c r="E165" s="111" t="s">
        <v>352</v>
      </c>
      <c r="F165" s="111" t="s">
        <v>176</v>
      </c>
      <c r="G165" s="24" t="s">
        <v>164</v>
      </c>
      <c r="H165" s="112" t="s">
        <v>303</v>
      </c>
      <c r="I165" s="13">
        <v>3724</v>
      </c>
      <c r="J165" s="14">
        <v>3705</v>
      </c>
      <c r="K165" s="120">
        <v>360.3</v>
      </c>
      <c r="L165" s="121">
        <v>78.38</v>
      </c>
      <c r="M165" s="121">
        <v>40.119999999999997</v>
      </c>
      <c r="N165" s="121">
        <v>80.180000000000007</v>
      </c>
      <c r="O165" s="32">
        <v>9.6660000000000004</v>
      </c>
      <c r="P165" s="41" t="s">
        <v>415</v>
      </c>
      <c r="Q165" s="16">
        <v>40</v>
      </c>
      <c r="R165" s="16">
        <v>18</v>
      </c>
      <c r="S165" s="16">
        <v>21</v>
      </c>
      <c r="T165" s="16">
        <v>25</v>
      </c>
      <c r="U165" s="16">
        <v>36</v>
      </c>
      <c r="V165" s="109"/>
      <c r="W165" s="109">
        <v>140</v>
      </c>
      <c r="X165" s="16">
        <v>6550</v>
      </c>
      <c r="Y165" s="16">
        <v>10600</v>
      </c>
      <c r="Z165" s="16">
        <v>17000</v>
      </c>
      <c r="AA165" s="16">
        <v>25600</v>
      </c>
      <c r="AB165" s="16">
        <v>36900</v>
      </c>
      <c r="AC165" s="16">
        <v>54500</v>
      </c>
      <c r="AD165" s="16">
        <v>81000</v>
      </c>
      <c r="AE165" s="17">
        <v>119500</v>
      </c>
      <c r="AF165" s="17">
        <v>177000</v>
      </c>
      <c r="AG165" s="17">
        <v>256000</v>
      </c>
      <c r="AH165" s="16">
        <v>327000</v>
      </c>
      <c r="AI165" s="16">
        <v>376000</v>
      </c>
      <c r="AJ165" s="94"/>
      <c r="AK165" s="32"/>
      <c r="AL165" s="113">
        <v>5950600</v>
      </c>
      <c r="AM165" s="95">
        <v>25000</v>
      </c>
      <c r="AN165" s="95">
        <v>6</v>
      </c>
      <c r="AO165" s="96">
        <v>50000</v>
      </c>
      <c r="AP165" s="96">
        <v>5</v>
      </c>
      <c r="AQ165" s="97">
        <v>150000</v>
      </c>
      <c r="AR165" s="134">
        <v>3</v>
      </c>
      <c r="AS165" s="135"/>
      <c r="AT165" s="135"/>
      <c r="AU165" s="113">
        <v>3400000</v>
      </c>
      <c r="AV165" s="32">
        <v>9350600</v>
      </c>
      <c r="AW165" s="113">
        <v>375</v>
      </c>
      <c r="AX165" s="113"/>
      <c r="AY165" s="113">
        <v>496</v>
      </c>
      <c r="AZ165" s="113">
        <v>1</v>
      </c>
      <c r="BA165" s="113" t="s">
        <v>658</v>
      </c>
      <c r="BB165" s="32"/>
      <c r="BC165" s="32"/>
      <c r="BD165" s="32">
        <v>1</v>
      </c>
      <c r="BE165" s="32"/>
      <c r="BF165" s="32"/>
      <c r="BG165" s="32">
        <v>1</v>
      </c>
      <c r="BH165" s="32"/>
      <c r="BI165" s="32"/>
      <c r="BJ165" s="32"/>
      <c r="BK165" s="32"/>
      <c r="BL165" s="32"/>
      <c r="BM165" s="32"/>
      <c r="BN165" s="32"/>
      <c r="BO165" s="32"/>
      <c r="BP165" s="32"/>
      <c r="BQ165" s="32"/>
      <c r="BR165" s="32"/>
      <c r="BS165" s="32"/>
      <c r="BT165" s="32"/>
      <c r="BU165" s="32">
        <v>1</v>
      </c>
      <c r="BV165" s="81" t="s">
        <v>1225</v>
      </c>
      <c r="BW165" s="113"/>
      <c r="BX165" s="113"/>
      <c r="BY165" s="113">
        <v>1</v>
      </c>
      <c r="BZ165" s="113">
        <v>7</v>
      </c>
      <c r="CA165" s="113"/>
      <c r="CB165" s="113"/>
      <c r="CC165" s="113"/>
      <c r="CD165" s="32"/>
      <c r="CE165" s="32"/>
      <c r="CF165" s="32"/>
      <c r="CG165" s="32"/>
      <c r="CH165" s="32"/>
      <c r="CI165" s="32"/>
      <c r="CJ165" s="32"/>
      <c r="CK165" s="32"/>
      <c r="CL165" s="32"/>
      <c r="CM165" s="32"/>
      <c r="CN165" s="32"/>
    </row>
    <row r="166" spans="1:92" ht="21" customHeight="1">
      <c r="A166" s="109">
        <v>164</v>
      </c>
      <c r="B166" s="23" t="s">
        <v>208</v>
      </c>
      <c r="C166" s="111" t="s">
        <v>209</v>
      </c>
      <c r="D166" s="110" t="s">
        <v>141</v>
      </c>
      <c r="E166" s="111" t="s">
        <v>362</v>
      </c>
      <c r="F166" s="111" t="s">
        <v>176</v>
      </c>
      <c r="G166" s="26" t="s">
        <v>173</v>
      </c>
      <c r="H166" s="112" t="s">
        <v>543</v>
      </c>
      <c r="I166" s="13">
        <v>3997</v>
      </c>
      <c r="J166" s="38">
        <v>3706</v>
      </c>
      <c r="K166" s="130">
        <v>331.2</v>
      </c>
      <c r="L166" s="131">
        <v>76.48</v>
      </c>
      <c r="M166" s="131">
        <v>75.430000000000007</v>
      </c>
      <c r="N166" s="131">
        <v>59.41</v>
      </c>
      <c r="O166" s="39"/>
      <c r="P166" s="41" t="s">
        <v>415</v>
      </c>
      <c r="Q166" s="37">
        <v>50</v>
      </c>
      <c r="R166" s="37">
        <v>15</v>
      </c>
      <c r="S166" s="37">
        <v>18</v>
      </c>
      <c r="T166" s="37">
        <v>24</v>
      </c>
      <c r="U166" s="37">
        <v>38</v>
      </c>
      <c r="V166" s="37">
        <v>45</v>
      </c>
      <c r="W166" s="109">
        <v>190</v>
      </c>
      <c r="X166" s="16">
        <v>5150</v>
      </c>
      <c r="Y166" s="16">
        <v>8400</v>
      </c>
      <c r="Z166" s="16">
        <v>13400</v>
      </c>
      <c r="AA166" s="16">
        <v>20100</v>
      </c>
      <c r="AB166" s="16">
        <v>29000</v>
      </c>
      <c r="AC166" s="16">
        <v>43000</v>
      </c>
      <c r="AD166" s="16">
        <v>63500</v>
      </c>
      <c r="AE166" s="16">
        <v>94000</v>
      </c>
      <c r="AF166" s="16">
        <v>139000</v>
      </c>
      <c r="AG166" s="16">
        <v>201000</v>
      </c>
      <c r="AH166" s="16">
        <v>257000</v>
      </c>
      <c r="AI166" s="16">
        <v>296000</v>
      </c>
      <c r="AJ166" s="16">
        <v>318000</v>
      </c>
      <c r="AK166" s="17"/>
      <c r="AL166" s="113">
        <v>5950200</v>
      </c>
      <c r="AM166" s="95">
        <v>25000</v>
      </c>
      <c r="AN166" s="95">
        <v>6</v>
      </c>
      <c r="AO166" s="96">
        <v>50000</v>
      </c>
      <c r="AP166" s="96">
        <v>5</v>
      </c>
      <c r="AQ166" s="97">
        <v>150000</v>
      </c>
      <c r="AR166" s="134">
        <v>4</v>
      </c>
      <c r="AS166" s="135"/>
      <c r="AT166" s="135"/>
      <c r="AU166" s="113">
        <v>4000000</v>
      </c>
      <c r="AV166" s="113">
        <v>9950200</v>
      </c>
      <c r="AW166" s="113">
        <v>345</v>
      </c>
      <c r="AX166" s="113"/>
      <c r="AY166" s="113">
        <v>445</v>
      </c>
      <c r="AZ166" s="113">
        <v>11</v>
      </c>
      <c r="BA166" s="113" t="s">
        <v>605</v>
      </c>
      <c r="BB166" s="32"/>
      <c r="BC166" s="32"/>
      <c r="BD166" s="32"/>
      <c r="BE166" s="32"/>
      <c r="BF166" s="32"/>
      <c r="BG166" s="32"/>
      <c r="BH166" s="32">
        <v>1</v>
      </c>
      <c r="BI166" s="32"/>
      <c r="BJ166" s="32"/>
      <c r="BK166" s="32"/>
      <c r="BL166" s="32"/>
      <c r="BM166" s="32"/>
      <c r="BN166" s="32"/>
      <c r="BO166" s="32"/>
      <c r="BP166" s="32">
        <v>1</v>
      </c>
      <c r="BQ166" s="32"/>
      <c r="BR166" s="32"/>
      <c r="BS166" s="32"/>
      <c r="BT166" s="32"/>
      <c r="BU166" s="32">
        <v>1</v>
      </c>
      <c r="BV166" s="81" t="s">
        <v>1226</v>
      </c>
      <c r="BW166" s="77"/>
      <c r="BX166" s="77"/>
      <c r="BY166" s="113">
        <v>1</v>
      </c>
      <c r="BZ166" s="113">
        <v>8</v>
      </c>
      <c r="CA166" s="113"/>
      <c r="CB166" s="113"/>
      <c r="CC166" s="113"/>
      <c r="CD166" s="32"/>
      <c r="CE166" s="32"/>
      <c r="CF166" s="32"/>
      <c r="CG166" s="32"/>
      <c r="CH166" s="32"/>
      <c r="CI166" s="32"/>
      <c r="CJ166" s="32"/>
      <c r="CK166" s="32"/>
      <c r="CL166" s="32"/>
      <c r="CM166" s="32"/>
      <c r="CN166" s="32"/>
    </row>
    <row r="167" spans="1:92" ht="21" customHeight="1">
      <c r="A167" s="109">
        <v>165</v>
      </c>
      <c r="B167" s="23" t="s">
        <v>190</v>
      </c>
      <c r="C167" s="111" t="s">
        <v>191</v>
      </c>
      <c r="D167" s="110" t="s">
        <v>141</v>
      </c>
      <c r="E167" s="111" t="s">
        <v>354</v>
      </c>
      <c r="F167" s="111" t="s">
        <v>176</v>
      </c>
      <c r="G167" s="24" t="s">
        <v>164</v>
      </c>
      <c r="H167" s="112" t="s">
        <v>303</v>
      </c>
      <c r="I167" s="13">
        <v>3763</v>
      </c>
      <c r="J167" s="14">
        <v>3763</v>
      </c>
      <c r="K167" s="120">
        <v>367.9</v>
      </c>
      <c r="L167" s="121">
        <v>80.83</v>
      </c>
      <c r="M167" s="121">
        <v>50.14</v>
      </c>
      <c r="N167" s="121">
        <v>70.599999999999994</v>
      </c>
      <c r="O167" s="32">
        <v>7.2329999999999997</v>
      </c>
      <c r="P167" s="42" t="s">
        <v>420</v>
      </c>
      <c r="Q167" s="16">
        <v>40</v>
      </c>
      <c r="R167" s="16">
        <v>18</v>
      </c>
      <c r="S167" s="16">
        <v>21</v>
      </c>
      <c r="T167" s="16">
        <v>25</v>
      </c>
      <c r="U167" s="16">
        <v>36</v>
      </c>
      <c r="V167" s="109"/>
      <c r="W167" s="109">
        <v>140</v>
      </c>
      <c r="X167" s="16">
        <v>6550</v>
      </c>
      <c r="Y167" s="16">
        <v>10600</v>
      </c>
      <c r="Z167" s="16">
        <v>17000</v>
      </c>
      <c r="AA167" s="16">
        <v>25600</v>
      </c>
      <c r="AB167" s="16">
        <v>36900</v>
      </c>
      <c r="AC167" s="16">
        <v>54500</v>
      </c>
      <c r="AD167" s="16">
        <v>81000</v>
      </c>
      <c r="AE167" s="17">
        <v>119500</v>
      </c>
      <c r="AF167" s="17">
        <v>177000</v>
      </c>
      <c r="AG167" s="17">
        <v>256000</v>
      </c>
      <c r="AH167" s="16">
        <v>327000</v>
      </c>
      <c r="AI167" s="16">
        <v>376000</v>
      </c>
      <c r="AJ167" s="94"/>
      <c r="AK167" s="32"/>
      <c r="AL167" s="113">
        <v>5950600</v>
      </c>
      <c r="AM167" s="95">
        <v>25000</v>
      </c>
      <c r="AN167" s="95">
        <v>6</v>
      </c>
      <c r="AO167" s="96">
        <v>50000</v>
      </c>
      <c r="AP167" s="96">
        <v>5</v>
      </c>
      <c r="AQ167" s="97">
        <v>150000</v>
      </c>
      <c r="AR167" s="134">
        <v>3</v>
      </c>
      <c r="AS167" s="135"/>
      <c r="AT167" s="135"/>
      <c r="AU167" s="113">
        <v>3400000</v>
      </c>
      <c r="AV167" s="113">
        <v>9350600</v>
      </c>
      <c r="AW167" s="113">
        <v>382</v>
      </c>
      <c r="AX167" s="113"/>
      <c r="AY167" s="113">
        <v>509</v>
      </c>
      <c r="AZ167" s="113">
        <v>13</v>
      </c>
      <c r="BA167" s="113" t="s">
        <v>658</v>
      </c>
      <c r="BB167" s="32"/>
      <c r="BC167" s="32"/>
      <c r="BD167" s="32"/>
      <c r="BE167" s="32"/>
      <c r="BF167" s="32"/>
      <c r="BG167" s="32"/>
      <c r="BH167" s="32"/>
      <c r="BI167" s="32"/>
      <c r="BJ167" s="32"/>
      <c r="BK167" s="32"/>
      <c r="BL167" s="32"/>
      <c r="BM167" s="32"/>
      <c r="BN167" s="32"/>
      <c r="BO167" s="32"/>
      <c r="BP167" s="32"/>
      <c r="BQ167" s="32"/>
      <c r="BR167" s="32">
        <v>1</v>
      </c>
      <c r="BS167" s="32"/>
      <c r="BT167" s="32"/>
      <c r="BU167" s="32">
        <v>1</v>
      </c>
      <c r="BV167" s="81" t="s">
        <v>1227</v>
      </c>
      <c r="BW167" s="113"/>
      <c r="BX167" s="113"/>
      <c r="BY167" s="113"/>
      <c r="BZ167" s="113"/>
      <c r="CA167" s="113"/>
      <c r="CB167" s="113"/>
      <c r="CC167" s="113"/>
      <c r="CD167" s="32"/>
      <c r="CE167" s="32"/>
      <c r="CF167" s="32"/>
      <c r="CG167" s="32"/>
      <c r="CH167" s="32"/>
      <c r="CI167" s="32"/>
      <c r="CJ167" s="32"/>
      <c r="CK167" s="32"/>
      <c r="CL167" s="32"/>
      <c r="CM167" s="32"/>
      <c r="CN167" s="32"/>
    </row>
    <row r="168" spans="1:92" ht="21" customHeight="1">
      <c r="A168" s="109">
        <v>166</v>
      </c>
      <c r="B168" s="23" t="s">
        <v>192</v>
      </c>
      <c r="C168" s="111" t="s">
        <v>193</v>
      </c>
      <c r="D168" s="110" t="s">
        <v>158</v>
      </c>
      <c r="E168" s="111" t="s">
        <v>356</v>
      </c>
      <c r="F168" s="111" t="s">
        <v>176</v>
      </c>
      <c r="G168" s="24" t="s">
        <v>164</v>
      </c>
      <c r="H168" s="112" t="s">
        <v>299</v>
      </c>
      <c r="I168" s="13">
        <v>3832</v>
      </c>
      <c r="J168" s="14">
        <v>3821</v>
      </c>
      <c r="K168" s="120">
        <v>363.1</v>
      </c>
      <c r="L168" s="121">
        <v>83.9</v>
      </c>
      <c r="M168" s="121">
        <v>43.75</v>
      </c>
      <c r="N168" s="121">
        <v>72.39</v>
      </c>
      <c r="O168" s="32">
        <v>7.6669999999999998</v>
      </c>
      <c r="P168" s="42" t="s">
        <v>420</v>
      </c>
      <c r="Q168" s="16">
        <v>40</v>
      </c>
      <c r="R168" s="16">
        <v>18</v>
      </c>
      <c r="S168" s="16">
        <v>21</v>
      </c>
      <c r="T168" s="16">
        <v>25</v>
      </c>
      <c r="U168" s="16">
        <v>36</v>
      </c>
      <c r="V168" s="109"/>
      <c r="W168" s="109">
        <v>140</v>
      </c>
      <c r="X168" s="94">
        <v>8300</v>
      </c>
      <c r="Y168" s="94">
        <v>13500</v>
      </c>
      <c r="Z168" s="94">
        <v>21600</v>
      </c>
      <c r="AA168" s="94">
        <v>32400</v>
      </c>
      <c r="AB168" s="94">
        <v>46800</v>
      </c>
      <c r="AC168" s="94">
        <v>69500</v>
      </c>
      <c r="AD168" s="94">
        <v>102500</v>
      </c>
      <c r="AE168" s="94">
        <v>152000</v>
      </c>
      <c r="AF168" s="94">
        <v>225000</v>
      </c>
      <c r="AG168" s="94">
        <v>324000</v>
      </c>
      <c r="AH168" s="94">
        <v>414000</v>
      </c>
      <c r="AI168" s="94">
        <v>477000</v>
      </c>
      <c r="AJ168" s="94"/>
      <c r="AK168" s="32"/>
      <c r="AL168" s="113">
        <v>7546400</v>
      </c>
      <c r="AM168" s="95">
        <v>30000</v>
      </c>
      <c r="AN168" s="95">
        <v>6</v>
      </c>
      <c r="AO168" s="96">
        <v>60000</v>
      </c>
      <c r="AP168" s="96">
        <v>5</v>
      </c>
      <c r="AQ168" s="97">
        <v>180000</v>
      </c>
      <c r="AR168" s="134">
        <v>3</v>
      </c>
      <c r="AS168" s="135"/>
      <c r="AT168" s="135"/>
      <c r="AU168" s="113">
        <v>4080000</v>
      </c>
      <c r="AV168" s="113">
        <v>11626400</v>
      </c>
      <c r="AW168" s="113">
        <v>376</v>
      </c>
      <c r="AX168" s="113"/>
      <c r="AY168" s="113">
        <v>497</v>
      </c>
      <c r="AZ168" s="113"/>
      <c r="BA168" s="113" t="s">
        <v>658</v>
      </c>
      <c r="BB168" s="32"/>
      <c r="BC168" s="32"/>
      <c r="BD168" s="32"/>
      <c r="BE168" s="32"/>
      <c r="BF168" s="32"/>
      <c r="BG168" s="32"/>
      <c r="BH168" s="32"/>
      <c r="BI168" s="32"/>
      <c r="BJ168" s="32"/>
      <c r="BK168" s="32"/>
      <c r="BL168" s="32"/>
      <c r="BM168" s="32"/>
      <c r="BN168" s="32"/>
      <c r="BO168" s="32"/>
      <c r="BP168" s="32"/>
      <c r="BQ168" s="32"/>
      <c r="BR168" s="32"/>
      <c r="BS168" s="32"/>
      <c r="BT168" s="32"/>
      <c r="BU168" s="32">
        <v>1</v>
      </c>
      <c r="BV168" s="81" t="s">
        <v>1228</v>
      </c>
      <c r="BW168" s="113"/>
      <c r="BX168" s="113"/>
      <c r="BY168" s="113"/>
      <c r="BZ168" s="113"/>
      <c r="CA168" s="113"/>
      <c r="CB168" s="113"/>
      <c r="CC168" s="113"/>
      <c r="CD168" s="32"/>
      <c r="CE168" s="32"/>
      <c r="CF168" s="32"/>
      <c r="CG168" s="32"/>
      <c r="CH168" s="32"/>
      <c r="CI168" s="32"/>
      <c r="CJ168" s="32"/>
      <c r="CK168" s="32"/>
      <c r="CL168" s="32"/>
      <c r="CM168" s="32"/>
      <c r="CN168" s="32"/>
    </row>
    <row r="169" spans="1:92" ht="21" customHeight="1">
      <c r="A169" s="109">
        <v>167</v>
      </c>
      <c r="B169" s="144" t="s">
        <v>1460</v>
      </c>
      <c r="C169" s="111" t="s">
        <v>706</v>
      </c>
      <c r="D169" s="110" t="s">
        <v>1229</v>
      </c>
      <c r="E169" s="111" t="s">
        <v>705</v>
      </c>
      <c r="F169" s="111" t="s">
        <v>176</v>
      </c>
      <c r="G169" s="24" t="s">
        <v>164</v>
      </c>
      <c r="H169" s="112" t="s">
        <v>1443</v>
      </c>
      <c r="I169" s="13">
        <v>3846</v>
      </c>
      <c r="J169" s="14">
        <v>3846</v>
      </c>
      <c r="K169" s="126">
        <v>349.8</v>
      </c>
      <c r="L169" s="127">
        <v>82.43</v>
      </c>
      <c r="M169" s="127">
        <v>79.319999999999993</v>
      </c>
      <c r="N169" s="127">
        <v>65.28</v>
      </c>
      <c r="O169" s="20"/>
      <c r="P169" s="42" t="s">
        <v>420</v>
      </c>
      <c r="Q169" s="37">
        <v>40</v>
      </c>
      <c r="R169" s="37">
        <v>33</v>
      </c>
      <c r="S169" s="37">
        <v>38</v>
      </c>
      <c r="T169" s="37">
        <v>43</v>
      </c>
      <c r="U169" s="37">
        <v>48</v>
      </c>
      <c r="V169" s="109"/>
      <c r="W169" s="109"/>
      <c r="X169" s="96">
        <v>8300</v>
      </c>
      <c r="Y169" s="96">
        <v>13500</v>
      </c>
      <c r="Z169" s="96">
        <v>21600</v>
      </c>
      <c r="AA169" s="96">
        <v>32400</v>
      </c>
      <c r="AB169" s="96">
        <v>46800</v>
      </c>
      <c r="AC169" s="96">
        <v>69500</v>
      </c>
      <c r="AD169" s="147">
        <v>102500</v>
      </c>
      <c r="AE169" s="147">
        <v>152000</v>
      </c>
      <c r="AF169" s="147">
        <v>225000</v>
      </c>
      <c r="AG169" s="147">
        <v>324000</v>
      </c>
      <c r="AH169" s="103">
        <v>414000</v>
      </c>
      <c r="AI169" s="100">
        <v>477000</v>
      </c>
      <c r="AJ169" s="94"/>
      <c r="AK169" s="32"/>
      <c r="AL169" s="113">
        <v>7546400</v>
      </c>
      <c r="AM169" s="95">
        <v>30000</v>
      </c>
      <c r="AN169" s="95">
        <v>6</v>
      </c>
      <c r="AO169" s="96">
        <v>60000</v>
      </c>
      <c r="AP169" s="96">
        <v>5</v>
      </c>
      <c r="AQ169" s="97">
        <v>180000</v>
      </c>
      <c r="AR169" s="134">
        <v>3</v>
      </c>
      <c r="AS169" s="135"/>
      <c r="AT169" s="135"/>
      <c r="AU169" s="113">
        <v>4080000</v>
      </c>
      <c r="AV169" s="32">
        <v>11626400</v>
      </c>
      <c r="AW169" s="113"/>
      <c r="AX169" s="113"/>
      <c r="AY169" s="113"/>
      <c r="AZ169" s="113"/>
      <c r="BA169" s="82" t="s">
        <v>636</v>
      </c>
      <c r="BB169" s="32"/>
      <c r="BC169" s="32"/>
      <c r="BD169" s="32"/>
      <c r="BE169" s="32"/>
      <c r="BF169" s="32"/>
      <c r="BG169" s="32"/>
      <c r="BH169" s="32"/>
      <c r="BI169" s="32"/>
      <c r="BJ169" s="32"/>
      <c r="BK169" s="32"/>
      <c r="BL169" s="32"/>
      <c r="BM169" s="32"/>
      <c r="BN169" s="32"/>
      <c r="BO169" s="32"/>
      <c r="BP169" s="32"/>
      <c r="BQ169" s="32"/>
      <c r="BR169" s="32"/>
      <c r="BS169" s="32"/>
      <c r="BT169" s="32"/>
      <c r="BU169" s="32"/>
      <c r="BV169" s="113"/>
      <c r="BW169" s="77"/>
      <c r="BX169" s="77"/>
      <c r="BY169" s="77"/>
      <c r="BZ169" s="77"/>
      <c r="CA169" s="113"/>
      <c r="CB169" s="113"/>
      <c r="CC169" s="113"/>
      <c r="CD169" s="32"/>
      <c r="CE169" s="32"/>
      <c r="CF169" s="32"/>
      <c r="CG169" s="32"/>
      <c r="CH169" s="32"/>
      <c r="CI169" s="32"/>
      <c r="CJ169" s="32"/>
      <c r="CK169" s="32"/>
      <c r="CL169" s="32"/>
      <c r="CM169" s="32"/>
      <c r="CN169" s="32"/>
    </row>
    <row r="170" spans="1:92" ht="21" customHeight="1">
      <c r="A170" s="109">
        <v>168</v>
      </c>
      <c r="B170" s="23" t="s">
        <v>1398</v>
      </c>
      <c r="C170" s="111" t="s">
        <v>1399</v>
      </c>
      <c r="D170" s="110" t="s">
        <v>141</v>
      </c>
      <c r="E170" s="111" t="s">
        <v>1400</v>
      </c>
      <c r="F170" s="111" t="s">
        <v>176</v>
      </c>
      <c r="G170" s="24" t="s">
        <v>164</v>
      </c>
      <c r="H170" s="112" t="s">
        <v>1393</v>
      </c>
      <c r="I170" s="13"/>
      <c r="J170" s="14">
        <v>3884</v>
      </c>
      <c r="K170" s="126">
        <v>366.8</v>
      </c>
      <c r="L170" s="127">
        <v>78.819999999999993</v>
      </c>
      <c r="M170" s="127">
        <v>47.2</v>
      </c>
      <c r="N170" s="127">
        <v>68.72</v>
      </c>
      <c r="O170" s="20"/>
      <c r="P170" s="42" t="s">
        <v>420</v>
      </c>
      <c r="Q170" s="16" t="s">
        <v>270</v>
      </c>
      <c r="R170" s="16">
        <v>30</v>
      </c>
      <c r="S170" s="37">
        <v>38</v>
      </c>
      <c r="T170" s="37">
        <v>55</v>
      </c>
      <c r="U170" s="21">
        <v>77</v>
      </c>
      <c r="V170" s="109"/>
      <c r="W170" s="109">
        <v>200</v>
      </c>
      <c r="X170" s="16">
        <v>6550</v>
      </c>
      <c r="Y170" s="16">
        <v>10600</v>
      </c>
      <c r="Z170" s="16">
        <v>17000</v>
      </c>
      <c r="AA170" s="32">
        <v>25600</v>
      </c>
      <c r="AB170" s="32">
        <v>36900</v>
      </c>
      <c r="AC170" s="32">
        <v>54500</v>
      </c>
      <c r="AD170" s="32">
        <v>81000</v>
      </c>
      <c r="AE170" s="32">
        <v>119500</v>
      </c>
      <c r="AF170" s="32">
        <v>177000</v>
      </c>
      <c r="AG170" s="32">
        <v>256000</v>
      </c>
      <c r="AH170" s="32">
        <v>327000</v>
      </c>
      <c r="AI170" s="32">
        <v>376000</v>
      </c>
      <c r="AJ170" s="94"/>
      <c r="AK170" s="32"/>
      <c r="AL170" s="113">
        <v>5950600</v>
      </c>
      <c r="AM170" s="95">
        <v>36000</v>
      </c>
      <c r="AN170" s="95">
        <v>6</v>
      </c>
      <c r="AO170" s="96">
        <v>72000</v>
      </c>
      <c r="AP170" s="96">
        <v>5</v>
      </c>
      <c r="AQ170" s="97">
        <v>216000</v>
      </c>
      <c r="AR170" s="134">
        <v>3</v>
      </c>
      <c r="AS170" s="135"/>
      <c r="AT170" s="135"/>
      <c r="AU170" s="113">
        <v>4896000</v>
      </c>
      <c r="AV170" s="113">
        <v>10846600</v>
      </c>
      <c r="AW170" s="113">
        <v>381</v>
      </c>
      <c r="AX170" s="113"/>
      <c r="AY170" s="113">
        <v>507</v>
      </c>
      <c r="AZ170" s="113"/>
      <c r="BA170" s="113" t="s">
        <v>640</v>
      </c>
      <c r="BB170" s="32"/>
      <c r="BC170" s="32"/>
      <c r="BD170" s="32"/>
      <c r="BE170" s="32"/>
      <c r="BF170" s="32"/>
      <c r="BG170" s="32"/>
      <c r="BH170" s="32"/>
      <c r="BI170" s="32"/>
      <c r="BJ170" s="32"/>
      <c r="BK170" s="32"/>
      <c r="BL170" s="32"/>
      <c r="BM170" s="32"/>
      <c r="BN170" s="32"/>
      <c r="BO170" s="32"/>
      <c r="BP170" s="32"/>
      <c r="BQ170" s="32"/>
      <c r="BR170" s="32"/>
      <c r="BS170" s="32"/>
      <c r="BT170" s="32"/>
      <c r="BU170" s="32"/>
      <c r="BV170" s="81" t="s">
        <v>802</v>
      </c>
      <c r="BW170" s="77"/>
      <c r="BX170" s="77"/>
      <c r="BY170" s="113"/>
      <c r="BZ170" s="113"/>
      <c r="CA170" s="77"/>
      <c r="CB170" s="113"/>
      <c r="CC170" s="113"/>
      <c r="CD170" s="32"/>
      <c r="CE170" s="32"/>
      <c r="CF170" s="32"/>
      <c r="CG170" s="32"/>
      <c r="CH170" s="32"/>
      <c r="CI170" s="32"/>
      <c r="CJ170" s="32"/>
      <c r="CK170" s="32"/>
      <c r="CL170" s="32"/>
      <c r="CM170" s="32"/>
      <c r="CN170" s="32"/>
    </row>
    <row r="171" spans="1:92" ht="21" customHeight="1">
      <c r="A171" s="109">
        <v>169</v>
      </c>
      <c r="B171" s="23" t="s">
        <v>285</v>
      </c>
      <c r="C171" s="111" t="s">
        <v>286</v>
      </c>
      <c r="D171" s="110" t="s">
        <v>273</v>
      </c>
      <c r="E171" s="111" t="s">
        <v>395</v>
      </c>
      <c r="F171" s="111" t="s">
        <v>176</v>
      </c>
      <c r="G171" s="24" t="s">
        <v>164</v>
      </c>
      <c r="H171" s="112" t="s">
        <v>606</v>
      </c>
      <c r="I171" s="13">
        <v>3898</v>
      </c>
      <c r="J171" s="14">
        <v>3900</v>
      </c>
      <c r="K171" s="126">
        <v>368.9</v>
      </c>
      <c r="L171" s="127">
        <v>75.58</v>
      </c>
      <c r="M171" s="127">
        <v>73.150000000000006</v>
      </c>
      <c r="N171" s="127">
        <v>74.14</v>
      </c>
      <c r="O171" s="20"/>
      <c r="P171" s="42" t="s">
        <v>420</v>
      </c>
      <c r="Q171" s="16">
        <v>35</v>
      </c>
      <c r="R171" s="16">
        <v>15</v>
      </c>
      <c r="S171" s="16">
        <v>21</v>
      </c>
      <c r="T171" s="16">
        <v>24</v>
      </c>
      <c r="U171" s="74">
        <v>36</v>
      </c>
      <c r="V171" s="109"/>
      <c r="W171" s="109">
        <v>131</v>
      </c>
      <c r="X171" s="94">
        <v>8300</v>
      </c>
      <c r="Y171" s="94">
        <v>13500</v>
      </c>
      <c r="Z171" s="94">
        <v>21600</v>
      </c>
      <c r="AA171" s="94">
        <v>32400</v>
      </c>
      <c r="AB171" s="94">
        <v>46800</v>
      </c>
      <c r="AC171" s="94">
        <v>69500</v>
      </c>
      <c r="AD171" s="94">
        <v>102500</v>
      </c>
      <c r="AE171" s="94">
        <v>152000</v>
      </c>
      <c r="AF171" s="94">
        <v>225000</v>
      </c>
      <c r="AG171" s="94">
        <v>324000</v>
      </c>
      <c r="AH171" s="94">
        <v>414000</v>
      </c>
      <c r="AI171" s="94">
        <v>477000</v>
      </c>
      <c r="AJ171" s="94"/>
      <c r="AK171" s="32"/>
      <c r="AL171" s="113">
        <v>7546400</v>
      </c>
      <c r="AM171" s="95">
        <v>30000</v>
      </c>
      <c r="AN171" s="95">
        <v>6</v>
      </c>
      <c r="AO171" s="96">
        <v>60000</v>
      </c>
      <c r="AP171" s="96">
        <v>5</v>
      </c>
      <c r="AQ171" s="97">
        <v>180000</v>
      </c>
      <c r="AR171" s="134">
        <v>3</v>
      </c>
      <c r="AS171" s="135"/>
      <c r="AT171" s="135"/>
      <c r="AU171" s="113">
        <v>4080000</v>
      </c>
      <c r="AV171" s="113">
        <v>11626400</v>
      </c>
      <c r="AW171" s="113">
        <v>383</v>
      </c>
      <c r="AX171" s="113"/>
      <c r="AY171" s="113">
        <v>510</v>
      </c>
      <c r="AZ171" s="113"/>
      <c r="BA171" s="113" t="s">
        <v>636</v>
      </c>
      <c r="BB171" s="32"/>
      <c r="BC171" s="32"/>
      <c r="BD171" s="32"/>
      <c r="BE171" s="32"/>
      <c r="BF171" s="32"/>
      <c r="BG171" s="32"/>
      <c r="BH171" s="32"/>
      <c r="BI171" s="32">
        <v>1</v>
      </c>
      <c r="BJ171" s="32"/>
      <c r="BK171" s="32"/>
      <c r="BL171" s="32"/>
      <c r="BM171" s="32"/>
      <c r="BN171" s="32"/>
      <c r="BO171" s="32"/>
      <c r="BP171" s="32"/>
      <c r="BQ171" s="32" t="s">
        <v>651</v>
      </c>
      <c r="BR171" s="32"/>
      <c r="BS171" s="32"/>
      <c r="BT171" s="32"/>
      <c r="BU171" s="32"/>
      <c r="BV171" s="81" t="s">
        <v>1230</v>
      </c>
      <c r="BW171" s="77"/>
      <c r="BX171" s="77"/>
      <c r="BY171" s="113">
        <v>1</v>
      </c>
      <c r="BZ171" s="113">
        <v>7</v>
      </c>
      <c r="CA171" s="77"/>
      <c r="CB171" s="113"/>
      <c r="CC171" s="113"/>
      <c r="CD171" s="32"/>
      <c r="CE171" s="32"/>
      <c r="CF171" s="32"/>
      <c r="CG171" s="32"/>
      <c r="CH171" s="32"/>
      <c r="CI171" s="32"/>
      <c r="CJ171" s="32"/>
      <c r="CK171" s="32"/>
      <c r="CL171" s="32"/>
      <c r="CM171" s="32"/>
      <c r="CN171" s="32"/>
    </row>
    <row r="172" spans="1:92" ht="21" customHeight="1">
      <c r="A172" s="109">
        <v>170</v>
      </c>
      <c r="B172" s="23" t="s">
        <v>196</v>
      </c>
      <c r="C172" s="149" t="s">
        <v>197</v>
      </c>
      <c r="D172" s="150" t="s">
        <v>1138</v>
      </c>
      <c r="E172" s="111" t="s">
        <v>357</v>
      </c>
      <c r="F172" s="111" t="s">
        <v>176</v>
      </c>
      <c r="G172" s="24" t="s">
        <v>164</v>
      </c>
      <c r="H172" s="112" t="s">
        <v>303</v>
      </c>
      <c r="I172" s="13">
        <v>3921</v>
      </c>
      <c r="J172" s="14">
        <v>3906</v>
      </c>
      <c r="K172" s="122">
        <v>334.6</v>
      </c>
      <c r="L172" s="123">
        <v>76.55</v>
      </c>
      <c r="M172" s="123">
        <v>94.52</v>
      </c>
      <c r="N172" s="123">
        <v>81.88</v>
      </c>
      <c r="O172" s="113">
        <v>12.03</v>
      </c>
      <c r="P172" s="42" t="s">
        <v>420</v>
      </c>
      <c r="Q172" s="16">
        <v>40</v>
      </c>
      <c r="R172" s="16">
        <v>18</v>
      </c>
      <c r="S172" s="16">
        <v>21</v>
      </c>
      <c r="T172" s="16">
        <v>25</v>
      </c>
      <c r="U172" s="16">
        <v>36</v>
      </c>
      <c r="V172" s="109"/>
      <c r="W172" s="109">
        <v>140</v>
      </c>
      <c r="X172" s="96">
        <v>8300</v>
      </c>
      <c r="Y172" s="96">
        <v>13500</v>
      </c>
      <c r="Z172" s="96">
        <v>21600</v>
      </c>
      <c r="AA172" s="96">
        <v>32400</v>
      </c>
      <c r="AB172" s="96">
        <v>46800</v>
      </c>
      <c r="AC172" s="96">
        <v>69500</v>
      </c>
      <c r="AD172" s="96">
        <v>102500</v>
      </c>
      <c r="AE172" s="96">
        <v>152000</v>
      </c>
      <c r="AF172" s="96">
        <v>225000</v>
      </c>
      <c r="AG172" s="96">
        <v>324000</v>
      </c>
      <c r="AH172" s="96">
        <v>414000</v>
      </c>
      <c r="AI172" s="96">
        <v>477000</v>
      </c>
      <c r="AJ172" s="94"/>
      <c r="AK172" s="32"/>
      <c r="AL172" s="113">
        <v>7546400</v>
      </c>
      <c r="AM172" s="95">
        <v>30000</v>
      </c>
      <c r="AN172" s="95">
        <v>6</v>
      </c>
      <c r="AO172" s="96">
        <v>60000</v>
      </c>
      <c r="AP172" s="96">
        <v>5</v>
      </c>
      <c r="AQ172" s="97">
        <v>180000</v>
      </c>
      <c r="AR172" s="134">
        <v>3</v>
      </c>
      <c r="AS172" s="135"/>
      <c r="AT172" s="135"/>
      <c r="AU172" s="113">
        <v>4080000</v>
      </c>
      <c r="AV172" s="113">
        <v>11626400</v>
      </c>
      <c r="AW172" s="113">
        <v>348</v>
      </c>
      <c r="AX172" s="113"/>
      <c r="AY172" s="113">
        <v>451</v>
      </c>
      <c r="AZ172" s="113"/>
      <c r="BA172" s="113" t="s">
        <v>658</v>
      </c>
      <c r="BB172" s="32"/>
      <c r="BC172" s="32"/>
      <c r="BD172" s="32"/>
      <c r="BE172" s="32"/>
      <c r="BF172" s="32"/>
      <c r="BG172" s="32">
        <v>1</v>
      </c>
      <c r="BH172" s="32"/>
      <c r="BI172" s="32"/>
      <c r="BJ172" s="32"/>
      <c r="BK172" s="32"/>
      <c r="BL172" s="32"/>
      <c r="BM172" s="32"/>
      <c r="BN172" s="32"/>
      <c r="BO172" s="32"/>
      <c r="BP172" s="32">
        <v>1</v>
      </c>
      <c r="BQ172" s="32"/>
      <c r="BR172" s="32">
        <v>1</v>
      </c>
      <c r="BS172" s="32" t="s">
        <v>649</v>
      </c>
      <c r="BT172" s="32"/>
      <c r="BU172" s="32">
        <v>1</v>
      </c>
      <c r="BV172" s="81" t="s">
        <v>1231</v>
      </c>
      <c r="BW172" s="113"/>
      <c r="BX172" s="113"/>
      <c r="BY172" s="113"/>
      <c r="BZ172" s="113"/>
      <c r="CA172" s="113"/>
      <c r="CB172" s="113"/>
      <c r="CC172" s="113"/>
      <c r="CD172" s="32"/>
      <c r="CE172" s="32"/>
      <c r="CF172" s="32"/>
      <c r="CG172" s="32"/>
      <c r="CH172" s="32"/>
      <c r="CI172" s="32"/>
      <c r="CJ172" s="32"/>
      <c r="CK172" s="32"/>
      <c r="CL172" s="32"/>
      <c r="CM172" s="32"/>
      <c r="CN172" s="32"/>
    </row>
    <row r="173" spans="1:92" ht="21" customHeight="1">
      <c r="A173" s="109">
        <v>171</v>
      </c>
      <c r="B173" s="23" t="s">
        <v>198</v>
      </c>
      <c r="C173" s="149" t="s">
        <v>199</v>
      </c>
      <c r="D173" s="150" t="s">
        <v>770</v>
      </c>
      <c r="E173" s="111" t="s">
        <v>199</v>
      </c>
      <c r="F173" s="111" t="s">
        <v>176</v>
      </c>
      <c r="G173" s="24" t="s">
        <v>164</v>
      </c>
      <c r="H173" s="112" t="s">
        <v>304</v>
      </c>
      <c r="I173" s="13">
        <v>3897</v>
      </c>
      <c r="J173" s="14">
        <v>3910</v>
      </c>
      <c r="K173" s="120">
        <v>352.1</v>
      </c>
      <c r="L173" s="121">
        <v>78.53</v>
      </c>
      <c r="M173" s="121">
        <v>59.47</v>
      </c>
      <c r="N173" s="121">
        <v>47.71</v>
      </c>
      <c r="O173" s="32">
        <v>4.9000000000000004</v>
      </c>
      <c r="P173" s="42" t="s">
        <v>420</v>
      </c>
      <c r="Q173" s="16">
        <v>35</v>
      </c>
      <c r="R173" s="16">
        <v>15</v>
      </c>
      <c r="S173" s="16">
        <v>21</v>
      </c>
      <c r="T173" s="16">
        <v>24</v>
      </c>
      <c r="U173" s="16">
        <v>36</v>
      </c>
      <c r="V173" s="109"/>
      <c r="W173" s="109">
        <v>131</v>
      </c>
      <c r="X173" s="94">
        <v>8300</v>
      </c>
      <c r="Y173" s="94">
        <v>13500</v>
      </c>
      <c r="Z173" s="94">
        <v>21600</v>
      </c>
      <c r="AA173" s="94">
        <v>32400</v>
      </c>
      <c r="AB173" s="94">
        <v>46800</v>
      </c>
      <c r="AC173" s="94">
        <v>69500</v>
      </c>
      <c r="AD173" s="94">
        <v>102500</v>
      </c>
      <c r="AE173" s="94">
        <v>152000</v>
      </c>
      <c r="AF173" s="94">
        <v>225000</v>
      </c>
      <c r="AG173" s="94">
        <v>324000</v>
      </c>
      <c r="AH173" s="94">
        <v>414000</v>
      </c>
      <c r="AI173" s="94">
        <v>477000</v>
      </c>
      <c r="AJ173" s="94"/>
      <c r="AK173" s="32"/>
      <c r="AL173" s="113">
        <v>7546400</v>
      </c>
      <c r="AM173" s="95">
        <v>30000</v>
      </c>
      <c r="AN173" s="95">
        <v>6</v>
      </c>
      <c r="AO173" s="96">
        <v>60000</v>
      </c>
      <c r="AP173" s="96">
        <v>5</v>
      </c>
      <c r="AQ173" s="97">
        <v>180000</v>
      </c>
      <c r="AR173" s="134">
        <v>3</v>
      </c>
      <c r="AS173" s="135"/>
      <c r="AT173" s="135"/>
      <c r="AU173" s="113">
        <v>4080000</v>
      </c>
      <c r="AV173" s="113">
        <v>11626400</v>
      </c>
      <c r="AW173" s="113">
        <v>366</v>
      </c>
      <c r="AX173" s="113"/>
      <c r="AY173" s="113">
        <v>482</v>
      </c>
      <c r="AZ173" s="113"/>
      <c r="BA173" s="113" t="s">
        <v>635</v>
      </c>
      <c r="BB173" s="32"/>
      <c r="BC173" s="32"/>
      <c r="BD173" s="32"/>
      <c r="BE173" s="32"/>
      <c r="BF173" s="32"/>
      <c r="BG173" s="32">
        <v>1</v>
      </c>
      <c r="BH173" s="32"/>
      <c r="BI173" s="32"/>
      <c r="BJ173" s="32">
        <v>1</v>
      </c>
      <c r="BK173" s="32"/>
      <c r="BL173" s="32"/>
      <c r="BM173" s="32"/>
      <c r="BN173" s="32"/>
      <c r="BO173" s="32"/>
      <c r="BP173" s="32"/>
      <c r="BQ173" s="32"/>
      <c r="BR173" s="32"/>
      <c r="BS173" s="32"/>
      <c r="BT173" s="32"/>
      <c r="BU173" s="32"/>
      <c r="BV173" s="81" t="s">
        <v>756</v>
      </c>
      <c r="BW173" s="113"/>
      <c r="BX173" s="113"/>
      <c r="BY173" s="113"/>
      <c r="BZ173" s="113"/>
      <c r="CA173" s="113"/>
      <c r="CB173" s="113"/>
      <c r="CC173" s="113"/>
      <c r="CD173" s="32"/>
      <c r="CE173" s="32"/>
      <c r="CF173" s="32"/>
      <c r="CG173" s="32"/>
      <c r="CH173" s="32"/>
      <c r="CI173" s="32"/>
      <c r="CJ173" s="32"/>
      <c r="CK173" s="32"/>
      <c r="CL173" s="32"/>
      <c r="CM173" s="32"/>
      <c r="CN173" s="32"/>
    </row>
    <row r="174" spans="1:92" ht="21" customHeight="1">
      <c r="A174" s="109">
        <v>172</v>
      </c>
      <c r="B174" s="23" t="s">
        <v>1474</v>
      </c>
      <c r="C174" s="149" t="s">
        <v>1475</v>
      </c>
      <c r="D174" s="150" t="s">
        <v>1229</v>
      </c>
      <c r="E174" s="111" t="s">
        <v>1476</v>
      </c>
      <c r="F174" s="111" t="s">
        <v>176</v>
      </c>
      <c r="G174" s="24" t="s">
        <v>164</v>
      </c>
      <c r="H174" s="112" t="s">
        <v>1443</v>
      </c>
      <c r="I174" s="13"/>
      <c r="J174" s="14">
        <v>3920</v>
      </c>
      <c r="K174" s="120">
        <v>372.3</v>
      </c>
      <c r="L174" s="121">
        <v>81.040000000000006</v>
      </c>
      <c r="M174" s="121">
        <v>65.739999999999995</v>
      </c>
      <c r="N174" s="121">
        <v>59.77</v>
      </c>
      <c r="O174" s="39"/>
      <c r="P174" s="42" t="s">
        <v>420</v>
      </c>
      <c r="Q174" s="16">
        <v>40</v>
      </c>
      <c r="R174" s="37">
        <v>33</v>
      </c>
      <c r="S174" s="37">
        <v>38</v>
      </c>
      <c r="T174" s="37">
        <v>43</v>
      </c>
      <c r="U174" s="37">
        <v>48</v>
      </c>
      <c r="V174" s="109"/>
      <c r="W174" s="109">
        <v>202</v>
      </c>
      <c r="X174" s="103">
        <v>6550</v>
      </c>
      <c r="Y174" s="103">
        <v>10600</v>
      </c>
      <c r="Z174" s="103">
        <v>17000</v>
      </c>
      <c r="AA174" s="103">
        <v>25600</v>
      </c>
      <c r="AB174" s="103">
        <v>36900</v>
      </c>
      <c r="AC174" s="103">
        <v>54500</v>
      </c>
      <c r="AD174" s="103">
        <v>81000</v>
      </c>
      <c r="AE174" s="100">
        <v>119500</v>
      </c>
      <c r="AF174" s="100">
        <v>177000</v>
      </c>
      <c r="AG174" s="100">
        <v>256000</v>
      </c>
      <c r="AH174" s="103">
        <v>327000</v>
      </c>
      <c r="AI174" s="103">
        <v>376000</v>
      </c>
      <c r="AJ174" s="94"/>
      <c r="AK174" s="32"/>
      <c r="AL174" s="113">
        <v>5950600</v>
      </c>
      <c r="AM174" s="95">
        <v>42000</v>
      </c>
      <c r="AN174" s="95">
        <v>6</v>
      </c>
      <c r="AO174" s="96">
        <v>84000</v>
      </c>
      <c r="AP174" s="96">
        <v>5</v>
      </c>
      <c r="AQ174" s="97">
        <v>252000</v>
      </c>
      <c r="AR174" s="134">
        <v>3</v>
      </c>
      <c r="AS174" s="135"/>
      <c r="AT174" s="135"/>
      <c r="AU174" s="113">
        <v>5712000</v>
      </c>
      <c r="AV174" s="113">
        <v>11662600</v>
      </c>
      <c r="AW174" s="113">
        <v>387</v>
      </c>
      <c r="AX174" s="113"/>
      <c r="AY174" s="113">
        <v>516</v>
      </c>
      <c r="AZ174" s="113"/>
      <c r="BA174" s="113" t="s">
        <v>1487</v>
      </c>
      <c r="BB174" s="32"/>
      <c r="BC174" s="32"/>
      <c r="BD174" s="32"/>
      <c r="BE174" s="32"/>
      <c r="BF174" s="32"/>
      <c r="BG174" s="32"/>
      <c r="BH174" s="32"/>
      <c r="BI174" s="32"/>
      <c r="BJ174" s="32"/>
      <c r="BK174" s="32"/>
      <c r="BL174" s="32"/>
      <c r="BM174" s="32"/>
      <c r="BN174" s="32"/>
      <c r="BO174" s="32"/>
      <c r="BP174" s="32"/>
      <c r="BQ174" s="32"/>
      <c r="BR174" s="32"/>
      <c r="BS174" s="32"/>
      <c r="BT174" s="32"/>
      <c r="BU174" s="32"/>
      <c r="BV174" s="81" t="s">
        <v>748</v>
      </c>
      <c r="BW174" s="77"/>
      <c r="BX174" s="77"/>
      <c r="BY174" s="113"/>
      <c r="BZ174" s="113"/>
      <c r="CA174" s="113"/>
      <c r="CB174" s="113"/>
      <c r="CC174" s="113"/>
      <c r="CD174" s="32"/>
      <c r="CE174" s="32"/>
      <c r="CF174" s="32"/>
      <c r="CG174" s="32"/>
      <c r="CH174" s="32"/>
      <c r="CI174" s="32"/>
      <c r="CJ174" s="32"/>
      <c r="CK174" s="32"/>
      <c r="CL174" s="32"/>
      <c r="CM174" s="32"/>
      <c r="CN174" s="32"/>
    </row>
    <row r="175" spans="1:92" ht="21" customHeight="1">
      <c r="A175" s="109">
        <v>173</v>
      </c>
      <c r="B175" s="23" t="s">
        <v>287</v>
      </c>
      <c r="C175" s="111" t="s">
        <v>288</v>
      </c>
      <c r="D175" s="110" t="s">
        <v>771</v>
      </c>
      <c r="E175" s="111" t="s">
        <v>359</v>
      </c>
      <c r="F175" s="111" t="s">
        <v>176</v>
      </c>
      <c r="G175" s="24" t="s">
        <v>164</v>
      </c>
      <c r="H175" s="112" t="s">
        <v>606</v>
      </c>
      <c r="I175" s="13">
        <v>3898</v>
      </c>
      <c r="J175" s="14">
        <v>3922</v>
      </c>
      <c r="K175" s="120">
        <v>334.8</v>
      </c>
      <c r="L175" s="121">
        <v>80.83</v>
      </c>
      <c r="M175" s="121">
        <v>89.1</v>
      </c>
      <c r="N175" s="121">
        <v>74.95</v>
      </c>
      <c r="O175" s="39"/>
      <c r="P175" s="42" t="s">
        <v>420</v>
      </c>
      <c r="Q175" s="16">
        <v>35</v>
      </c>
      <c r="R175" s="74">
        <v>30</v>
      </c>
      <c r="S175" s="74">
        <v>35</v>
      </c>
      <c r="T175" s="74">
        <v>42</v>
      </c>
      <c r="U175" s="74">
        <v>48</v>
      </c>
      <c r="V175" s="109"/>
      <c r="W175" s="109">
        <v>190</v>
      </c>
      <c r="X175" s="94">
        <v>8300</v>
      </c>
      <c r="Y175" s="94">
        <v>13500</v>
      </c>
      <c r="Z175" s="94">
        <v>21600</v>
      </c>
      <c r="AA175" s="94">
        <v>32400</v>
      </c>
      <c r="AB175" s="94">
        <v>46800</v>
      </c>
      <c r="AC175" s="94">
        <v>69500</v>
      </c>
      <c r="AD175" s="94">
        <v>102500</v>
      </c>
      <c r="AE175" s="94">
        <v>152000</v>
      </c>
      <c r="AF175" s="94">
        <v>225000</v>
      </c>
      <c r="AG175" s="94">
        <v>324000</v>
      </c>
      <c r="AH175" s="94">
        <v>414000</v>
      </c>
      <c r="AI175" s="94">
        <v>477000</v>
      </c>
      <c r="AJ175" s="94"/>
      <c r="AK175" s="32"/>
      <c r="AL175" s="113">
        <v>7546400</v>
      </c>
      <c r="AM175" s="95">
        <v>30000</v>
      </c>
      <c r="AN175" s="95">
        <v>6</v>
      </c>
      <c r="AO175" s="96">
        <v>60000</v>
      </c>
      <c r="AP175" s="96">
        <v>5</v>
      </c>
      <c r="AQ175" s="97">
        <v>180000</v>
      </c>
      <c r="AR175" s="134">
        <v>3</v>
      </c>
      <c r="AS175" s="135"/>
      <c r="AT175" s="135"/>
      <c r="AU175" s="113">
        <v>4080000</v>
      </c>
      <c r="AV175" s="113">
        <v>11626400</v>
      </c>
      <c r="AW175" s="113">
        <v>349</v>
      </c>
      <c r="AX175" s="113">
        <v>358</v>
      </c>
      <c r="AY175" s="113">
        <v>465</v>
      </c>
      <c r="AZ175" s="113"/>
      <c r="BA175" s="113" t="s">
        <v>635</v>
      </c>
      <c r="BB175" s="32"/>
      <c r="BC175" s="32"/>
      <c r="BD175" s="32"/>
      <c r="BE175" s="32"/>
      <c r="BF175" s="32"/>
      <c r="BG175" s="32">
        <v>1</v>
      </c>
      <c r="BH175" s="32"/>
      <c r="BI175" s="32"/>
      <c r="BJ175" s="32">
        <v>1</v>
      </c>
      <c r="BK175" s="32"/>
      <c r="BL175" s="32"/>
      <c r="BM175" s="32"/>
      <c r="BN175" s="32"/>
      <c r="BO175" s="32"/>
      <c r="BP175" s="32"/>
      <c r="BQ175" s="32" t="s">
        <v>800</v>
      </c>
      <c r="BR175" s="32"/>
      <c r="BS175" s="32"/>
      <c r="BT175" s="32"/>
      <c r="BU175" s="32"/>
      <c r="BV175" s="81"/>
      <c r="BW175" s="77"/>
      <c r="BX175" s="77"/>
      <c r="BY175" s="113">
        <v>1</v>
      </c>
      <c r="BZ175" s="113">
        <v>7</v>
      </c>
      <c r="CA175" s="113"/>
      <c r="CB175" s="113"/>
      <c r="CC175" s="113"/>
      <c r="CD175" s="32"/>
      <c r="CE175" s="32"/>
      <c r="CF175" s="32"/>
      <c r="CG175" s="32"/>
      <c r="CH175" s="32"/>
      <c r="CI175" s="32"/>
      <c r="CJ175" s="32"/>
      <c r="CK175" s="32"/>
      <c r="CL175" s="32"/>
      <c r="CM175" s="32"/>
      <c r="CN175" s="32"/>
    </row>
    <row r="176" spans="1:92" ht="21" customHeight="1">
      <c r="A176" s="109">
        <v>174</v>
      </c>
      <c r="B176" s="23" t="s">
        <v>1232</v>
      </c>
      <c r="C176" s="111" t="s">
        <v>617</v>
      </c>
      <c r="D176" s="110" t="s">
        <v>141</v>
      </c>
      <c r="E176" s="111" t="s">
        <v>616</v>
      </c>
      <c r="F176" s="111" t="s">
        <v>176</v>
      </c>
      <c r="G176" s="24" t="s">
        <v>164</v>
      </c>
      <c r="H176" s="112" t="s">
        <v>801</v>
      </c>
      <c r="I176" s="13">
        <v>3934</v>
      </c>
      <c r="J176" s="14">
        <v>3924</v>
      </c>
      <c r="K176" s="130">
        <v>354</v>
      </c>
      <c r="L176" s="131">
        <v>77.45</v>
      </c>
      <c r="M176" s="131">
        <v>66.92</v>
      </c>
      <c r="N176" s="131">
        <v>61.49</v>
      </c>
      <c r="O176" s="39"/>
      <c r="P176" s="42" t="s">
        <v>420</v>
      </c>
      <c r="Q176" s="37">
        <v>40</v>
      </c>
      <c r="R176" s="37">
        <v>33</v>
      </c>
      <c r="S176" s="37">
        <v>38</v>
      </c>
      <c r="T176" s="37">
        <v>43</v>
      </c>
      <c r="U176" s="37">
        <v>48</v>
      </c>
      <c r="V176" s="37"/>
      <c r="W176" s="109">
        <v>202</v>
      </c>
      <c r="X176" s="94">
        <v>8300</v>
      </c>
      <c r="Y176" s="94">
        <v>13500</v>
      </c>
      <c r="Z176" s="94">
        <v>21600</v>
      </c>
      <c r="AA176" s="94">
        <v>32400</v>
      </c>
      <c r="AB176" s="94">
        <v>46800</v>
      </c>
      <c r="AC176" s="94">
        <v>69500</v>
      </c>
      <c r="AD176" s="94">
        <v>102500</v>
      </c>
      <c r="AE176" s="94">
        <v>152000</v>
      </c>
      <c r="AF176" s="94">
        <v>225000</v>
      </c>
      <c r="AG176" s="94">
        <v>324000</v>
      </c>
      <c r="AH176" s="94">
        <v>414000</v>
      </c>
      <c r="AI176" s="94">
        <v>477000</v>
      </c>
      <c r="AJ176" s="94"/>
      <c r="AK176" s="32"/>
      <c r="AL176" s="113">
        <v>7546400</v>
      </c>
      <c r="AM176" s="95">
        <v>30000</v>
      </c>
      <c r="AN176" s="95">
        <v>6</v>
      </c>
      <c r="AO176" s="96">
        <v>60000</v>
      </c>
      <c r="AP176" s="96">
        <v>5</v>
      </c>
      <c r="AQ176" s="97">
        <v>180000</v>
      </c>
      <c r="AR176" s="134">
        <v>3</v>
      </c>
      <c r="AS176" s="135"/>
      <c r="AT176" s="135"/>
      <c r="AU176" s="113">
        <v>4080000</v>
      </c>
      <c r="AV176" s="113">
        <v>11626400</v>
      </c>
      <c r="AW176" s="113">
        <v>368</v>
      </c>
      <c r="AX176" s="113"/>
      <c r="AY176" s="113">
        <v>485</v>
      </c>
      <c r="AZ176" s="113">
        <v>12</v>
      </c>
      <c r="BA176" s="113" t="s">
        <v>605</v>
      </c>
      <c r="BB176" s="32"/>
      <c r="BC176" s="32"/>
      <c r="BD176" s="32"/>
      <c r="BE176" s="32"/>
      <c r="BF176" s="32"/>
      <c r="BG176" s="32"/>
      <c r="BH176" s="32">
        <v>1</v>
      </c>
      <c r="BI176" s="32"/>
      <c r="BJ176" s="32"/>
      <c r="BK176" s="32"/>
      <c r="BL176" s="32"/>
      <c r="BM176" s="32"/>
      <c r="BN176" s="32"/>
      <c r="BO176" s="32"/>
      <c r="BP176" s="32">
        <v>1</v>
      </c>
      <c r="BQ176" s="32"/>
      <c r="BR176" s="32"/>
      <c r="BS176" s="32" t="s">
        <v>650</v>
      </c>
      <c r="BT176" s="32"/>
      <c r="BU176" s="32">
        <v>1</v>
      </c>
      <c r="BV176" s="81" t="s">
        <v>1233</v>
      </c>
      <c r="BW176" s="113"/>
      <c r="BX176" s="113"/>
      <c r="BY176" s="113">
        <v>1</v>
      </c>
      <c r="BZ176" s="113">
        <v>13</v>
      </c>
      <c r="CA176" s="113"/>
      <c r="CB176" s="113"/>
      <c r="CC176" s="113"/>
      <c r="CD176" s="32"/>
      <c r="CE176" s="32"/>
      <c r="CF176" s="32"/>
      <c r="CG176" s="32"/>
      <c r="CH176" s="32"/>
      <c r="CI176" s="32"/>
      <c r="CJ176" s="32"/>
      <c r="CK176" s="32"/>
      <c r="CL176" s="32"/>
      <c r="CM176" s="32"/>
      <c r="CN176" s="32"/>
    </row>
    <row r="177" spans="1:92" ht="21" customHeight="1">
      <c r="A177" s="109">
        <v>175</v>
      </c>
      <c r="B177" s="23" t="s">
        <v>200</v>
      </c>
      <c r="C177" s="111" t="s">
        <v>201</v>
      </c>
      <c r="D177" s="110" t="s">
        <v>201</v>
      </c>
      <c r="E177" s="111" t="s">
        <v>358</v>
      </c>
      <c r="F177" s="111" t="s">
        <v>176</v>
      </c>
      <c r="G177" s="24" t="s">
        <v>164</v>
      </c>
      <c r="H177" s="112" t="s">
        <v>296</v>
      </c>
      <c r="I177" s="13">
        <v>3929</v>
      </c>
      <c r="J177" s="14">
        <v>3929</v>
      </c>
      <c r="K177" s="120">
        <v>369.4</v>
      </c>
      <c r="L177" s="121">
        <v>80.33</v>
      </c>
      <c r="M177" s="121">
        <v>54.68</v>
      </c>
      <c r="N177" s="121">
        <v>74.63</v>
      </c>
      <c r="O177" s="32">
        <v>7.95</v>
      </c>
      <c r="P177" s="42" t="s">
        <v>420</v>
      </c>
      <c r="Q177" s="16">
        <v>40</v>
      </c>
      <c r="R177" s="16">
        <v>18</v>
      </c>
      <c r="S177" s="16">
        <v>21</v>
      </c>
      <c r="T177" s="16">
        <v>25</v>
      </c>
      <c r="U177" s="16">
        <v>36</v>
      </c>
      <c r="V177" s="109"/>
      <c r="W177" s="109">
        <v>140</v>
      </c>
      <c r="X177" s="94"/>
      <c r="Y177" s="94"/>
      <c r="Z177" s="94"/>
      <c r="AA177" s="94"/>
      <c r="AB177" s="94"/>
      <c r="AC177" s="94"/>
      <c r="AD177" s="94"/>
      <c r="AE177" s="94"/>
      <c r="AF177" s="94"/>
      <c r="AG177" s="94"/>
      <c r="AH177" s="94"/>
      <c r="AI177" s="94"/>
      <c r="AJ177" s="94"/>
      <c r="AK177" s="32"/>
      <c r="AL177" s="113"/>
      <c r="AM177" s="95">
        <v>30000</v>
      </c>
      <c r="AN177" s="95">
        <v>6</v>
      </c>
      <c r="AO177" s="96">
        <v>60000</v>
      </c>
      <c r="AP177" s="96">
        <v>5</v>
      </c>
      <c r="AQ177" s="97">
        <v>180000</v>
      </c>
      <c r="AR177" s="134">
        <v>3</v>
      </c>
      <c r="AS177" s="135"/>
      <c r="AT177" s="135"/>
      <c r="AU177" s="113">
        <v>4080000</v>
      </c>
      <c r="AV177" s="113"/>
      <c r="AW177" s="113">
        <v>384</v>
      </c>
      <c r="AX177" s="113"/>
      <c r="AY177" s="113">
        <v>511</v>
      </c>
      <c r="AZ177" s="113"/>
      <c r="BA177" s="113" t="s">
        <v>604</v>
      </c>
      <c r="BB177" s="32"/>
      <c r="BC177" s="32"/>
      <c r="BD177" s="32"/>
      <c r="BE177" s="32"/>
      <c r="BF177" s="32">
        <v>1</v>
      </c>
      <c r="BG177" s="32"/>
      <c r="BH177" s="32"/>
      <c r="BI177" s="32"/>
      <c r="BJ177" s="32"/>
      <c r="BK177" s="32"/>
      <c r="BL177" s="32"/>
      <c r="BM177" s="32"/>
      <c r="BN177" s="32"/>
      <c r="BO177" s="32"/>
      <c r="BP177" s="32"/>
      <c r="BQ177" s="32"/>
      <c r="BR177" s="32"/>
      <c r="BS177" s="32"/>
      <c r="BT177" s="32"/>
      <c r="BU177" s="32"/>
      <c r="BV177" s="81" t="s">
        <v>1234</v>
      </c>
      <c r="BW177" s="113"/>
      <c r="BX177" s="113"/>
      <c r="BY177" s="113"/>
      <c r="BZ177" s="113"/>
      <c r="CA177" s="113"/>
      <c r="CB177" s="113"/>
      <c r="CC177" s="113"/>
      <c r="CD177" s="32"/>
      <c r="CE177" s="32"/>
      <c r="CF177" s="32"/>
      <c r="CG177" s="32"/>
      <c r="CH177" s="32"/>
      <c r="CI177" s="32"/>
      <c r="CJ177" s="32"/>
      <c r="CK177" s="32"/>
      <c r="CL177" s="32"/>
      <c r="CM177" s="32"/>
      <c r="CN177" s="32"/>
    </row>
    <row r="178" spans="1:92" ht="21" customHeight="1">
      <c r="A178" s="109">
        <v>176</v>
      </c>
      <c r="B178" s="23" t="s">
        <v>202</v>
      </c>
      <c r="C178" s="111" t="s">
        <v>203</v>
      </c>
      <c r="D178" s="110" t="s">
        <v>158</v>
      </c>
      <c r="E178" s="111" t="s">
        <v>203</v>
      </c>
      <c r="F178" s="111" t="s">
        <v>176</v>
      </c>
      <c r="G178" s="24" t="s">
        <v>164</v>
      </c>
      <c r="H178" s="112" t="s">
        <v>297</v>
      </c>
      <c r="I178" s="13">
        <v>3827</v>
      </c>
      <c r="J178" s="14">
        <v>3941</v>
      </c>
      <c r="K178" s="120">
        <v>354</v>
      </c>
      <c r="L178" s="121">
        <v>81.13</v>
      </c>
      <c r="M178" s="121">
        <v>63.17</v>
      </c>
      <c r="N178" s="121">
        <v>74.33</v>
      </c>
      <c r="O178" s="32">
        <v>8.1999999999999993</v>
      </c>
      <c r="P178" s="42" t="s">
        <v>420</v>
      </c>
      <c r="Q178" s="16">
        <v>35</v>
      </c>
      <c r="R178" s="74">
        <v>30</v>
      </c>
      <c r="S178" s="74">
        <v>35</v>
      </c>
      <c r="T178" s="16">
        <v>42</v>
      </c>
      <c r="U178" s="74">
        <v>48</v>
      </c>
      <c r="V178" s="109"/>
      <c r="W178" s="109">
        <v>190</v>
      </c>
      <c r="X178" s="94">
        <v>8300</v>
      </c>
      <c r="Y178" s="94">
        <v>13500</v>
      </c>
      <c r="Z178" s="94">
        <v>21600</v>
      </c>
      <c r="AA178" s="94">
        <v>32400</v>
      </c>
      <c r="AB178" s="94">
        <v>46800</v>
      </c>
      <c r="AC178" s="94">
        <v>69500</v>
      </c>
      <c r="AD178" s="94">
        <v>102500</v>
      </c>
      <c r="AE178" s="94">
        <v>152000</v>
      </c>
      <c r="AF178" s="94">
        <v>225000</v>
      </c>
      <c r="AG178" s="94">
        <v>324000</v>
      </c>
      <c r="AH178" s="94">
        <v>414000</v>
      </c>
      <c r="AI178" s="94">
        <v>477000</v>
      </c>
      <c r="AJ178" s="94"/>
      <c r="AK178" s="32"/>
      <c r="AL178" s="113">
        <v>7546400</v>
      </c>
      <c r="AM178" s="95">
        <v>30000</v>
      </c>
      <c r="AN178" s="95">
        <v>6</v>
      </c>
      <c r="AO178" s="96">
        <v>60000</v>
      </c>
      <c r="AP178" s="96">
        <v>5</v>
      </c>
      <c r="AQ178" s="97">
        <v>180000</v>
      </c>
      <c r="AR178" s="134">
        <v>3</v>
      </c>
      <c r="AS178" s="135"/>
      <c r="AT178" s="135"/>
      <c r="AU178" s="113">
        <v>4080000</v>
      </c>
      <c r="AV178" s="113">
        <v>11626400</v>
      </c>
      <c r="AW178" s="113">
        <v>368</v>
      </c>
      <c r="AX178" s="113"/>
      <c r="AY178" s="113">
        <v>485</v>
      </c>
      <c r="AZ178" s="113">
        <v>14</v>
      </c>
      <c r="BA178" s="113" t="s">
        <v>658</v>
      </c>
      <c r="BB178" s="32"/>
      <c r="BC178" s="32"/>
      <c r="BD178" s="32"/>
      <c r="BE178" s="32">
        <v>1</v>
      </c>
      <c r="BF178" s="32"/>
      <c r="BG178" s="32">
        <v>1</v>
      </c>
      <c r="BH178" s="32"/>
      <c r="BI178" s="32"/>
      <c r="BJ178" s="32"/>
      <c r="BK178" s="32"/>
      <c r="BL178" s="32"/>
      <c r="BM178" s="32"/>
      <c r="BN178" s="32"/>
      <c r="BO178" s="32"/>
      <c r="BP178" s="32"/>
      <c r="BQ178" s="32"/>
      <c r="BR178" s="32"/>
      <c r="BS178" s="32"/>
      <c r="BT178" s="32"/>
      <c r="BU178" s="32">
        <v>1</v>
      </c>
      <c r="BV178" s="81" t="s">
        <v>1235</v>
      </c>
      <c r="BW178" s="113"/>
      <c r="BX178" s="113"/>
      <c r="BY178" s="113"/>
      <c r="BZ178" s="113"/>
      <c r="CA178" s="113"/>
      <c r="CB178" s="113"/>
      <c r="CC178" s="113"/>
      <c r="CD178" s="32"/>
      <c r="CE178" s="32"/>
      <c r="CF178" s="32"/>
      <c r="CG178" s="32"/>
      <c r="CH178" s="32"/>
      <c r="CI178" s="32"/>
      <c r="CJ178" s="32"/>
      <c r="CK178" s="32"/>
      <c r="CL178" s="32"/>
      <c r="CM178" s="32"/>
      <c r="CN178" s="32"/>
    </row>
    <row r="179" spans="1:92" ht="21" customHeight="1">
      <c r="A179" s="109">
        <v>177</v>
      </c>
      <c r="B179" s="23" t="s">
        <v>1236</v>
      </c>
      <c r="C179" s="111" t="s">
        <v>532</v>
      </c>
      <c r="D179" s="110" t="s">
        <v>530</v>
      </c>
      <c r="E179" s="111" t="s">
        <v>531</v>
      </c>
      <c r="F179" s="111" t="s">
        <v>176</v>
      </c>
      <c r="G179" s="24" t="s">
        <v>164</v>
      </c>
      <c r="H179" s="149" t="s">
        <v>670</v>
      </c>
      <c r="I179" s="13">
        <v>3953</v>
      </c>
      <c r="J179" s="14">
        <v>3946</v>
      </c>
      <c r="K179" s="120">
        <v>348</v>
      </c>
      <c r="L179" s="121">
        <v>84.58</v>
      </c>
      <c r="M179" s="121">
        <v>72.819999999999993</v>
      </c>
      <c r="N179" s="121">
        <v>68.900000000000006</v>
      </c>
      <c r="O179" s="15"/>
      <c r="P179" s="42" t="s">
        <v>420</v>
      </c>
      <c r="Q179" s="37">
        <v>40</v>
      </c>
      <c r="R179" s="37">
        <v>33</v>
      </c>
      <c r="S179" s="37">
        <v>38</v>
      </c>
      <c r="T179" s="37">
        <v>43</v>
      </c>
      <c r="U179" s="37">
        <v>48</v>
      </c>
      <c r="V179" s="37"/>
      <c r="W179" s="109">
        <v>202</v>
      </c>
      <c r="X179" s="94">
        <v>8300</v>
      </c>
      <c r="Y179" s="94">
        <v>13500</v>
      </c>
      <c r="Z179" s="94">
        <v>21600</v>
      </c>
      <c r="AA179" s="94">
        <v>32400</v>
      </c>
      <c r="AB179" s="94">
        <v>46800</v>
      </c>
      <c r="AC179" s="94">
        <v>69500</v>
      </c>
      <c r="AD179" s="94">
        <v>102500</v>
      </c>
      <c r="AE179" s="94">
        <v>152000</v>
      </c>
      <c r="AF179" s="94">
        <v>225000</v>
      </c>
      <c r="AG179" s="94">
        <v>324000</v>
      </c>
      <c r="AH179" s="94">
        <v>414000</v>
      </c>
      <c r="AI179" s="94">
        <v>477000</v>
      </c>
      <c r="AJ179" s="94"/>
      <c r="AK179" s="32"/>
      <c r="AL179" s="113">
        <v>7546400</v>
      </c>
      <c r="AM179" s="95">
        <v>30000</v>
      </c>
      <c r="AN179" s="95">
        <v>6</v>
      </c>
      <c r="AO179" s="96">
        <v>60000</v>
      </c>
      <c r="AP179" s="96">
        <v>5</v>
      </c>
      <c r="AQ179" s="97">
        <v>180000</v>
      </c>
      <c r="AR179" s="134">
        <v>3</v>
      </c>
      <c r="AS179" s="135"/>
      <c r="AT179" s="135"/>
      <c r="AU179" s="113">
        <v>4080000</v>
      </c>
      <c r="AV179" s="113">
        <v>11626400</v>
      </c>
      <c r="AW179" s="113">
        <v>362</v>
      </c>
      <c r="AX179" s="113"/>
      <c r="AY179" s="113">
        <v>475</v>
      </c>
      <c r="AZ179" s="113"/>
      <c r="BA179" s="113" t="s">
        <v>605</v>
      </c>
      <c r="BB179" s="32"/>
      <c r="BC179" s="32"/>
      <c r="BD179" s="32"/>
      <c r="BE179" s="32">
        <v>1</v>
      </c>
      <c r="BF179" s="32"/>
      <c r="BG179" s="32"/>
      <c r="BH179" s="32">
        <v>1</v>
      </c>
      <c r="BI179" s="32"/>
      <c r="BJ179" s="32">
        <v>1</v>
      </c>
      <c r="BK179" s="32"/>
      <c r="BL179" s="32"/>
      <c r="BM179" s="32"/>
      <c r="BN179" s="32"/>
      <c r="BO179" s="32"/>
      <c r="BP179" s="32">
        <v>1</v>
      </c>
      <c r="BQ179" s="32" t="s">
        <v>800</v>
      </c>
      <c r="BR179" s="32"/>
      <c r="BS179" s="32"/>
      <c r="BT179" s="32"/>
      <c r="BU179" s="32">
        <v>1</v>
      </c>
      <c r="BV179" s="81" t="s">
        <v>1221</v>
      </c>
      <c r="BW179" s="113"/>
      <c r="BX179" s="113"/>
      <c r="BY179" s="113">
        <v>1</v>
      </c>
      <c r="BZ179" s="113">
        <v>7</v>
      </c>
      <c r="CA179" s="113"/>
      <c r="CB179" s="113"/>
      <c r="CC179" s="113"/>
      <c r="CD179" s="32"/>
      <c r="CE179" s="32"/>
      <c r="CF179" s="32"/>
      <c r="CG179" s="32"/>
      <c r="CH179" s="32"/>
      <c r="CI179" s="32"/>
      <c r="CJ179" s="32"/>
      <c r="CK179" s="32"/>
      <c r="CL179" s="32"/>
      <c r="CM179" s="32"/>
      <c r="CN179" s="32"/>
    </row>
    <row r="180" spans="1:92" ht="21" customHeight="1">
      <c r="A180" s="109">
        <v>178</v>
      </c>
      <c r="B180" s="23" t="s">
        <v>204</v>
      </c>
      <c r="C180" s="111" t="s">
        <v>596</v>
      </c>
      <c r="D180" s="110" t="s">
        <v>772</v>
      </c>
      <c r="E180" s="111" t="s">
        <v>360</v>
      </c>
      <c r="F180" s="111" t="s">
        <v>176</v>
      </c>
      <c r="G180" s="24" t="s">
        <v>164</v>
      </c>
      <c r="H180" s="112" t="s">
        <v>304</v>
      </c>
      <c r="I180" s="13">
        <v>3971</v>
      </c>
      <c r="J180" s="14">
        <v>3950</v>
      </c>
      <c r="K180" s="122">
        <v>368.3</v>
      </c>
      <c r="L180" s="123">
        <v>77.040000000000006</v>
      </c>
      <c r="M180" s="123">
        <v>45.58</v>
      </c>
      <c r="N180" s="123">
        <v>74.13</v>
      </c>
      <c r="O180" s="113">
        <v>7.85</v>
      </c>
      <c r="P180" s="42" t="s">
        <v>420</v>
      </c>
      <c r="Q180" s="16">
        <v>40</v>
      </c>
      <c r="R180" s="16">
        <v>18</v>
      </c>
      <c r="S180" s="16">
        <v>21</v>
      </c>
      <c r="T180" s="16">
        <v>25</v>
      </c>
      <c r="U180" s="16">
        <v>36</v>
      </c>
      <c r="V180" s="109"/>
      <c r="W180" s="109">
        <v>140</v>
      </c>
      <c r="X180" s="94">
        <v>8300</v>
      </c>
      <c r="Y180" s="94">
        <v>13500</v>
      </c>
      <c r="Z180" s="94">
        <v>21600</v>
      </c>
      <c r="AA180" s="94">
        <v>32400</v>
      </c>
      <c r="AB180" s="94">
        <v>46800</v>
      </c>
      <c r="AC180" s="94">
        <v>69500</v>
      </c>
      <c r="AD180" s="94">
        <v>102500</v>
      </c>
      <c r="AE180" s="94">
        <v>152000</v>
      </c>
      <c r="AF180" s="94">
        <v>225000</v>
      </c>
      <c r="AG180" s="94">
        <v>324000</v>
      </c>
      <c r="AH180" s="94">
        <v>414000</v>
      </c>
      <c r="AI180" s="94">
        <v>477000</v>
      </c>
      <c r="AJ180" s="94"/>
      <c r="AK180" s="32"/>
      <c r="AL180" s="113">
        <v>7546400</v>
      </c>
      <c r="AM180" s="95">
        <v>30000</v>
      </c>
      <c r="AN180" s="95">
        <v>6</v>
      </c>
      <c r="AO180" s="96">
        <v>60000</v>
      </c>
      <c r="AP180" s="96">
        <v>5</v>
      </c>
      <c r="AQ180" s="97">
        <v>180000</v>
      </c>
      <c r="AR180" s="134">
        <v>3</v>
      </c>
      <c r="AS180" s="135"/>
      <c r="AT180" s="135"/>
      <c r="AU180" s="113">
        <v>4080000</v>
      </c>
      <c r="AV180" s="113">
        <v>11626400</v>
      </c>
      <c r="AW180" s="113">
        <v>383</v>
      </c>
      <c r="AX180" s="113"/>
      <c r="AY180" s="113">
        <v>509</v>
      </c>
      <c r="AZ180" s="113">
        <v>11</v>
      </c>
      <c r="BA180" s="113" t="s">
        <v>635</v>
      </c>
      <c r="BB180" s="32"/>
      <c r="BC180" s="32"/>
      <c r="BD180" s="32">
        <v>1</v>
      </c>
      <c r="BE180" s="32"/>
      <c r="BF180" s="32"/>
      <c r="BG180" s="32">
        <v>1</v>
      </c>
      <c r="BH180" s="32"/>
      <c r="BI180" s="32"/>
      <c r="BJ180" s="32"/>
      <c r="BK180" s="32"/>
      <c r="BL180" s="32"/>
      <c r="BM180" s="32"/>
      <c r="BN180" s="32"/>
      <c r="BO180" s="32"/>
      <c r="BP180" s="32"/>
      <c r="BQ180" s="32"/>
      <c r="BR180" s="32"/>
      <c r="BS180" s="32"/>
      <c r="BT180" s="32"/>
      <c r="BU180" s="32">
        <v>1</v>
      </c>
      <c r="BV180" s="81"/>
      <c r="BW180" s="113"/>
      <c r="BX180" s="113"/>
      <c r="BY180" s="113">
        <v>1</v>
      </c>
      <c r="BZ180" s="113">
        <v>7</v>
      </c>
      <c r="CA180" s="113"/>
      <c r="CB180" s="113"/>
      <c r="CC180" s="113"/>
      <c r="CD180" s="32"/>
      <c r="CE180" s="32"/>
      <c r="CF180" s="32"/>
      <c r="CG180" s="32"/>
      <c r="CH180" s="32"/>
      <c r="CI180" s="32"/>
      <c r="CJ180" s="32"/>
      <c r="CK180" s="32"/>
      <c r="CL180" s="32"/>
      <c r="CM180" s="32"/>
      <c r="CN180" s="32"/>
    </row>
    <row r="181" spans="1:92" ht="21" customHeight="1">
      <c r="A181" s="109">
        <v>179</v>
      </c>
      <c r="B181" s="23" t="s">
        <v>206</v>
      </c>
      <c r="C181" s="111" t="s">
        <v>207</v>
      </c>
      <c r="D181" s="110" t="s">
        <v>1129</v>
      </c>
      <c r="E181" s="111" t="s">
        <v>361</v>
      </c>
      <c r="F181" s="111" t="s">
        <v>176</v>
      </c>
      <c r="G181" s="24" t="s">
        <v>164</v>
      </c>
      <c r="H181" s="112" t="s">
        <v>297</v>
      </c>
      <c r="I181" s="13">
        <v>3946</v>
      </c>
      <c r="J181" s="14">
        <v>3958</v>
      </c>
      <c r="K181" s="120">
        <v>337.6</v>
      </c>
      <c r="L181" s="121">
        <v>78.260000000000005</v>
      </c>
      <c r="M181" s="121">
        <v>86.85</v>
      </c>
      <c r="N181" s="121">
        <v>80.459999999999994</v>
      </c>
      <c r="O181" s="32">
        <v>11.13</v>
      </c>
      <c r="P181" s="42" t="s">
        <v>420</v>
      </c>
      <c r="Q181" s="16">
        <v>35</v>
      </c>
      <c r="R181" s="16">
        <v>15</v>
      </c>
      <c r="S181" s="16">
        <v>21</v>
      </c>
      <c r="T181" s="16">
        <v>24</v>
      </c>
      <c r="U181" s="16">
        <v>36</v>
      </c>
      <c r="V181" s="109"/>
      <c r="W181" s="109">
        <v>131</v>
      </c>
      <c r="X181" s="94">
        <v>8300</v>
      </c>
      <c r="Y181" s="94">
        <v>13500</v>
      </c>
      <c r="Z181" s="94">
        <v>21600</v>
      </c>
      <c r="AA181" s="94">
        <v>32400</v>
      </c>
      <c r="AB181" s="94">
        <v>46800</v>
      </c>
      <c r="AC181" s="94">
        <v>69500</v>
      </c>
      <c r="AD181" s="94">
        <v>102500</v>
      </c>
      <c r="AE181" s="94">
        <v>152000</v>
      </c>
      <c r="AF181" s="94">
        <v>225000</v>
      </c>
      <c r="AG181" s="94">
        <v>324000</v>
      </c>
      <c r="AH181" s="94">
        <v>414000</v>
      </c>
      <c r="AI181" s="94">
        <v>477000</v>
      </c>
      <c r="AJ181" s="94"/>
      <c r="AK181" s="32"/>
      <c r="AL181" s="113">
        <v>7546400</v>
      </c>
      <c r="AM181" s="95">
        <v>30000</v>
      </c>
      <c r="AN181" s="95">
        <v>6</v>
      </c>
      <c r="AO181" s="96">
        <v>60000</v>
      </c>
      <c r="AP181" s="96">
        <v>5</v>
      </c>
      <c r="AQ181" s="97">
        <v>180000</v>
      </c>
      <c r="AR181" s="134">
        <v>3</v>
      </c>
      <c r="AS181" s="135"/>
      <c r="AT181" s="135"/>
      <c r="AU181" s="113">
        <v>4080000</v>
      </c>
      <c r="AV181" s="113">
        <v>11626400</v>
      </c>
      <c r="AW181" s="113">
        <v>352</v>
      </c>
      <c r="AX181" s="113"/>
      <c r="AY181" s="113">
        <v>457</v>
      </c>
      <c r="AZ181" s="113">
        <v>15</v>
      </c>
      <c r="BA181" s="113" t="s">
        <v>658</v>
      </c>
      <c r="BB181" s="32"/>
      <c r="BC181" s="32"/>
      <c r="BD181" s="32"/>
      <c r="BE181" s="32">
        <v>1</v>
      </c>
      <c r="BF181" s="32"/>
      <c r="BG181" s="32">
        <v>1</v>
      </c>
      <c r="BH181" s="32"/>
      <c r="BI181" s="32"/>
      <c r="BJ181" s="32"/>
      <c r="BK181" s="32"/>
      <c r="BL181" s="32"/>
      <c r="BM181" s="32"/>
      <c r="BN181" s="32"/>
      <c r="BO181" s="32"/>
      <c r="BP181" s="32"/>
      <c r="BQ181" s="32"/>
      <c r="BR181" s="32"/>
      <c r="BS181" s="32"/>
      <c r="BT181" s="32"/>
      <c r="BU181" s="32">
        <v>1</v>
      </c>
      <c r="BV181" s="81" t="s">
        <v>748</v>
      </c>
      <c r="BW181" s="113"/>
      <c r="BX181" s="113"/>
      <c r="BY181" s="113">
        <v>1</v>
      </c>
      <c r="BZ181" s="113">
        <v>7</v>
      </c>
      <c r="CA181" s="113"/>
      <c r="CB181" s="113"/>
      <c r="CC181" s="113"/>
      <c r="CD181" s="32"/>
      <c r="CE181" s="32"/>
      <c r="CF181" s="32"/>
      <c r="CG181" s="32"/>
      <c r="CH181" s="32"/>
      <c r="CI181" s="32"/>
      <c r="CJ181" s="32"/>
      <c r="CK181" s="32"/>
      <c r="CL181" s="32"/>
      <c r="CM181" s="32"/>
      <c r="CN181" s="32"/>
    </row>
    <row r="182" spans="1:92" ht="21" customHeight="1">
      <c r="A182" s="109">
        <v>180</v>
      </c>
      <c r="B182" s="23" t="s">
        <v>210</v>
      </c>
      <c r="C182" s="111" t="s">
        <v>211</v>
      </c>
      <c r="D182" s="110" t="s">
        <v>141</v>
      </c>
      <c r="E182" s="111" t="s">
        <v>363</v>
      </c>
      <c r="F182" s="111" t="s">
        <v>176</v>
      </c>
      <c r="G182" s="26" t="s">
        <v>173</v>
      </c>
      <c r="H182" s="112" t="s">
        <v>305</v>
      </c>
      <c r="I182" s="13">
        <v>4133</v>
      </c>
      <c r="J182" s="14">
        <v>4002</v>
      </c>
      <c r="K182" s="120">
        <v>362.9</v>
      </c>
      <c r="L182" s="121">
        <v>79.83</v>
      </c>
      <c r="M182" s="121">
        <v>73.099999999999994</v>
      </c>
      <c r="N182" s="121">
        <v>77.86</v>
      </c>
      <c r="O182" s="32">
        <v>8.8320000000000007</v>
      </c>
      <c r="P182" s="42" t="s">
        <v>420</v>
      </c>
      <c r="Q182" s="16">
        <v>50</v>
      </c>
      <c r="R182" s="16">
        <v>15</v>
      </c>
      <c r="S182" s="16">
        <v>18</v>
      </c>
      <c r="T182" s="16">
        <v>24</v>
      </c>
      <c r="U182" s="16">
        <v>38</v>
      </c>
      <c r="V182" s="16">
        <v>45</v>
      </c>
      <c r="W182" s="109">
        <v>190</v>
      </c>
      <c r="X182" s="96">
        <v>8400</v>
      </c>
      <c r="Y182" s="96">
        <v>13700</v>
      </c>
      <c r="Z182" s="96">
        <v>22000</v>
      </c>
      <c r="AA182" s="94"/>
      <c r="AB182" s="94"/>
      <c r="AC182" s="94"/>
      <c r="AD182" s="94"/>
      <c r="AE182" s="94"/>
      <c r="AF182" s="94"/>
      <c r="AG182" s="94"/>
      <c r="AH182" s="94"/>
      <c r="AI182" s="94"/>
      <c r="AJ182" s="94"/>
      <c r="AK182" s="32"/>
      <c r="AL182" s="113"/>
      <c r="AM182" s="95">
        <v>35000</v>
      </c>
      <c r="AN182" s="95">
        <v>6</v>
      </c>
      <c r="AO182" s="96">
        <v>70000</v>
      </c>
      <c r="AP182" s="96">
        <v>5</v>
      </c>
      <c r="AQ182" s="97">
        <v>210000</v>
      </c>
      <c r="AR182" s="134">
        <v>4</v>
      </c>
      <c r="AS182" s="135"/>
      <c r="AT182" s="135"/>
      <c r="AU182" s="113">
        <v>5600000</v>
      </c>
      <c r="AV182" s="113"/>
      <c r="AW182" s="113">
        <v>378</v>
      </c>
      <c r="AX182" s="113"/>
      <c r="AY182" s="113">
        <v>502</v>
      </c>
      <c r="AZ182" s="113"/>
      <c r="BA182" s="113" t="s">
        <v>714</v>
      </c>
      <c r="BB182" s="32"/>
      <c r="BC182" s="32"/>
      <c r="BD182" s="32"/>
      <c r="BE182" s="32">
        <v>1</v>
      </c>
      <c r="BF182" s="32"/>
      <c r="BG182" s="32"/>
      <c r="BH182" s="32"/>
      <c r="BI182" s="32"/>
      <c r="BJ182" s="32"/>
      <c r="BK182" s="32"/>
      <c r="BL182" s="32"/>
      <c r="BM182" s="32"/>
      <c r="BN182" s="32"/>
      <c r="BO182" s="32"/>
      <c r="BP182" s="32"/>
      <c r="BQ182" s="32" t="s">
        <v>799</v>
      </c>
      <c r="BR182" s="32"/>
      <c r="BS182" s="32" t="s">
        <v>650</v>
      </c>
      <c r="BT182" s="32"/>
      <c r="BU182" s="32"/>
      <c r="BV182" s="81" t="s">
        <v>1237</v>
      </c>
      <c r="BW182" s="113"/>
      <c r="BX182" s="113"/>
      <c r="BY182" s="113">
        <v>1</v>
      </c>
      <c r="BZ182" s="113">
        <v>9</v>
      </c>
      <c r="CA182" s="113"/>
      <c r="CB182" s="113"/>
      <c r="CC182" s="113"/>
      <c r="CD182" s="32"/>
      <c r="CE182" s="32"/>
      <c r="CF182" s="32"/>
      <c r="CG182" s="32"/>
      <c r="CH182" s="32"/>
      <c r="CI182" s="32"/>
      <c r="CJ182" s="32"/>
      <c r="CK182" s="32"/>
      <c r="CL182" s="32"/>
      <c r="CM182" s="32"/>
      <c r="CN182" s="32"/>
    </row>
    <row r="183" spans="1:92" ht="21" customHeight="1">
      <c r="A183" s="109">
        <v>181</v>
      </c>
      <c r="B183" s="23" t="s">
        <v>1379</v>
      </c>
      <c r="C183" s="111" t="s">
        <v>1380</v>
      </c>
      <c r="D183" s="110" t="s">
        <v>1381</v>
      </c>
      <c r="E183" s="111" t="s">
        <v>1382</v>
      </c>
      <c r="F183" s="111" t="s">
        <v>176</v>
      </c>
      <c r="G183" s="24" t="s">
        <v>164</v>
      </c>
      <c r="H183" s="112" t="s">
        <v>1373</v>
      </c>
      <c r="I183" s="13"/>
      <c r="J183" s="14">
        <v>4003</v>
      </c>
      <c r="K183" s="130">
        <v>339.7</v>
      </c>
      <c r="L183" s="131">
        <v>90.52</v>
      </c>
      <c r="M183" s="131">
        <v>82.09</v>
      </c>
      <c r="N183" s="131">
        <v>62.82</v>
      </c>
      <c r="O183" s="39"/>
      <c r="P183" s="42" t="s">
        <v>420</v>
      </c>
      <c r="Q183" s="37">
        <v>40</v>
      </c>
      <c r="R183" s="37">
        <v>33</v>
      </c>
      <c r="S183" s="37">
        <v>38</v>
      </c>
      <c r="T183" s="37">
        <v>43</v>
      </c>
      <c r="U183" s="37">
        <v>48</v>
      </c>
      <c r="V183" s="109"/>
      <c r="W183" s="109">
        <v>202</v>
      </c>
      <c r="X183" s="116"/>
      <c r="Y183" s="116"/>
      <c r="Z183" s="116"/>
      <c r="AA183" s="116"/>
      <c r="AB183" s="116"/>
      <c r="AC183" s="116"/>
      <c r="AD183" s="116"/>
      <c r="AE183" s="116"/>
      <c r="AF183" s="116"/>
      <c r="AG183" s="116"/>
      <c r="AH183" s="116"/>
      <c r="AI183" s="116"/>
      <c r="AJ183" s="94"/>
      <c r="AK183" s="32"/>
      <c r="AL183" s="113"/>
      <c r="AM183" s="95"/>
      <c r="AN183" s="95">
        <v>6</v>
      </c>
      <c r="AO183" s="96"/>
      <c r="AP183" s="96">
        <v>5</v>
      </c>
      <c r="AQ183" s="97"/>
      <c r="AR183" s="134">
        <v>3</v>
      </c>
      <c r="AS183" s="135"/>
      <c r="AT183" s="135"/>
      <c r="AU183" s="113"/>
      <c r="AV183" s="113"/>
      <c r="AW183" s="113">
        <v>361</v>
      </c>
      <c r="AX183" s="113"/>
      <c r="AY183" s="113">
        <v>480</v>
      </c>
      <c r="AZ183" s="113"/>
      <c r="BA183" s="113" t="s">
        <v>639</v>
      </c>
      <c r="BB183" s="32"/>
      <c r="BC183" s="32"/>
      <c r="BD183" s="32"/>
      <c r="BE183" s="32"/>
      <c r="BF183" s="32"/>
      <c r="BG183" s="32"/>
      <c r="BH183" s="32"/>
      <c r="BI183" s="32"/>
      <c r="BJ183" s="32"/>
      <c r="BK183" s="32"/>
      <c r="BL183" s="32">
        <v>1</v>
      </c>
      <c r="BM183" s="32"/>
      <c r="BN183" s="32"/>
      <c r="BO183" s="32"/>
      <c r="BP183" s="32"/>
      <c r="BQ183" s="32"/>
      <c r="BR183" s="32"/>
      <c r="BS183" s="32"/>
      <c r="BT183" s="32"/>
      <c r="BU183" s="32"/>
      <c r="BV183" s="81"/>
      <c r="BW183" s="77"/>
      <c r="BX183" s="77"/>
      <c r="BY183" s="77"/>
      <c r="BZ183" s="77"/>
      <c r="CA183" s="113"/>
      <c r="CB183" s="113"/>
      <c r="CC183" s="113"/>
      <c r="CD183" s="32"/>
      <c r="CE183" s="32"/>
      <c r="CF183" s="32"/>
      <c r="CG183" s="32"/>
      <c r="CH183" s="32"/>
      <c r="CI183" s="32"/>
      <c r="CJ183" s="32"/>
      <c r="CK183" s="32"/>
      <c r="CL183" s="32"/>
      <c r="CM183" s="32"/>
      <c r="CN183" s="32"/>
    </row>
    <row r="184" spans="1:92" ht="21" customHeight="1">
      <c r="A184" s="109">
        <v>182</v>
      </c>
      <c r="B184" s="23" t="s">
        <v>229</v>
      </c>
      <c r="C184" s="111" t="s">
        <v>230</v>
      </c>
      <c r="D184" s="110" t="s">
        <v>99</v>
      </c>
      <c r="E184" s="111" t="s">
        <v>370</v>
      </c>
      <c r="F184" s="111" t="s">
        <v>176</v>
      </c>
      <c r="G184" s="24" t="s">
        <v>164</v>
      </c>
      <c r="H184" s="112" t="s">
        <v>425</v>
      </c>
      <c r="I184" s="13">
        <v>4126</v>
      </c>
      <c r="J184" s="14">
        <v>4010</v>
      </c>
      <c r="K184" s="130">
        <v>344.7</v>
      </c>
      <c r="L184" s="131">
        <v>78.59</v>
      </c>
      <c r="M184" s="131">
        <v>84.59</v>
      </c>
      <c r="N184" s="131">
        <v>82.64</v>
      </c>
      <c r="O184" s="75">
        <v>11.3</v>
      </c>
      <c r="P184" s="42" t="s">
        <v>420</v>
      </c>
      <c r="Q184" s="37">
        <v>30</v>
      </c>
      <c r="R184" s="37">
        <v>35</v>
      </c>
      <c r="S184" s="37">
        <v>40</v>
      </c>
      <c r="T184" s="37">
        <v>45</v>
      </c>
      <c r="U184" s="37">
        <v>50</v>
      </c>
      <c r="V184" s="109"/>
      <c r="W184" s="109">
        <v>200</v>
      </c>
      <c r="X184" s="108">
        <v>10700</v>
      </c>
      <c r="Y184" s="108">
        <v>17500</v>
      </c>
      <c r="Z184" s="108">
        <v>27900</v>
      </c>
      <c r="AA184" s="16">
        <v>41900</v>
      </c>
      <c r="AB184" s="16">
        <v>60500</v>
      </c>
      <c r="AC184" s="16">
        <v>89500</v>
      </c>
      <c r="AD184" s="16">
        <v>132500</v>
      </c>
      <c r="AE184" s="17">
        <v>196000</v>
      </c>
      <c r="AF184" s="17">
        <v>290500</v>
      </c>
      <c r="AG184" s="17">
        <v>419000</v>
      </c>
      <c r="AH184" s="17">
        <v>535000</v>
      </c>
      <c r="AI184" s="17">
        <v>617000</v>
      </c>
      <c r="AJ184" s="94"/>
      <c r="AK184" s="32"/>
      <c r="AL184" s="113">
        <v>9752000</v>
      </c>
      <c r="AM184" s="95">
        <v>35000</v>
      </c>
      <c r="AN184" s="95">
        <v>6</v>
      </c>
      <c r="AO184" s="96">
        <v>70000</v>
      </c>
      <c r="AP184" s="96">
        <v>5</v>
      </c>
      <c r="AQ184" s="97">
        <v>210000</v>
      </c>
      <c r="AR184" s="134">
        <v>3</v>
      </c>
      <c r="AS184" s="135"/>
      <c r="AT184" s="135"/>
      <c r="AU184" s="113">
        <v>4760000</v>
      </c>
      <c r="AV184" s="113">
        <v>14512000</v>
      </c>
      <c r="AW184" s="113">
        <v>358</v>
      </c>
      <c r="AX184" s="113"/>
      <c r="AY184" s="113">
        <v>468</v>
      </c>
      <c r="AZ184" s="113"/>
      <c r="BA184" s="113" t="s">
        <v>639</v>
      </c>
      <c r="BB184" s="32"/>
      <c r="BC184" s="32"/>
      <c r="BD184" s="32"/>
      <c r="BE184" s="32"/>
      <c r="BF184" s="32"/>
      <c r="BG184" s="32"/>
      <c r="BH184" s="32"/>
      <c r="BI184" s="32"/>
      <c r="BJ184" s="32">
        <v>1</v>
      </c>
      <c r="BK184" s="32"/>
      <c r="BL184" s="32">
        <v>1</v>
      </c>
      <c r="BM184" s="32"/>
      <c r="BN184" s="32"/>
      <c r="BO184" s="32"/>
      <c r="BP184" s="32">
        <v>1</v>
      </c>
      <c r="BQ184" s="32"/>
      <c r="BR184" s="32"/>
      <c r="BS184" s="32"/>
      <c r="BT184" s="32">
        <v>1</v>
      </c>
      <c r="BU184" s="32"/>
      <c r="BV184" s="81" t="s">
        <v>1238</v>
      </c>
      <c r="BW184" s="77"/>
      <c r="BX184" s="77"/>
      <c r="BY184" s="77"/>
      <c r="BZ184" s="77"/>
      <c r="CA184" s="77"/>
      <c r="CB184" s="113"/>
      <c r="CC184" s="113"/>
      <c r="CD184" s="32"/>
      <c r="CE184" s="32"/>
      <c r="CF184" s="32"/>
      <c r="CG184" s="32"/>
      <c r="CH184" s="32"/>
      <c r="CI184" s="32"/>
      <c r="CJ184" s="32"/>
      <c r="CK184" s="32"/>
      <c r="CL184" s="32"/>
      <c r="CM184" s="32"/>
      <c r="CN184" s="32"/>
    </row>
    <row r="185" spans="1:92" ht="21" customHeight="1">
      <c r="A185" s="109">
        <v>183</v>
      </c>
      <c r="B185" s="23" t="s">
        <v>402</v>
      </c>
      <c r="C185" s="111" t="s">
        <v>655</v>
      </c>
      <c r="D185" s="110" t="s">
        <v>158</v>
      </c>
      <c r="E185" s="111" t="s">
        <v>403</v>
      </c>
      <c r="F185" s="111" t="s">
        <v>176</v>
      </c>
      <c r="G185" s="26" t="s">
        <v>173</v>
      </c>
      <c r="H185" s="112" t="s">
        <v>654</v>
      </c>
      <c r="I185" s="13">
        <v>4009</v>
      </c>
      <c r="J185" s="14">
        <v>4014</v>
      </c>
      <c r="K185" s="126">
        <v>365.8</v>
      </c>
      <c r="L185" s="127">
        <v>75.19</v>
      </c>
      <c r="M185" s="127">
        <v>64.75</v>
      </c>
      <c r="N185" s="127">
        <v>72.099999999999994</v>
      </c>
      <c r="O185" s="36"/>
      <c r="P185" s="42" t="s">
        <v>420</v>
      </c>
      <c r="Q185" s="37">
        <v>40</v>
      </c>
      <c r="R185" s="37">
        <v>30</v>
      </c>
      <c r="S185" s="37">
        <v>35</v>
      </c>
      <c r="T185" s="37">
        <v>40</v>
      </c>
      <c r="U185" s="37">
        <v>50</v>
      </c>
      <c r="V185" s="37">
        <v>55</v>
      </c>
      <c r="W185" s="109">
        <v>250</v>
      </c>
      <c r="X185" s="105">
        <v>8400</v>
      </c>
      <c r="Y185" s="105">
        <v>13700</v>
      </c>
      <c r="Z185" s="105">
        <v>22000</v>
      </c>
      <c r="AA185" s="96">
        <v>32900</v>
      </c>
      <c r="AB185" s="96">
        <v>47600</v>
      </c>
      <c r="AC185" s="96">
        <v>70500</v>
      </c>
      <c r="AD185" s="96">
        <v>104000</v>
      </c>
      <c r="AE185" s="96">
        <v>154000</v>
      </c>
      <c r="AF185" s="96">
        <v>228000</v>
      </c>
      <c r="AG185" s="96">
        <v>329000</v>
      </c>
      <c r="AH185" s="94">
        <v>421000</v>
      </c>
      <c r="AI185" s="94">
        <v>485000</v>
      </c>
      <c r="AJ185" s="17">
        <v>522000</v>
      </c>
      <c r="AK185" s="17"/>
      <c r="AL185" s="113">
        <v>9752400</v>
      </c>
      <c r="AM185" s="95">
        <v>35000</v>
      </c>
      <c r="AN185" s="95">
        <v>6</v>
      </c>
      <c r="AO185" s="96">
        <v>70000</v>
      </c>
      <c r="AP185" s="96">
        <v>5</v>
      </c>
      <c r="AQ185" s="97">
        <v>210000</v>
      </c>
      <c r="AR185" s="134">
        <v>4</v>
      </c>
      <c r="AS185" s="135"/>
      <c r="AT185" s="135"/>
      <c r="AU185" s="113">
        <v>5600000</v>
      </c>
      <c r="AV185" s="113">
        <v>15352400</v>
      </c>
      <c r="AW185" s="113">
        <v>380</v>
      </c>
      <c r="AX185" s="113"/>
      <c r="AY185" s="113">
        <v>504</v>
      </c>
      <c r="AZ185" s="113"/>
      <c r="BA185" s="113" t="s">
        <v>605</v>
      </c>
      <c r="BB185" s="32"/>
      <c r="BC185" s="32"/>
      <c r="BD185" s="32"/>
      <c r="BE185" s="32"/>
      <c r="BF185" s="32"/>
      <c r="BG185" s="32"/>
      <c r="BH185" s="32">
        <v>1</v>
      </c>
      <c r="BI185" s="32"/>
      <c r="BJ185" s="32"/>
      <c r="BK185" s="32"/>
      <c r="BL185" s="32"/>
      <c r="BM185" s="32"/>
      <c r="BN185" s="32"/>
      <c r="BO185" s="32"/>
      <c r="BP185" s="32">
        <v>1</v>
      </c>
      <c r="BQ185" s="32"/>
      <c r="BR185" s="32"/>
      <c r="BS185" s="32"/>
      <c r="BT185" s="32"/>
      <c r="BU185" s="32"/>
      <c r="BV185" s="81" t="s">
        <v>1239</v>
      </c>
      <c r="BW185" s="77"/>
      <c r="BX185" s="77"/>
      <c r="BY185" s="77"/>
      <c r="BZ185" s="77"/>
      <c r="CA185" s="77"/>
      <c r="CB185" s="113"/>
      <c r="CC185" s="113"/>
      <c r="CD185" s="32"/>
      <c r="CE185" s="32"/>
      <c r="CF185" s="32"/>
      <c r="CG185" s="32"/>
      <c r="CH185" s="32"/>
      <c r="CI185" s="32"/>
      <c r="CJ185" s="32"/>
      <c r="CK185" s="32"/>
      <c r="CL185" s="32"/>
      <c r="CM185" s="32"/>
      <c r="CN185" s="32"/>
    </row>
    <row r="186" spans="1:92" ht="21" customHeight="1">
      <c r="A186" s="109">
        <v>184</v>
      </c>
      <c r="B186" s="23" t="s">
        <v>212</v>
      </c>
      <c r="C186" s="111" t="s">
        <v>213</v>
      </c>
      <c r="D186" s="110" t="s">
        <v>99</v>
      </c>
      <c r="E186" s="111" t="s">
        <v>364</v>
      </c>
      <c r="F186" s="111" t="s">
        <v>176</v>
      </c>
      <c r="G186" s="26" t="s">
        <v>173</v>
      </c>
      <c r="H186" s="112" t="s">
        <v>300</v>
      </c>
      <c r="I186" s="13">
        <v>4211</v>
      </c>
      <c r="J186" s="14">
        <v>4019</v>
      </c>
      <c r="K186" s="120">
        <v>338.9</v>
      </c>
      <c r="L186" s="121">
        <v>85.84</v>
      </c>
      <c r="M186" s="121">
        <v>92.97</v>
      </c>
      <c r="N186" s="121">
        <v>86.39</v>
      </c>
      <c r="O186" s="32">
        <v>14.23</v>
      </c>
      <c r="P186" s="42" t="s">
        <v>420</v>
      </c>
      <c r="Q186" s="16">
        <v>50</v>
      </c>
      <c r="R186" s="16">
        <v>15</v>
      </c>
      <c r="S186" s="16">
        <v>18</v>
      </c>
      <c r="T186" s="16">
        <v>24</v>
      </c>
      <c r="U186" s="16">
        <v>38</v>
      </c>
      <c r="V186" s="16">
        <v>45</v>
      </c>
      <c r="W186" s="109">
        <v>190</v>
      </c>
      <c r="X186" s="96">
        <v>8400</v>
      </c>
      <c r="Y186" s="96">
        <v>13700</v>
      </c>
      <c r="Z186" s="96">
        <v>22000</v>
      </c>
      <c r="AA186" s="96">
        <v>32900</v>
      </c>
      <c r="AB186" s="96">
        <v>47600</v>
      </c>
      <c r="AC186" s="96">
        <v>70500</v>
      </c>
      <c r="AD186" s="96">
        <v>104000</v>
      </c>
      <c r="AE186" s="96">
        <v>154000</v>
      </c>
      <c r="AF186" s="96">
        <v>228000</v>
      </c>
      <c r="AG186" s="96">
        <v>329000</v>
      </c>
      <c r="AH186" s="94">
        <v>421000</v>
      </c>
      <c r="AI186" s="94">
        <v>485000</v>
      </c>
      <c r="AJ186" s="17">
        <v>522000</v>
      </c>
      <c r="AK186" s="17"/>
      <c r="AL186" s="113">
        <v>9752400</v>
      </c>
      <c r="AM186" s="95">
        <v>35000</v>
      </c>
      <c r="AN186" s="95">
        <v>6</v>
      </c>
      <c r="AO186" s="96">
        <v>70000</v>
      </c>
      <c r="AP186" s="96">
        <v>5</v>
      </c>
      <c r="AQ186" s="97">
        <v>210000</v>
      </c>
      <c r="AR186" s="134">
        <v>4</v>
      </c>
      <c r="AS186" s="135"/>
      <c r="AT186" s="135"/>
      <c r="AU186" s="113">
        <v>5600000</v>
      </c>
      <c r="AV186" s="113"/>
      <c r="AW186" s="113">
        <v>353</v>
      </c>
      <c r="AX186" s="113"/>
      <c r="AY186" s="113">
        <v>459</v>
      </c>
      <c r="AZ186" s="113"/>
      <c r="BA186" s="113" t="s">
        <v>658</v>
      </c>
      <c r="BB186" s="32"/>
      <c r="BC186" s="32"/>
      <c r="BD186" s="32"/>
      <c r="BE186" s="32"/>
      <c r="BF186" s="32"/>
      <c r="BG186" s="32"/>
      <c r="BH186" s="32"/>
      <c r="BI186" s="32"/>
      <c r="BJ186" s="32"/>
      <c r="BK186" s="32"/>
      <c r="BL186" s="32"/>
      <c r="BM186" s="32"/>
      <c r="BN186" s="32"/>
      <c r="BO186" s="32"/>
      <c r="BP186" s="32"/>
      <c r="BQ186" s="32" t="s">
        <v>799</v>
      </c>
      <c r="BR186" s="32"/>
      <c r="BS186" s="32"/>
      <c r="BT186" s="32"/>
      <c r="BU186" s="32"/>
      <c r="BV186" s="81" t="s">
        <v>1240</v>
      </c>
      <c r="BW186" s="113"/>
      <c r="BX186" s="113"/>
      <c r="BY186" s="113"/>
      <c r="BZ186" s="113"/>
      <c r="CA186" s="113"/>
      <c r="CB186" s="113"/>
      <c r="CC186" s="113"/>
      <c r="CD186" s="32"/>
      <c r="CE186" s="32"/>
      <c r="CF186" s="32"/>
      <c r="CG186" s="32"/>
      <c r="CH186" s="32"/>
      <c r="CI186" s="32"/>
      <c r="CJ186" s="32"/>
      <c r="CK186" s="32"/>
      <c r="CL186" s="32"/>
      <c r="CM186" s="32"/>
      <c r="CN186" s="32"/>
    </row>
    <row r="187" spans="1:92" ht="21" customHeight="1">
      <c r="A187" s="109">
        <v>185</v>
      </c>
      <c r="B187" s="23" t="s">
        <v>216</v>
      </c>
      <c r="C187" s="111" t="s">
        <v>217</v>
      </c>
      <c r="D187" s="110" t="s">
        <v>773</v>
      </c>
      <c r="E187" s="149" t="s">
        <v>365</v>
      </c>
      <c r="F187" s="111" t="s">
        <v>176</v>
      </c>
      <c r="G187" s="26" t="s">
        <v>173</v>
      </c>
      <c r="H187" s="112" t="s">
        <v>298</v>
      </c>
      <c r="I187" s="13">
        <v>4444</v>
      </c>
      <c r="J187" s="14">
        <v>4020</v>
      </c>
      <c r="K187" s="122">
        <v>364.6</v>
      </c>
      <c r="L187" s="123">
        <v>85.53</v>
      </c>
      <c r="M187" s="123">
        <v>75.739999999999995</v>
      </c>
      <c r="N187" s="123">
        <v>69.650000000000006</v>
      </c>
      <c r="O187" s="113">
        <v>7.13</v>
      </c>
      <c r="P187" s="42" t="s">
        <v>420</v>
      </c>
      <c r="Q187" s="16" t="s">
        <v>270</v>
      </c>
      <c r="R187" s="16">
        <v>30</v>
      </c>
      <c r="S187" s="16">
        <v>40</v>
      </c>
      <c r="T187" s="16">
        <v>50</v>
      </c>
      <c r="U187" s="16">
        <v>65</v>
      </c>
      <c r="V187" s="16">
        <v>80</v>
      </c>
      <c r="W187" s="109">
        <v>265</v>
      </c>
      <c r="X187" s="94"/>
      <c r="Y187" s="94"/>
      <c r="Z187" s="94"/>
      <c r="AA187" s="94"/>
      <c r="AB187" s="94"/>
      <c r="AC187" s="94"/>
      <c r="AD187" s="94"/>
      <c r="AE187" s="94"/>
      <c r="AF187" s="94"/>
      <c r="AG187" s="94"/>
      <c r="AH187" s="94"/>
      <c r="AI187" s="94"/>
      <c r="AJ187" s="94"/>
      <c r="AK187" s="32"/>
      <c r="AL187" s="113"/>
      <c r="AM187" s="95">
        <v>35000</v>
      </c>
      <c r="AN187" s="95">
        <v>6</v>
      </c>
      <c r="AO187" s="96">
        <v>70000</v>
      </c>
      <c r="AP187" s="96">
        <v>5</v>
      </c>
      <c r="AQ187" s="97">
        <v>210000</v>
      </c>
      <c r="AR187" s="134">
        <v>4</v>
      </c>
      <c r="AS187" s="135"/>
      <c r="AT187" s="135"/>
      <c r="AU187" s="113">
        <v>5600000</v>
      </c>
      <c r="AV187" s="113"/>
      <c r="AW187" s="113">
        <v>379</v>
      </c>
      <c r="AX187" s="113"/>
      <c r="AY187" s="113">
        <v>503</v>
      </c>
      <c r="AZ187" s="113"/>
      <c r="BA187" s="113" t="s">
        <v>640</v>
      </c>
      <c r="BB187" s="32"/>
      <c r="BC187" s="32"/>
      <c r="BD187" s="32"/>
      <c r="BE187" s="32"/>
      <c r="BF187" s="32"/>
      <c r="BG187" s="32"/>
      <c r="BH187" s="32"/>
      <c r="BI187" s="32"/>
      <c r="BJ187" s="32"/>
      <c r="BK187" s="32"/>
      <c r="BL187" s="32"/>
      <c r="BM187" s="32">
        <v>1</v>
      </c>
      <c r="BN187" s="32"/>
      <c r="BO187" s="32">
        <v>1</v>
      </c>
      <c r="BP187" s="32">
        <v>1</v>
      </c>
      <c r="BQ187" s="32" t="s">
        <v>828</v>
      </c>
      <c r="BR187" s="32"/>
      <c r="BS187" s="32"/>
      <c r="BT187" s="32">
        <v>1</v>
      </c>
      <c r="BU187" s="32"/>
      <c r="BV187" s="81" t="s">
        <v>1241</v>
      </c>
      <c r="BW187" s="77" t="s">
        <v>684</v>
      </c>
      <c r="BX187" s="77"/>
      <c r="BY187" s="113">
        <v>1</v>
      </c>
      <c r="BZ187" s="113">
        <v>9</v>
      </c>
      <c r="CA187" s="113"/>
      <c r="CB187" s="113"/>
      <c r="CC187" s="113"/>
      <c r="CD187" s="32"/>
      <c r="CE187" s="32"/>
      <c r="CF187" s="32"/>
      <c r="CG187" s="32"/>
      <c r="CH187" s="32"/>
      <c r="CI187" s="32"/>
      <c r="CJ187" s="32"/>
      <c r="CK187" s="32"/>
      <c r="CL187" s="32"/>
      <c r="CM187" s="32"/>
      <c r="CN187" s="32"/>
    </row>
    <row r="188" spans="1:92" ht="21" customHeight="1">
      <c r="A188" s="109">
        <v>186</v>
      </c>
      <c r="B188" s="23" t="s">
        <v>1242</v>
      </c>
      <c r="C188" s="111" t="s">
        <v>847</v>
      </c>
      <c r="D188" s="110" t="s">
        <v>182</v>
      </c>
      <c r="E188" s="149" t="s">
        <v>846</v>
      </c>
      <c r="F188" s="111" t="s">
        <v>176</v>
      </c>
      <c r="G188" s="24" t="s">
        <v>164</v>
      </c>
      <c r="H188" s="112" t="s">
        <v>900</v>
      </c>
      <c r="I188" s="13">
        <v>4025</v>
      </c>
      <c r="J188" s="14">
        <v>4025</v>
      </c>
      <c r="K188" s="122">
        <v>357.9</v>
      </c>
      <c r="L188" s="123">
        <v>82</v>
      </c>
      <c r="M188" s="123">
        <v>60.85</v>
      </c>
      <c r="N188" s="123">
        <v>77.62</v>
      </c>
      <c r="O188" s="114"/>
      <c r="P188" s="42" t="s">
        <v>420</v>
      </c>
      <c r="Q188" s="75">
        <v>40</v>
      </c>
      <c r="R188" s="75">
        <v>33</v>
      </c>
      <c r="S188" s="75">
        <v>38</v>
      </c>
      <c r="T188" s="75">
        <v>43</v>
      </c>
      <c r="U188" s="75">
        <v>48</v>
      </c>
      <c r="V188" s="75"/>
      <c r="W188" s="109">
        <v>202</v>
      </c>
      <c r="X188" s="103">
        <v>10700</v>
      </c>
      <c r="Y188" s="103">
        <v>17500</v>
      </c>
      <c r="Z188" s="103">
        <v>27900</v>
      </c>
      <c r="AA188" s="103">
        <v>41900</v>
      </c>
      <c r="AB188" s="103">
        <v>60500</v>
      </c>
      <c r="AC188" s="103">
        <v>89500</v>
      </c>
      <c r="AD188" s="103">
        <v>132500</v>
      </c>
      <c r="AE188" s="100">
        <v>196000</v>
      </c>
      <c r="AF188" s="100">
        <v>290500</v>
      </c>
      <c r="AG188" s="100">
        <v>419000</v>
      </c>
      <c r="AH188" s="100">
        <v>535000</v>
      </c>
      <c r="AI188" s="100">
        <v>617000</v>
      </c>
      <c r="AJ188" s="94"/>
      <c r="AK188" s="32"/>
      <c r="AL188" s="113">
        <v>9752000</v>
      </c>
      <c r="AM188" s="95">
        <v>35000</v>
      </c>
      <c r="AN188" s="95">
        <v>6</v>
      </c>
      <c r="AO188" s="96">
        <v>70000</v>
      </c>
      <c r="AP188" s="96">
        <v>5</v>
      </c>
      <c r="AQ188" s="97">
        <v>210000</v>
      </c>
      <c r="AR188" s="134">
        <v>3</v>
      </c>
      <c r="AS188" s="135"/>
      <c r="AT188" s="135"/>
      <c r="AU188" s="113">
        <v>4760000</v>
      </c>
      <c r="AV188" s="113">
        <v>14512000</v>
      </c>
      <c r="AW188" s="113">
        <v>372</v>
      </c>
      <c r="AX188" s="113"/>
      <c r="AY188" s="113">
        <v>492</v>
      </c>
      <c r="AZ188" s="113"/>
      <c r="BA188" s="113" t="s">
        <v>639</v>
      </c>
      <c r="BB188" s="32"/>
      <c r="BC188" s="32"/>
      <c r="BD188" s="32"/>
      <c r="BE188" s="32"/>
      <c r="BF188" s="32"/>
      <c r="BG188" s="32"/>
      <c r="BH188" s="32"/>
      <c r="BI188" s="32"/>
      <c r="BJ188" s="32"/>
      <c r="BK188" s="32"/>
      <c r="BL188" s="32">
        <v>1</v>
      </c>
      <c r="BM188" s="32"/>
      <c r="BN188" s="32"/>
      <c r="BO188" s="32"/>
      <c r="BP188" s="32"/>
      <c r="BQ188" s="32" t="s">
        <v>800</v>
      </c>
      <c r="BR188" s="32"/>
      <c r="BS188" s="32"/>
      <c r="BT188" s="32"/>
      <c r="BU188" s="32"/>
      <c r="BV188" s="81" t="s">
        <v>904</v>
      </c>
      <c r="BW188" s="113"/>
      <c r="BX188" s="113"/>
      <c r="BY188" s="113">
        <v>1</v>
      </c>
      <c r="BZ188" s="113">
        <v>7</v>
      </c>
      <c r="CA188" s="113"/>
      <c r="CB188" s="113"/>
      <c r="CC188" s="113"/>
      <c r="CD188" s="32"/>
      <c r="CE188" s="32"/>
      <c r="CF188" s="32"/>
      <c r="CG188" s="32"/>
      <c r="CH188" s="32"/>
      <c r="CI188" s="32"/>
      <c r="CJ188" s="32"/>
      <c r="CK188" s="32"/>
      <c r="CL188" s="32"/>
      <c r="CM188" s="32"/>
      <c r="CN188" s="32"/>
    </row>
    <row r="189" spans="1:92" ht="21" customHeight="1">
      <c r="A189" s="109">
        <v>187</v>
      </c>
      <c r="B189" s="23" t="s">
        <v>1243</v>
      </c>
      <c r="C189" s="111" t="s">
        <v>535</v>
      </c>
      <c r="D189" s="110" t="s">
        <v>533</v>
      </c>
      <c r="E189" s="149" t="s">
        <v>534</v>
      </c>
      <c r="F189" s="111" t="s">
        <v>176</v>
      </c>
      <c r="G189" s="26" t="s">
        <v>173</v>
      </c>
      <c r="H189" s="149" t="s">
        <v>670</v>
      </c>
      <c r="I189" s="13">
        <v>4145</v>
      </c>
      <c r="J189" s="14">
        <v>4026</v>
      </c>
      <c r="K189" s="122">
        <v>365.6</v>
      </c>
      <c r="L189" s="123">
        <v>81.94</v>
      </c>
      <c r="M189" s="123">
        <v>84.83</v>
      </c>
      <c r="N189" s="123">
        <v>59.59</v>
      </c>
      <c r="O189" s="114"/>
      <c r="P189" s="42" t="s">
        <v>420</v>
      </c>
      <c r="Q189" s="75">
        <v>33</v>
      </c>
      <c r="R189" s="75">
        <v>31</v>
      </c>
      <c r="S189" s="75">
        <v>33</v>
      </c>
      <c r="T189" s="75">
        <v>35</v>
      </c>
      <c r="U189" s="75">
        <v>38</v>
      </c>
      <c r="V189" s="75">
        <v>42</v>
      </c>
      <c r="W189" s="109">
        <v>212</v>
      </c>
      <c r="X189" s="94">
        <v>8400</v>
      </c>
      <c r="Y189" s="94">
        <v>13700</v>
      </c>
      <c r="Z189" s="94">
        <v>22000</v>
      </c>
      <c r="AA189" s="94">
        <v>32900</v>
      </c>
      <c r="AB189" s="94">
        <v>47600</v>
      </c>
      <c r="AC189" s="94">
        <v>70500</v>
      </c>
      <c r="AD189" s="96">
        <v>104000</v>
      </c>
      <c r="AE189" s="96">
        <v>154000</v>
      </c>
      <c r="AF189" s="96">
        <v>228000</v>
      </c>
      <c r="AG189" s="96">
        <v>329000</v>
      </c>
      <c r="AH189" s="96">
        <v>421000</v>
      </c>
      <c r="AI189" s="96">
        <v>485000</v>
      </c>
      <c r="AJ189" s="17">
        <v>522000</v>
      </c>
      <c r="AK189" s="17"/>
      <c r="AL189" s="113">
        <v>9752400</v>
      </c>
      <c r="AM189" s="95">
        <v>35000</v>
      </c>
      <c r="AN189" s="95">
        <v>6</v>
      </c>
      <c r="AO189" s="96">
        <v>70000</v>
      </c>
      <c r="AP189" s="96">
        <v>5</v>
      </c>
      <c r="AQ189" s="97">
        <v>210000</v>
      </c>
      <c r="AR189" s="134">
        <v>4</v>
      </c>
      <c r="AS189" s="135"/>
      <c r="AT189" s="135"/>
      <c r="AU189" s="113">
        <v>5600000</v>
      </c>
      <c r="AV189" s="113">
        <v>15352400</v>
      </c>
      <c r="AW189" s="113">
        <v>380</v>
      </c>
      <c r="AX189" s="113"/>
      <c r="AY189" s="113">
        <v>504</v>
      </c>
      <c r="AZ189" s="113"/>
      <c r="BA189" s="113" t="s">
        <v>636</v>
      </c>
      <c r="BB189" s="32"/>
      <c r="BC189" s="32"/>
      <c r="BD189" s="32"/>
      <c r="BE189" s="32">
        <v>1</v>
      </c>
      <c r="BF189" s="32"/>
      <c r="BG189" s="32"/>
      <c r="BH189" s="32"/>
      <c r="BI189" s="32">
        <v>1</v>
      </c>
      <c r="BJ189" s="32"/>
      <c r="BK189" s="32"/>
      <c r="BL189" s="32"/>
      <c r="BM189" s="32"/>
      <c r="BN189" s="32"/>
      <c r="BO189" s="32"/>
      <c r="BP189" s="32"/>
      <c r="BQ189" s="32" t="s">
        <v>800</v>
      </c>
      <c r="BR189" s="32"/>
      <c r="BS189" s="32"/>
      <c r="BT189" s="32"/>
      <c r="BU189" s="32"/>
      <c r="BV189" s="81" t="s">
        <v>1244</v>
      </c>
      <c r="BW189" s="113"/>
      <c r="BX189" s="113"/>
      <c r="BY189" s="113"/>
      <c r="BZ189" s="113"/>
      <c r="CA189" s="113"/>
      <c r="CB189" s="113"/>
      <c r="CC189" s="113"/>
      <c r="CD189" s="32"/>
      <c r="CE189" s="32"/>
      <c r="CF189" s="32"/>
      <c r="CG189" s="32"/>
      <c r="CH189" s="32"/>
      <c r="CI189" s="32"/>
      <c r="CJ189" s="32"/>
      <c r="CK189" s="32"/>
      <c r="CL189" s="32"/>
      <c r="CM189" s="32"/>
      <c r="CN189" s="32"/>
    </row>
    <row r="190" spans="1:92" ht="21" customHeight="1">
      <c r="A190" s="109">
        <v>188</v>
      </c>
      <c r="B190" s="23" t="s">
        <v>194</v>
      </c>
      <c r="C190" s="111" t="s">
        <v>195</v>
      </c>
      <c r="D190" s="110" t="s">
        <v>1138</v>
      </c>
      <c r="E190" s="149" t="s">
        <v>366</v>
      </c>
      <c r="F190" s="111" t="s">
        <v>176</v>
      </c>
      <c r="G190" s="26" t="s">
        <v>173</v>
      </c>
      <c r="H190" s="149" t="s">
        <v>301</v>
      </c>
      <c r="I190" s="13">
        <v>3876</v>
      </c>
      <c r="J190" s="14">
        <v>4031</v>
      </c>
      <c r="K190" s="122">
        <v>355.4</v>
      </c>
      <c r="L190" s="123">
        <v>82.03</v>
      </c>
      <c r="M190" s="123">
        <v>60.09</v>
      </c>
      <c r="N190" s="123">
        <v>76.33</v>
      </c>
      <c r="O190" s="113">
        <v>8.8000000000000007</v>
      </c>
      <c r="P190" s="42" t="s">
        <v>420</v>
      </c>
      <c r="Q190" s="16">
        <v>50</v>
      </c>
      <c r="R190" s="16">
        <v>15</v>
      </c>
      <c r="S190" s="16">
        <v>18</v>
      </c>
      <c r="T190" s="16">
        <v>24</v>
      </c>
      <c r="U190" s="16">
        <v>38</v>
      </c>
      <c r="V190" s="16">
        <v>45</v>
      </c>
      <c r="W190" s="109">
        <v>190</v>
      </c>
      <c r="X190" s="96">
        <v>8400</v>
      </c>
      <c r="Y190" s="96">
        <v>13700</v>
      </c>
      <c r="Z190" s="96">
        <v>22000</v>
      </c>
      <c r="AA190" s="96">
        <v>32900</v>
      </c>
      <c r="AB190" s="96">
        <v>47600</v>
      </c>
      <c r="AC190" s="96">
        <v>70500</v>
      </c>
      <c r="AD190" s="96">
        <v>104000</v>
      </c>
      <c r="AE190" s="96">
        <v>154000</v>
      </c>
      <c r="AF190" s="96">
        <v>228000</v>
      </c>
      <c r="AG190" s="96">
        <v>329000</v>
      </c>
      <c r="AH190" s="96">
        <v>421000</v>
      </c>
      <c r="AI190" s="96">
        <v>485000</v>
      </c>
      <c r="AJ190" s="100">
        <v>522000</v>
      </c>
      <c r="AK190" s="100"/>
      <c r="AL190" s="113">
        <v>9752400</v>
      </c>
      <c r="AM190" s="95">
        <v>35000</v>
      </c>
      <c r="AN190" s="95">
        <v>6</v>
      </c>
      <c r="AO190" s="96">
        <v>70000</v>
      </c>
      <c r="AP190" s="96">
        <v>5</v>
      </c>
      <c r="AQ190" s="97">
        <v>210000</v>
      </c>
      <c r="AR190" s="134">
        <v>4</v>
      </c>
      <c r="AS190" s="135"/>
      <c r="AT190" s="135"/>
      <c r="AU190" s="113">
        <v>5600000</v>
      </c>
      <c r="AV190" s="113">
        <v>15352400</v>
      </c>
      <c r="AW190" s="113">
        <v>370</v>
      </c>
      <c r="AX190" s="113"/>
      <c r="AY190" s="113">
        <v>487</v>
      </c>
      <c r="AZ190" s="113"/>
      <c r="BA190" s="113" t="s">
        <v>658</v>
      </c>
      <c r="BB190" s="32"/>
      <c r="BC190" s="32"/>
      <c r="BD190" s="32"/>
      <c r="BE190" s="32"/>
      <c r="BF190" s="32"/>
      <c r="BG190" s="32"/>
      <c r="BH190" s="32"/>
      <c r="BI190" s="32"/>
      <c r="BJ190" s="32"/>
      <c r="BK190" s="32"/>
      <c r="BL190" s="32"/>
      <c r="BM190" s="32"/>
      <c r="BN190" s="32"/>
      <c r="BO190" s="32"/>
      <c r="BP190" s="32"/>
      <c r="BQ190" s="32"/>
      <c r="BR190" s="32"/>
      <c r="BS190" s="32"/>
      <c r="BT190" s="32">
        <v>1</v>
      </c>
      <c r="BU190" s="32"/>
      <c r="BV190" s="81" t="s">
        <v>1139</v>
      </c>
      <c r="BW190" s="113"/>
      <c r="BX190" s="113"/>
      <c r="BY190" s="113">
        <v>1</v>
      </c>
      <c r="BZ190" s="113">
        <v>9</v>
      </c>
      <c r="CA190" s="113"/>
      <c r="CB190" s="113"/>
      <c r="CC190" s="113"/>
      <c r="CD190" s="32"/>
      <c r="CE190" s="32"/>
      <c r="CF190" s="32"/>
      <c r="CG190" s="32"/>
      <c r="CH190" s="32"/>
      <c r="CI190" s="32"/>
      <c r="CJ190" s="32"/>
      <c r="CK190" s="32"/>
      <c r="CL190" s="32"/>
      <c r="CM190" s="32"/>
      <c r="CN190" s="32"/>
    </row>
    <row r="191" spans="1:92" ht="21" customHeight="1">
      <c r="A191" s="109">
        <v>189</v>
      </c>
      <c r="B191" s="23" t="s">
        <v>1245</v>
      </c>
      <c r="C191" s="111" t="s">
        <v>619</v>
      </c>
      <c r="D191" s="110" t="s">
        <v>141</v>
      </c>
      <c r="E191" s="149" t="s">
        <v>618</v>
      </c>
      <c r="F191" s="111" t="s">
        <v>176</v>
      </c>
      <c r="G191" s="24" t="s">
        <v>164</v>
      </c>
      <c r="H191" s="112" t="s">
        <v>801</v>
      </c>
      <c r="I191" s="13">
        <v>4061</v>
      </c>
      <c r="J191" s="14">
        <v>4036</v>
      </c>
      <c r="K191" s="130">
        <v>340.1</v>
      </c>
      <c r="L191" s="131">
        <v>85.03</v>
      </c>
      <c r="M191" s="131">
        <v>75.44</v>
      </c>
      <c r="N191" s="131">
        <v>74.52</v>
      </c>
      <c r="O191" s="39"/>
      <c r="P191" s="42" t="s">
        <v>420</v>
      </c>
      <c r="Q191" s="37" t="s">
        <v>270</v>
      </c>
      <c r="R191" s="37">
        <v>30</v>
      </c>
      <c r="S191" s="37">
        <v>38</v>
      </c>
      <c r="T191" s="37">
        <v>55</v>
      </c>
      <c r="U191" s="21">
        <v>77</v>
      </c>
      <c r="V191" s="37"/>
      <c r="W191" s="109">
        <v>200</v>
      </c>
      <c r="X191" s="103">
        <v>10700</v>
      </c>
      <c r="Y191" s="103">
        <v>17500</v>
      </c>
      <c r="Z191" s="103">
        <v>27900</v>
      </c>
      <c r="AA191" s="103">
        <v>41900</v>
      </c>
      <c r="AB191" s="103">
        <v>60500</v>
      </c>
      <c r="AC191" s="103">
        <v>89500</v>
      </c>
      <c r="AD191" s="103">
        <v>132500</v>
      </c>
      <c r="AE191" s="100">
        <v>196000</v>
      </c>
      <c r="AF191" s="100">
        <v>290500</v>
      </c>
      <c r="AG191" s="100">
        <v>419000</v>
      </c>
      <c r="AH191" s="100">
        <v>535000</v>
      </c>
      <c r="AI191" s="100">
        <v>617000</v>
      </c>
      <c r="AJ191" s="94"/>
      <c r="AK191" s="32"/>
      <c r="AL191" s="113"/>
      <c r="AM191" s="95">
        <v>35000</v>
      </c>
      <c r="AN191" s="95">
        <v>6</v>
      </c>
      <c r="AO191" s="96">
        <v>70000</v>
      </c>
      <c r="AP191" s="96">
        <v>5</v>
      </c>
      <c r="AQ191" s="97">
        <v>210000</v>
      </c>
      <c r="AR191" s="134">
        <v>3</v>
      </c>
      <c r="AS191" s="135"/>
      <c r="AT191" s="135"/>
      <c r="AU191" s="113">
        <v>4760000</v>
      </c>
      <c r="AV191" s="113"/>
      <c r="AW191" s="113">
        <v>354</v>
      </c>
      <c r="AX191" s="113"/>
      <c r="AY191" s="113">
        <v>461</v>
      </c>
      <c r="AZ191" s="113"/>
      <c r="BA191" s="113" t="s">
        <v>640</v>
      </c>
      <c r="BB191" s="32"/>
      <c r="BC191" s="32"/>
      <c r="BD191" s="32"/>
      <c r="BE191" s="32"/>
      <c r="BF191" s="32"/>
      <c r="BG191" s="32"/>
      <c r="BH191" s="32"/>
      <c r="BI191" s="32"/>
      <c r="BJ191" s="32"/>
      <c r="BK191" s="32"/>
      <c r="BL191" s="32"/>
      <c r="BM191" s="32">
        <v>1</v>
      </c>
      <c r="BN191" s="32"/>
      <c r="BO191" s="32">
        <v>1</v>
      </c>
      <c r="BP191" s="32">
        <v>1</v>
      </c>
      <c r="BQ191" s="32"/>
      <c r="BR191" s="32"/>
      <c r="BS191" s="32"/>
      <c r="BT191" s="32"/>
      <c r="BU191" s="32"/>
      <c r="BV191" s="81" t="s">
        <v>802</v>
      </c>
      <c r="BW191" s="113"/>
      <c r="BX191" s="113"/>
      <c r="BY191" s="113">
        <v>1</v>
      </c>
      <c r="BZ191" s="113">
        <v>7</v>
      </c>
      <c r="CA191" s="113"/>
      <c r="CB191" s="113"/>
      <c r="CC191" s="113"/>
      <c r="CD191" s="32"/>
      <c r="CE191" s="32"/>
      <c r="CF191" s="32"/>
      <c r="CG191" s="32"/>
      <c r="CH191" s="32"/>
      <c r="CI191" s="32"/>
      <c r="CJ191" s="32"/>
      <c r="CK191" s="32"/>
      <c r="CL191" s="32"/>
      <c r="CM191" s="32"/>
      <c r="CN191" s="32"/>
    </row>
    <row r="192" spans="1:92" ht="21" customHeight="1">
      <c r="A192" s="109">
        <v>190</v>
      </c>
      <c r="B192" s="23" t="s">
        <v>1246</v>
      </c>
      <c r="C192" s="111" t="s">
        <v>845</v>
      </c>
      <c r="D192" s="110" t="s">
        <v>843</v>
      </c>
      <c r="E192" s="149" t="s">
        <v>844</v>
      </c>
      <c r="F192" s="111" t="s">
        <v>176</v>
      </c>
      <c r="G192" s="24" t="s">
        <v>164</v>
      </c>
      <c r="H192" s="115" t="s">
        <v>915</v>
      </c>
      <c r="I192" s="13">
        <v>4076</v>
      </c>
      <c r="J192" s="38">
        <v>4061</v>
      </c>
      <c r="K192" s="130">
        <v>348.8</v>
      </c>
      <c r="L192" s="131">
        <v>83.35</v>
      </c>
      <c r="M192" s="131">
        <v>82.35</v>
      </c>
      <c r="N192" s="131">
        <v>69.25</v>
      </c>
      <c r="O192" s="39"/>
      <c r="P192" s="42" t="s">
        <v>420</v>
      </c>
      <c r="Q192" s="37">
        <v>40</v>
      </c>
      <c r="R192" s="37">
        <v>38</v>
      </c>
      <c r="S192" s="37">
        <v>42</v>
      </c>
      <c r="T192" s="37">
        <v>48</v>
      </c>
      <c r="U192" s="37">
        <v>60</v>
      </c>
      <c r="V192" s="37"/>
      <c r="W192" s="109">
        <v>228</v>
      </c>
      <c r="X192" s="16">
        <v>10700</v>
      </c>
      <c r="Y192" s="16">
        <v>17500</v>
      </c>
      <c r="Z192" s="16">
        <v>27900</v>
      </c>
      <c r="AA192" s="103">
        <v>41900</v>
      </c>
      <c r="AB192" s="103">
        <v>60500</v>
      </c>
      <c r="AC192" s="103">
        <v>89500</v>
      </c>
      <c r="AD192" s="103">
        <v>132500</v>
      </c>
      <c r="AE192" s="100">
        <v>196000</v>
      </c>
      <c r="AF192" s="100">
        <v>290500</v>
      </c>
      <c r="AG192" s="100">
        <v>419000</v>
      </c>
      <c r="AH192" s="100">
        <v>535000</v>
      </c>
      <c r="AI192" s="100">
        <v>617000</v>
      </c>
      <c r="AJ192" s="94"/>
      <c r="AK192" s="32"/>
      <c r="AL192" s="113">
        <v>9752000</v>
      </c>
      <c r="AM192" s="95">
        <v>35000</v>
      </c>
      <c r="AN192" s="95">
        <v>6</v>
      </c>
      <c r="AO192" s="96">
        <v>70000</v>
      </c>
      <c r="AP192" s="96">
        <v>5</v>
      </c>
      <c r="AQ192" s="97">
        <v>210000</v>
      </c>
      <c r="AR192" s="134">
        <v>3</v>
      </c>
      <c r="AS192" s="135"/>
      <c r="AT192" s="135"/>
      <c r="AU192" s="32">
        <v>4760000</v>
      </c>
      <c r="AV192" s="32">
        <v>14512000</v>
      </c>
      <c r="AW192" s="113">
        <v>361</v>
      </c>
      <c r="AX192" s="113"/>
      <c r="AY192" s="113">
        <v>473</v>
      </c>
      <c r="AZ192" s="113"/>
      <c r="BA192" s="82" t="s">
        <v>605</v>
      </c>
      <c r="BB192" s="32"/>
      <c r="BC192" s="32"/>
      <c r="BD192" s="32"/>
      <c r="BE192" s="32"/>
      <c r="BF192" s="32"/>
      <c r="BG192" s="32"/>
      <c r="BH192" s="32">
        <v>1</v>
      </c>
      <c r="BI192" s="32"/>
      <c r="BJ192" s="32"/>
      <c r="BK192" s="32"/>
      <c r="BL192" s="32"/>
      <c r="BM192" s="32"/>
      <c r="BN192" s="32"/>
      <c r="BO192" s="32"/>
      <c r="BP192" s="32">
        <v>1</v>
      </c>
      <c r="BQ192" s="84" t="s">
        <v>800</v>
      </c>
      <c r="BR192" s="32"/>
      <c r="BS192" s="32"/>
      <c r="BT192" s="32"/>
      <c r="BU192" s="32"/>
      <c r="BV192" s="113"/>
      <c r="BW192" s="113"/>
      <c r="BX192" s="113"/>
      <c r="BY192" s="113"/>
      <c r="BZ192" s="113"/>
      <c r="CA192" s="113"/>
      <c r="CB192" s="113"/>
      <c r="CC192" s="113"/>
      <c r="CD192" s="32"/>
      <c r="CE192" s="32"/>
      <c r="CF192" s="32"/>
      <c r="CG192" s="32"/>
      <c r="CH192" s="32"/>
      <c r="CI192" s="32"/>
      <c r="CJ192" s="32"/>
      <c r="CK192" s="32"/>
      <c r="CL192" s="32"/>
      <c r="CM192" s="32"/>
      <c r="CN192" s="32"/>
    </row>
    <row r="193" spans="1:92" ht="21" customHeight="1">
      <c r="A193" s="109">
        <v>191</v>
      </c>
      <c r="B193" s="23" t="s">
        <v>237</v>
      </c>
      <c r="C193" s="111" t="s">
        <v>238</v>
      </c>
      <c r="D193" s="110" t="s">
        <v>141</v>
      </c>
      <c r="E193" s="111" t="s">
        <v>374</v>
      </c>
      <c r="F193" s="111" t="s">
        <v>176</v>
      </c>
      <c r="G193" s="26" t="s">
        <v>173</v>
      </c>
      <c r="H193" s="112" t="s">
        <v>543</v>
      </c>
      <c r="I193" s="13">
        <v>4284</v>
      </c>
      <c r="J193" s="14">
        <v>4079</v>
      </c>
      <c r="K193" s="122">
        <v>355.6</v>
      </c>
      <c r="L193" s="123">
        <v>81.99</v>
      </c>
      <c r="M193" s="123">
        <v>64.05</v>
      </c>
      <c r="N193" s="123">
        <v>82.46</v>
      </c>
      <c r="O193" s="114"/>
      <c r="P193" s="42" t="s">
        <v>420</v>
      </c>
      <c r="Q193" s="16" t="s">
        <v>270</v>
      </c>
      <c r="R193" s="16">
        <v>30</v>
      </c>
      <c r="S193" s="16">
        <v>40</v>
      </c>
      <c r="T193" s="16">
        <v>50</v>
      </c>
      <c r="U193" s="16">
        <v>65</v>
      </c>
      <c r="V193" s="16">
        <v>80</v>
      </c>
      <c r="W193" s="109">
        <v>265</v>
      </c>
      <c r="X193" s="96">
        <v>8400</v>
      </c>
      <c r="Y193" s="96">
        <v>13700</v>
      </c>
      <c r="Z193" s="96">
        <v>22000</v>
      </c>
      <c r="AA193" s="96">
        <v>32900</v>
      </c>
      <c r="AB193" s="96">
        <v>47600</v>
      </c>
      <c r="AC193" s="96">
        <v>70500</v>
      </c>
      <c r="AD193" s="96">
        <v>104000</v>
      </c>
      <c r="AE193" s="96">
        <v>154000</v>
      </c>
      <c r="AF193" s="96">
        <v>228000</v>
      </c>
      <c r="AG193" s="96">
        <v>329000</v>
      </c>
      <c r="AH193" s="96">
        <v>421000</v>
      </c>
      <c r="AI193" s="96">
        <v>485000</v>
      </c>
      <c r="AJ193" s="100">
        <v>522000</v>
      </c>
      <c r="AK193" s="100"/>
      <c r="AL193" s="113">
        <v>9752400</v>
      </c>
      <c r="AM193" s="95">
        <v>35000</v>
      </c>
      <c r="AN193" s="95">
        <v>6</v>
      </c>
      <c r="AO193" s="96">
        <v>70000</v>
      </c>
      <c r="AP193" s="96">
        <v>5</v>
      </c>
      <c r="AQ193" s="97">
        <v>210000</v>
      </c>
      <c r="AR193" s="134">
        <v>4</v>
      </c>
      <c r="AS193" s="135"/>
      <c r="AT193" s="135"/>
      <c r="AU193" s="113">
        <v>5600000</v>
      </c>
      <c r="AV193" s="32">
        <v>15352400</v>
      </c>
      <c r="AW193" s="113">
        <v>370</v>
      </c>
      <c r="AX193" s="113"/>
      <c r="AY193" s="113">
        <v>487</v>
      </c>
      <c r="AZ193" s="113"/>
      <c r="BA193" s="113" t="s">
        <v>640</v>
      </c>
      <c r="BB193" s="32"/>
      <c r="BC193" s="32"/>
      <c r="BD193" s="32"/>
      <c r="BE193" s="32"/>
      <c r="BF193" s="32"/>
      <c r="BG193" s="32"/>
      <c r="BH193" s="32"/>
      <c r="BI193" s="32"/>
      <c r="BJ193" s="32"/>
      <c r="BK193" s="32"/>
      <c r="BL193" s="32"/>
      <c r="BM193" s="32">
        <v>1</v>
      </c>
      <c r="BN193" s="32"/>
      <c r="BO193" s="32">
        <v>1</v>
      </c>
      <c r="BP193" s="32">
        <v>1</v>
      </c>
      <c r="BQ193" s="32"/>
      <c r="BR193" s="32"/>
      <c r="BS193" s="32"/>
      <c r="BT193" s="32"/>
      <c r="BU193" s="32"/>
      <c r="BV193" s="81" t="s">
        <v>1247</v>
      </c>
      <c r="BW193" s="77" t="s">
        <v>685</v>
      </c>
      <c r="BX193" s="151"/>
      <c r="BY193" s="113">
        <v>1</v>
      </c>
      <c r="BZ193" s="113">
        <v>9</v>
      </c>
      <c r="CA193" s="113"/>
      <c r="CB193" s="113"/>
      <c r="CC193" s="113"/>
      <c r="CD193" s="32"/>
      <c r="CE193" s="32"/>
      <c r="CF193" s="32"/>
      <c r="CG193" s="32"/>
      <c r="CH193" s="32"/>
      <c r="CI193" s="32"/>
      <c r="CJ193" s="32"/>
      <c r="CK193" s="32"/>
      <c r="CL193" s="32"/>
      <c r="CM193" s="32"/>
      <c r="CN193" s="32"/>
    </row>
    <row r="194" spans="1:92" ht="21" customHeight="1">
      <c r="A194" s="109">
        <v>192</v>
      </c>
      <c r="B194" s="23" t="s">
        <v>1248</v>
      </c>
      <c r="C194" s="111" t="s">
        <v>698</v>
      </c>
      <c r="D194" s="110" t="s">
        <v>141</v>
      </c>
      <c r="E194" s="111" t="s">
        <v>697</v>
      </c>
      <c r="F194" s="111" t="s">
        <v>176</v>
      </c>
      <c r="G194" s="26" t="s">
        <v>173</v>
      </c>
      <c r="H194" s="112" t="s">
        <v>863</v>
      </c>
      <c r="I194" s="13">
        <v>4081</v>
      </c>
      <c r="J194" s="14">
        <v>4080</v>
      </c>
      <c r="K194" s="126">
        <v>364.8</v>
      </c>
      <c r="L194" s="127">
        <v>81.09</v>
      </c>
      <c r="M194" s="127">
        <v>73.75</v>
      </c>
      <c r="N194" s="127">
        <v>73.930000000000007</v>
      </c>
      <c r="O194" s="36"/>
      <c r="P194" s="42" t="s">
        <v>420</v>
      </c>
      <c r="Q194" s="37">
        <v>70</v>
      </c>
      <c r="R194" s="37">
        <v>23</v>
      </c>
      <c r="S194" s="37">
        <v>27</v>
      </c>
      <c r="T194" s="37">
        <v>36</v>
      </c>
      <c r="U194" s="37">
        <v>52</v>
      </c>
      <c r="V194" s="37">
        <v>59</v>
      </c>
      <c r="W194" s="109">
        <v>267</v>
      </c>
      <c r="X194" s="96">
        <v>8400</v>
      </c>
      <c r="Y194" s="96">
        <v>13700</v>
      </c>
      <c r="Z194" s="96">
        <v>22000</v>
      </c>
      <c r="AA194" s="96">
        <v>32900</v>
      </c>
      <c r="AB194" s="96">
        <v>47600</v>
      </c>
      <c r="AC194" s="96">
        <v>70500</v>
      </c>
      <c r="AD194" s="94">
        <v>104000</v>
      </c>
      <c r="AE194" s="94">
        <v>154000</v>
      </c>
      <c r="AF194" s="94">
        <v>228000</v>
      </c>
      <c r="AG194" s="94">
        <v>329000</v>
      </c>
      <c r="AH194" s="94">
        <v>421000</v>
      </c>
      <c r="AI194" s="94">
        <v>485000</v>
      </c>
      <c r="AJ194" s="32">
        <v>522000</v>
      </c>
      <c r="AK194" s="32"/>
      <c r="AL194" s="113">
        <v>9752400</v>
      </c>
      <c r="AM194" s="95">
        <v>35000</v>
      </c>
      <c r="AN194" s="95">
        <v>6</v>
      </c>
      <c r="AO194" s="96">
        <v>70000</v>
      </c>
      <c r="AP194" s="96">
        <v>5</v>
      </c>
      <c r="AQ194" s="97">
        <v>210000</v>
      </c>
      <c r="AR194" s="134">
        <v>4</v>
      </c>
      <c r="AS194" s="135"/>
      <c r="AT194" s="135"/>
      <c r="AU194" s="32">
        <v>5600000</v>
      </c>
      <c r="AV194" s="32">
        <v>15352400</v>
      </c>
      <c r="AW194" s="113">
        <v>379</v>
      </c>
      <c r="AX194" s="113"/>
      <c r="AY194" s="113">
        <v>503</v>
      </c>
      <c r="AZ194" s="113"/>
      <c r="BA194" s="113" t="s">
        <v>636</v>
      </c>
      <c r="BB194" s="32"/>
      <c r="BC194" s="32"/>
      <c r="BD194" s="32"/>
      <c r="BE194" s="32"/>
      <c r="BF194" s="32"/>
      <c r="BG194" s="32"/>
      <c r="BH194" s="32"/>
      <c r="BI194" s="32">
        <v>1</v>
      </c>
      <c r="BJ194" s="32"/>
      <c r="BK194" s="32"/>
      <c r="BL194" s="32"/>
      <c r="BM194" s="32"/>
      <c r="BN194" s="32"/>
      <c r="BO194" s="32"/>
      <c r="BP194" s="32"/>
      <c r="BQ194" s="84" t="s">
        <v>800</v>
      </c>
      <c r="BR194" s="32"/>
      <c r="BS194" s="32" t="s">
        <v>650</v>
      </c>
      <c r="BT194" s="32"/>
      <c r="BU194" s="32"/>
      <c r="BV194" s="113" t="s">
        <v>802</v>
      </c>
      <c r="BW194" s="77"/>
      <c r="BX194" s="77"/>
      <c r="BY194" s="77"/>
      <c r="BZ194" s="77"/>
      <c r="CA194" s="77"/>
      <c r="CB194" s="113"/>
      <c r="CC194" s="113"/>
      <c r="CD194" s="32"/>
      <c r="CE194" s="32"/>
      <c r="CF194" s="32"/>
      <c r="CG194" s="32"/>
      <c r="CH194" s="32"/>
      <c r="CI194" s="32"/>
      <c r="CJ194" s="32"/>
      <c r="CK194" s="32"/>
      <c r="CL194" s="32"/>
      <c r="CM194" s="32"/>
      <c r="CN194" s="32"/>
    </row>
    <row r="195" spans="1:92" ht="21" customHeight="1">
      <c r="A195" s="109">
        <v>193</v>
      </c>
      <c r="B195" s="23" t="s">
        <v>1477</v>
      </c>
      <c r="C195" s="111" t="s">
        <v>1461</v>
      </c>
      <c r="D195" s="110" t="s">
        <v>1207</v>
      </c>
      <c r="E195" s="111" t="s">
        <v>1462</v>
      </c>
      <c r="F195" s="111" t="s">
        <v>176</v>
      </c>
      <c r="G195" s="24" t="s">
        <v>164</v>
      </c>
      <c r="H195" s="112" t="s">
        <v>1443</v>
      </c>
      <c r="I195" s="13"/>
      <c r="J195" s="14">
        <v>4082</v>
      </c>
      <c r="K195" s="126">
        <v>345.1</v>
      </c>
      <c r="L195" s="127">
        <v>90.21</v>
      </c>
      <c r="M195" s="127">
        <v>77.89</v>
      </c>
      <c r="N195" s="127">
        <v>62.24</v>
      </c>
      <c r="O195" s="36"/>
      <c r="P195" s="42" t="s">
        <v>420</v>
      </c>
      <c r="Q195" s="16" t="s">
        <v>270</v>
      </c>
      <c r="R195" s="37">
        <v>30</v>
      </c>
      <c r="S195" s="37">
        <v>38</v>
      </c>
      <c r="T195" s="37">
        <v>55</v>
      </c>
      <c r="U195" s="21">
        <v>77</v>
      </c>
      <c r="V195" s="37"/>
      <c r="W195" s="109"/>
      <c r="X195" s="16">
        <v>6550</v>
      </c>
      <c r="Y195" s="16">
        <v>10600</v>
      </c>
      <c r="Z195" s="16">
        <v>17000</v>
      </c>
      <c r="AA195" s="16">
        <v>25600</v>
      </c>
      <c r="AB195" s="16">
        <v>36900</v>
      </c>
      <c r="AC195" s="16">
        <v>54500</v>
      </c>
      <c r="AD195" s="16">
        <v>81000</v>
      </c>
      <c r="AE195" s="17">
        <v>119500</v>
      </c>
      <c r="AF195" s="17">
        <v>177000</v>
      </c>
      <c r="AG195" s="17">
        <v>256000</v>
      </c>
      <c r="AH195" s="16">
        <v>327000</v>
      </c>
      <c r="AI195" s="16">
        <v>376000</v>
      </c>
      <c r="AJ195" s="32"/>
      <c r="AK195" s="32"/>
      <c r="AL195" s="113">
        <v>5950600</v>
      </c>
      <c r="AM195" s="95">
        <v>42000</v>
      </c>
      <c r="AN195" s="95">
        <v>6</v>
      </c>
      <c r="AO195" s="96">
        <v>84000</v>
      </c>
      <c r="AP195" s="96">
        <v>5</v>
      </c>
      <c r="AQ195" s="97">
        <v>252000</v>
      </c>
      <c r="AR195" s="134">
        <v>3</v>
      </c>
      <c r="AS195" s="135"/>
      <c r="AT195" s="135"/>
      <c r="AU195" s="32">
        <v>5712000</v>
      </c>
      <c r="AV195" s="32">
        <v>11662600</v>
      </c>
      <c r="AW195" s="113"/>
      <c r="AX195" s="113"/>
      <c r="AY195" s="113"/>
      <c r="AZ195" s="113"/>
      <c r="BA195" s="113" t="s">
        <v>1463</v>
      </c>
      <c r="BB195" s="32"/>
      <c r="BC195" s="32"/>
      <c r="BD195" s="32"/>
      <c r="BE195" s="32"/>
      <c r="BF195" s="32"/>
      <c r="BG195" s="32"/>
      <c r="BH195" s="32"/>
      <c r="BI195" s="32"/>
      <c r="BJ195" s="32"/>
      <c r="BK195" s="32"/>
      <c r="BL195" s="32"/>
      <c r="BM195" s="32"/>
      <c r="BN195" s="32"/>
      <c r="BO195" s="32"/>
      <c r="BP195" s="32"/>
      <c r="BQ195" s="32"/>
      <c r="BR195" s="32"/>
      <c r="BS195" s="32"/>
      <c r="BT195" s="32"/>
      <c r="BU195" s="32"/>
      <c r="BV195" s="81" t="s">
        <v>1464</v>
      </c>
      <c r="BW195" s="77"/>
      <c r="BX195" s="77"/>
      <c r="BY195" s="113"/>
      <c r="BZ195" s="113"/>
      <c r="CA195" s="113"/>
      <c r="CB195" s="113"/>
      <c r="CC195" s="113"/>
      <c r="CD195" s="32"/>
      <c r="CE195" s="32"/>
      <c r="CF195" s="32"/>
      <c r="CG195" s="32"/>
      <c r="CH195" s="32"/>
      <c r="CI195" s="32"/>
      <c r="CJ195" s="32"/>
      <c r="CK195" s="32"/>
      <c r="CL195" s="32"/>
      <c r="CM195" s="32"/>
      <c r="CN195" s="32"/>
    </row>
    <row r="196" spans="1:92" ht="21" customHeight="1">
      <c r="A196" s="109">
        <v>194</v>
      </c>
      <c r="B196" s="23" t="s">
        <v>1401</v>
      </c>
      <c r="C196" s="111" t="s">
        <v>1402</v>
      </c>
      <c r="D196" s="110" t="s">
        <v>115</v>
      </c>
      <c r="E196" s="111" t="s">
        <v>1403</v>
      </c>
      <c r="F196" s="111" t="s">
        <v>176</v>
      </c>
      <c r="G196" s="24" t="s">
        <v>164</v>
      </c>
      <c r="H196" s="112" t="s">
        <v>1393</v>
      </c>
      <c r="I196" s="13"/>
      <c r="J196" s="14">
        <v>4093</v>
      </c>
      <c r="K196" s="126">
        <v>366.8</v>
      </c>
      <c r="L196" s="127">
        <v>79.14</v>
      </c>
      <c r="M196" s="127">
        <v>68.150000000000006</v>
      </c>
      <c r="N196" s="127">
        <v>73.89</v>
      </c>
      <c r="O196" s="36"/>
      <c r="P196" s="42" t="s">
        <v>420</v>
      </c>
      <c r="Q196" s="37">
        <v>40</v>
      </c>
      <c r="R196" s="37">
        <v>33</v>
      </c>
      <c r="S196" s="37">
        <v>38</v>
      </c>
      <c r="T196" s="37">
        <v>43</v>
      </c>
      <c r="U196" s="37">
        <v>48</v>
      </c>
      <c r="V196" s="37"/>
      <c r="W196" s="109">
        <v>202</v>
      </c>
      <c r="X196" s="16">
        <v>6550</v>
      </c>
      <c r="Y196" s="16">
        <v>10600</v>
      </c>
      <c r="Z196" s="16">
        <v>17000</v>
      </c>
      <c r="AA196" s="16">
        <v>25600</v>
      </c>
      <c r="AB196" s="16">
        <v>36900</v>
      </c>
      <c r="AC196" s="16">
        <v>54500</v>
      </c>
      <c r="AD196" s="16">
        <v>81000</v>
      </c>
      <c r="AE196" s="17">
        <v>119500</v>
      </c>
      <c r="AF196" s="17">
        <v>177000</v>
      </c>
      <c r="AG196" s="17">
        <v>256000</v>
      </c>
      <c r="AH196" s="16">
        <v>327000</v>
      </c>
      <c r="AI196" s="16">
        <v>376000</v>
      </c>
      <c r="AJ196" s="94"/>
      <c r="AK196" s="32"/>
      <c r="AL196" s="113">
        <v>5950600</v>
      </c>
      <c r="AM196" s="95">
        <v>42000</v>
      </c>
      <c r="AN196" s="95">
        <v>6</v>
      </c>
      <c r="AO196" s="96">
        <v>84000</v>
      </c>
      <c r="AP196" s="96">
        <v>5</v>
      </c>
      <c r="AQ196" s="97">
        <v>252000</v>
      </c>
      <c r="AR196" s="134">
        <v>4</v>
      </c>
      <c r="AS196" s="135"/>
      <c r="AT196" s="135"/>
      <c r="AU196" s="32">
        <v>6720000</v>
      </c>
      <c r="AV196" s="32">
        <v>12670600</v>
      </c>
      <c r="AW196" s="113">
        <v>381</v>
      </c>
      <c r="AX196" s="113"/>
      <c r="AY196" s="113">
        <v>507</v>
      </c>
      <c r="AZ196" s="113"/>
      <c r="BA196" s="113" t="s">
        <v>1404</v>
      </c>
      <c r="BB196" s="32"/>
      <c r="BC196" s="32"/>
      <c r="BD196" s="32"/>
      <c r="BE196" s="32"/>
      <c r="BF196" s="32"/>
      <c r="BG196" s="32"/>
      <c r="BH196" s="32"/>
      <c r="BI196" s="32"/>
      <c r="BJ196" s="32"/>
      <c r="BK196" s="32"/>
      <c r="BL196" s="32"/>
      <c r="BM196" s="32"/>
      <c r="BN196" s="32"/>
      <c r="BO196" s="32"/>
      <c r="BP196" s="32"/>
      <c r="BQ196" s="32"/>
      <c r="BR196" s="32"/>
      <c r="BS196" s="32"/>
      <c r="BT196" s="32"/>
      <c r="BU196" s="32"/>
      <c r="BV196" s="81" t="s">
        <v>1405</v>
      </c>
      <c r="BW196" s="77"/>
      <c r="BX196" s="77"/>
      <c r="BY196" s="113"/>
      <c r="BZ196" s="113"/>
      <c r="CA196" s="113"/>
      <c r="CB196" s="113"/>
      <c r="CC196" s="113"/>
      <c r="CD196" s="32"/>
      <c r="CE196" s="32"/>
      <c r="CF196" s="32"/>
      <c r="CG196" s="32"/>
      <c r="CH196" s="32"/>
      <c r="CI196" s="32"/>
      <c r="CJ196" s="32"/>
      <c r="CK196" s="32"/>
      <c r="CL196" s="32"/>
      <c r="CM196" s="32"/>
      <c r="CN196" s="32"/>
    </row>
    <row r="197" spans="1:92" ht="21" customHeight="1">
      <c r="A197" s="109">
        <v>195</v>
      </c>
      <c r="B197" s="23" t="s">
        <v>1366</v>
      </c>
      <c r="C197" s="111" t="s">
        <v>406</v>
      </c>
      <c r="D197" s="110" t="s">
        <v>158</v>
      </c>
      <c r="E197" s="111" t="s">
        <v>627</v>
      </c>
      <c r="F197" s="111" t="s">
        <v>176</v>
      </c>
      <c r="G197" s="26" t="s">
        <v>173</v>
      </c>
      <c r="H197" s="112" t="s">
        <v>654</v>
      </c>
      <c r="I197" s="13">
        <v>4255</v>
      </c>
      <c r="J197" s="14">
        <v>4095</v>
      </c>
      <c r="K197" s="126">
        <v>347.5</v>
      </c>
      <c r="L197" s="127">
        <v>82.63</v>
      </c>
      <c r="M197" s="127">
        <v>76.760000000000005</v>
      </c>
      <c r="N197" s="127">
        <v>76.650000000000006</v>
      </c>
      <c r="O197" s="17">
        <v>8.8699999999999992</v>
      </c>
      <c r="P197" s="42" t="s">
        <v>420</v>
      </c>
      <c r="Q197" s="37" t="s">
        <v>270</v>
      </c>
      <c r="R197" s="37">
        <v>30</v>
      </c>
      <c r="S197" s="37">
        <v>35</v>
      </c>
      <c r="T197" s="37">
        <v>45</v>
      </c>
      <c r="U197" s="37">
        <v>55</v>
      </c>
      <c r="V197" s="37">
        <v>85</v>
      </c>
      <c r="W197" s="109">
        <v>250</v>
      </c>
      <c r="X197" s="94"/>
      <c r="Y197" s="94"/>
      <c r="Z197" s="94"/>
      <c r="AA197" s="94"/>
      <c r="AB197" s="94"/>
      <c r="AC197" s="94"/>
      <c r="AD197" s="94"/>
      <c r="AE197" s="94"/>
      <c r="AF197" s="94"/>
      <c r="AG197" s="94"/>
      <c r="AH197" s="94"/>
      <c r="AI197" s="94"/>
      <c r="AJ197" s="94"/>
      <c r="AK197" s="32"/>
      <c r="AL197" s="113"/>
      <c r="AM197" s="95">
        <v>35000</v>
      </c>
      <c r="AN197" s="95">
        <v>6</v>
      </c>
      <c r="AO197" s="96">
        <v>70000</v>
      </c>
      <c r="AP197" s="96">
        <v>5</v>
      </c>
      <c r="AQ197" s="97">
        <v>210000</v>
      </c>
      <c r="AR197" s="134">
        <v>4</v>
      </c>
      <c r="AS197" s="135"/>
      <c r="AT197" s="135"/>
      <c r="AU197" s="113">
        <v>5600000</v>
      </c>
      <c r="AV197" s="113"/>
      <c r="AW197" s="113">
        <v>362</v>
      </c>
      <c r="AX197" s="113"/>
      <c r="AY197" s="113">
        <v>474</v>
      </c>
      <c r="AZ197" s="113">
        <v>1</v>
      </c>
      <c r="BA197" s="113" t="s">
        <v>640</v>
      </c>
      <c r="BB197" s="32"/>
      <c r="BC197" s="32"/>
      <c r="BD197" s="32"/>
      <c r="BE197" s="32"/>
      <c r="BF197" s="32"/>
      <c r="BG197" s="32"/>
      <c r="BH197" s="32"/>
      <c r="BI197" s="32">
        <v>1</v>
      </c>
      <c r="BJ197" s="32"/>
      <c r="BK197" s="32"/>
      <c r="BL197" s="32"/>
      <c r="BM197" s="32">
        <v>1</v>
      </c>
      <c r="BN197" s="32"/>
      <c r="BO197" s="32">
        <v>1</v>
      </c>
      <c r="BP197" s="32">
        <v>1</v>
      </c>
      <c r="BQ197" s="32"/>
      <c r="BR197" s="32"/>
      <c r="BS197" s="32"/>
      <c r="BT197" s="32"/>
      <c r="BU197" s="32"/>
      <c r="BV197" s="81" t="s">
        <v>754</v>
      </c>
      <c r="BW197" s="77" t="s">
        <v>686</v>
      </c>
      <c r="BX197" s="77"/>
      <c r="BY197" s="113">
        <v>1</v>
      </c>
      <c r="BZ197" s="113">
        <v>9</v>
      </c>
      <c r="CA197" s="113"/>
      <c r="CB197" s="113"/>
      <c r="CC197" s="113"/>
      <c r="CD197" s="32"/>
      <c r="CE197" s="32"/>
      <c r="CF197" s="32"/>
      <c r="CG197" s="32"/>
      <c r="CH197" s="32"/>
      <c r="CI197" s="32"/>
      <c r="CJ197" s="32"/>
      <c r="CK197" s="32"/>
      <c r="CL197" s="32"/>
      <c r="CM197" s="32"/>
      <c r="CN197" s="32"/>
    </row>
    <row r="198" spans="1:92" ht="21" customHeight="1">
      <c r="A198" s="109">
        <v>196</v>
      </c>
      <c r="B198" s="23" t="s">
        <v>1249</v>
      </c>
      <c r="C198" s="111" t="s">
        <v>795</v>
      </c>
      <c r="D198" s="110" t="s">
        <v>793</v>
      </c>
      <c r="E198" s="111" t="s">
        <v>794</v>
      </c>
      <c r="F198" s="111" t="s">
        <v>176</v>
      </c>
      <c r="G198" s="26" t="s">
        <v>173</v>
      </c>
      <c r="H198" s="112" t="s">
        <v>857</v>
      </c>
      <c r="I198" s="13">
        <v>4109</v>
      </c>
      <c r="J198" s="14">
        <v>4095</v>
      </c>
      <c r="K198" s="120">
        <v>400.5</v>
      </c>
      <c r="L198" s="121">
        <v>77.88</v>
      </c>
      <c r="M198" s="121">
        <v>53.38</v>
      </c>
      <c r="N198" s="121">
        <v>59.79</v>
      </c>
      <c r="O198" s="15"/>
      <c r="P198" s="42" t="s">
        <v>420</v>
      </c>
      <c r="Q198" s="37" t="s">
        <v>270</v>
      </c>
      <c r="R198" s="16">
        <v>38</v>
      </c>
      <c r="S198" s="16">
        <v>48</v>
      </c>
      <c r="T198" s="16">
        <v>57</v>
      </c>
      <c r="U198" s="16">
        <v>66</v>
      </c>
      <c r="V198" s="16">
        <v>72</v>
      </c>
      <c r="W198" s="109">
        <v>281</v>
      </c>
      <c r="X198" s="96">
        <v>8400</v>
      </c>
      <c r="Y198" s="96">
        <v>13700</v>
      </c>
      <c r="Z198" s="96">
        <v>22000</v>
      </c>
      <c r="AA198" s="96">
        <v>32900</v>
      </c>
      <c r="AB198" s="96">
        <v>47600</v>
      </c>
      <c r="AC198" s="96">
        <v>70500</v>
      </c>
      <c r="AD198" s="96">
        <v>104000</v>
      </c>
      <c r="AE198" s="96">
        <v>154000</v>
      </c>
      <c r="AF198" s="96">
        <v>228000</v>
      </c>
      <c r="AG198" s="96">
        <v>329000</v>
      </c>
      <c r="AH198" s="96">
        <v>421000</v>
      </c>
      <c r="AI198" s="96">
        <v>485000</v>
      </c>
      <c r="AJ198" s="100">
        <v>522000</v>
      </c>
      <c r="AK198" s="100"/>
      <c r="AL198" s="113">
        <v>9752400</v>
      </c>
      <c r="AM198" s="95">
        <v>35000</v>
      </c>
      <c r="AN198" s="95">
        <v>6</v>
      </c>
      <c r="AO198" s="96">
        <v>70000</v>
      </c>
      <c r="AP198" s="96">
        <v>5</v>
      </c>
      <c r="AQ198" s="97">
        <v>210000</v>
      </c>
      <c r="AR198" s="134">
        <v>4</v>
      </c>
      <c r="AS198" s="135"/>
      <c r="AT198" s="135"/>
      <c r="AU198" s="113">
        <v>5600000</v>
      </c>
      <c r="AV198" s="113">
        <v>15352400</v>
      </c>
      <c r="AW198" s="113">
        <v>416</v>
      </c>
      <c r="AX198" s="113"/>
      <c r="AY198" s="113">
        <v>555</v>
      </c>
      <c r="AZ198" s="113"/>
      <c r="BA198" s="113" t="s">
        <v>640</v>
      </c>
      <c r="BB198" s="32"/>
      <c r="BC198" s="32"/>
      <c r="BD198" s="32"/>
      <c r="BE198" s="32">
        <v>1</v>
      </c>
      <c r="BF198" s="32"/>
      <c r="BG198" s="32"/>
      <c r="BH198" s="32"/>
      <c r="BI198" s="32"/>
      <c r="BJ198" s="32"/>
      <c r="BK198" s="32"/>
      <c r="BL198" s="32"/>
      <c r="BM198" s="32">
        <v>1</v>
      </c>
      <c r="BN198" s="32"/>
      <c r="BO198" s="32">
        <v>1</v>
      </c>
      <c r="BP198" s="32">
        <v>1</v>
      </c>
      <c r="BQ198" s="32" t="s">
        <v>800</v>
      </c>
      <c r="BR198" s="32"/>
      <c r="BS198" s="32"/>
      <c r="BT198" s="32"/>
      <c r="BU198" s="32">
        <v>1</v>
      </c>
      <c r="BV198" s="113" t="s">
        <v>864</v>
      </c>
      <c r="BW198" s="113"/>
      <c r="BX198" s="113"/>
      <c r="BY198" s="113"/>
      <c r="BZ198" s="113"/>
      <c r="CA198" s="113"/>
      <c r="CB198" s="113"/>
      <c r="CC198" s="113"/>
      <c r="CD198" s="32"/>
      <c r="CE198" s="32"/>
      <c r="CF198" s="32"/>
      <c r="CG198" s="32"/>
      <c r="CH198" s="32"/>
      <c r="CI198" s="32"/>
      <c r="CJ198" s="32"/>
      <c r="CK198" s="32"/>
      <c r="CL198" s="32"/>
      <c r="CM198" s="32"/>
      <c r="CN198" s="32"/>
    </row>
    <row r="199" spans="1:92" ht="21" customHeight="1">
      <c r="A199" s="109">
        <v>197</v>
      </c>
      <c r="B199" s="23" t="s">
        <v>1590</v>
      </c>
      <c r="C199" s="111" t="s">
        <v>537</v>
      </c>
      <c r="D199" s="110" t="s">
        <v>536</v>
      </c>
      <c r="E199" s="111" t="s">
        <v>628</v>
      </c>
      <c r="F199" s="111" t="s">
        <v>176</v>
      </c>
      <c r="G199" s="26" t="s">
        <v>173</v>
      </c>
      <c r="H199" s="112" t="s">
        <v>670</v>
      </c>
      <c r="I199" s="13">
        <v>4222</v>
      </c>
      <c r="J199" s="14">
        <v>4099</v>
      </c>
      <c r="K199" s="126">
        <v>383.5</v>
      </c>
      <c r="L199" s="127">
        <v>76.540000000000006</v>
      </c>
      <c r="M199" s="127">
        <v>64.63</v>
      </c>
      <c r="N199" s="127">
        <v>67.23</v>
      </c>
      <c r="O199" s="39"/>
      <c r="P199" s="42" t="s">
        <v>420</v>
      </c>
      <c r="Q199" s="75">
        <v>40</v>
      </c>
      <c r="R199" s="75">
        <v>30</v>
      </c>
      <c r="S199" s="75">
        <v>35</v>
      </c>
      <c r="T199" s="75">
        <v>40</v>
      </c>
      <c r="U199" s="75">
        <v>50</v>
      </c>
      <c r="V199" s="75">
        <v>55</v>
      </c>
      <c r="W199" s="109">
        <v>250</v>
      </c>
      <c r="X199" s="94">
        <v>8400</v>
      </c>
      <c r="Y199" s="94">
        <v>13700</v>
      </c>
      <c r="Z199" s="94">
        <v>22000</v>
      </c>
      <c r="AA199" s="94">
        <v>32900</v>
      </c>
      <c r="AB199" s="94">
        <v>47600</v>
      </c>
      <c r="AC199" s="94">
        <v>70500</v>
      </c>
      <c r="AD199" s="94">
        <v>104000</v>
      </c>
      <c r="AE199" s="94">
        <v>154000</v>
      </c>
      <c r="AF199" s="94">
        <v>228000</v>
      </c>
      <c r="AG199" s="94">
        <v>329000</v>
      </c>
      <c r="AH199" s="94">
        <v>421000</v>
      </c>
      <c r="AI199" s="94">
        <v>485000</v>
      </c>
      <c r="AJ199" s="17">
        <v>522000</v>
      </c>
      <c r="AK199" s="17"/>
      <c r="AL199" s="113">
        <v>9752400</v>
      </c>
      <c r="AM199" s="95">
        <v>35000</v>
      </c>
      <c r="AN199" s="95">
        <v>6</v>
      </c>
      <c r="AO199" s="96">
        <v>70000</v>
      </c>
      <c r="AP199" s="96">
        <v>5</v>
      </c>
      <c r="AQ199" s="97">
        <v>210000</v>
      </c>
      <c r="AR199" s="134">
        <v>4</v>
      </c>
      <c r="AS199" s="135"/>
      <c r="AT199" s="135"/>
      <c r="AU199" s="32">
        <v>5600000</v>
      </c>
      <c r="AV199" s="32">
        <v>15352400</v>
      </c>
      <c r="AW199" s="113">
        <v>399</v>
      </c>
      <c r="AX199" s="113"/>
      <c r="AY199" s="113">
        <v>536</v>
      </c>
      <c r="AZ199" s="113"/>
      <c r="BA199" s="113" t="s">
        <v>641</v>
      </c>
      <c r="BB199" s="32"/>
      <c r="BC199" s="32"/>
      <c r="BD199" s="32"/>
      <c r="BE199" s="32"/>
      <c r="BF199" s="32"/>
      <c r="BG199" s="32"/>
      <c r="BH199" s="32"/>
      <c r="BI199" s="32"/>
      <c r="BJ199" s="32"/>
      <c r="BK199" s="32"/>
      <c r="BL199" s="32"/>
      <c r="BM199" s="32"/>
      <c r="BN199" s="32">
        <v>1</v>
      </c>
      <c r="BO199" s="32"/>
      <c r="BP199" s="32"/>
      <c r="BQ199" s="32" t="s">
        <v>800</v>
      </c>
      <c r="BR199" s="32"/>
      <c r="BS199" s="32"/>
      <c r="BT199" s="32"/>
      <c r="BU199" s="32"/>
      <c r="BV199" s="81" t="s">
        <v>757</v>
      </c>
      <c r="BW199" s="113"/>
      <c r="BX199" s="113"/>
      <c r="BY199" s="113">
        <v>1</v>
      </c>
      <c r="BZ199" s="113">
        <v>9</v>
      </c>
      <c r="CA199" s="113"/>
      <c r="CB199" s="113"/>
      <c r="CC199" s="113"/>
      <c r="CD199" s="32"/>
      <c r="CE199" s="32"/>
      <c r="CF199" s="32"/>
      <c r="CG199" s="32"/>
      <c r="CH199" s="32"/>
      <c r="CI199" s="32"/>
      <c r="CJ199" s="32"/>
      <c r="CK199" s="32"/>
      <c r="CL199" s="32"/>
      <c r="CM199" s="32"/>
      <c r="CN199" s="32"/>
    </row>
    <row r="200" spans="1:92" ht="18">
      <c r="A200" s="109">
        <v>198</v>
      </c>
      <c r="B200" s="23" t="s">
        <v>1505</v>
      </c>
      <c r="C200" s="111" t="s">
        <v>1542</v>
      </c>
      <c r="D200" s="110" t="s">
        <v>620</v>
      </c>
      <c r="E200" s="111" t="s">
        <v>1506</v>
      </c>
      <c r="F200" s="111" t="s">
        <v>176</v>
      </c>
      <c r="G200" s="26" t="s">
        <v>173</v>
      </c>
      <c r="H200" s="112" t="s">
        <v>1491</v>
      </c>
      <c r="I200" s="13"/>
      <c r="J200" s="38">
        <v>4105</v>
      </c>
      <c r="K200" s="130">
        <v>369.7</v>
      </c>
      <c r="L200" s="131">
        <v>79.84</v>
      </c>
      <c r="M200" s="131">
        <v>74.760000000000005</v>
      </c>
      <c r="N200" s="131">
        <v>73.22</v>
      </c>
      <c r="O200" s="39"/>
      <c r="P200" s="42" t="s">
        <v>420</v>
      </c>
      <c r="Q200" s="16" t="s">
        <v>270</v>
      </c>
      <c r="R200" s="75">
        <v>30</v>
      </c>
      <c r="S200" s="75">
        <v>35</v>
      </c>
      <c r="T200" s="75">
        <v>50</v>
      </c>
      <c r="U200" s="75">
        <v>65</v>
      </c>
      <c r="V200" s="75">
        <v>80</v>
      </c>
      <c r="W200" s="109">
        <v>260</v>
      </c>
      <c r="X200" s="100"/>
      <c r="Y200" s="100"/>
      <c r="Z200" s="100"/>
      <c r="AA200" s="100"/>
      <c r="AB200" s="100"/>
      <c r="AC200" s="100"/>
      <c r="AD200" s="100"/>
      <c r="AE200" s="100"/>
      <c r="AF200" s="100"/>
      <c r="AG200" s="100"/>
      <c r="AH200" s="100"/>
      <c r="AI200" s="100"/>
      <c r="AJ200" s="32"/>
      <c r="AK200" s="32"/>
      <c r="AL200" s="113"/>
      <c r="AM200" s="95"/>
      <c r="AN200" s="95"/>
      <c r="AO200" s="96"/>
      <c r="AP200" s="96"/>
      <c r="AQ200" s="97"/>
      <c r="AR200" s="134"/>
      <c r="AS200" s="135"/>
      <c r="AT200" s="135"/>
      <c r="AU200" s="32"/>
      <c r="AV200" s="32"/>
      <c r="AW200" s="113"/>
      <c r="AX200" s="113"/>
      <c r="AY200" s="113"/>
      <c r="AZ200" s="113"/>
      <c r="BA200" s="113" t="s">
        <v>1507</v>
      </c>
      <c r="BB200" s="32"/>
      <c r="BC200" s="32"/>
      <c r="BD200" s="32"/>
      <c r="BE200" s="32"/>
      <c r="BF200" s="32"/>
      <c r="BG200" s="32"/>
      <c r="BH200" s="32"/>
      <c r="BI200" s="32"/>
      <c r="BJ200" s="32"/>
      <c r="BK200" s="32"/>
      <c r="BL200" s="32"/>
      <c r="BM200" s="32"/>
      <c r="BN200" s="32"/>
      <c r="BO200" s="32"/>
      <c r="BP200" s="32"/>
      <c r="BQ200" s="84"/>
      <c r="BR200" s="32"/>
      <c r="BS200" s="32"/>
      <c r="BT200" s="32"/>
      <c r="BU200" s="32"/>
      <c r="BV200" s="113" t="s">
        <v>930</v>
      </c>
      <c r="BW200" s="113"/>
      <c r="BX200" s="113"/>
      <c r="BY200" s="113"/>
      <c r="BZ200" s="113"/>
      <c r="CA200" s="113"/>
      <c r="CB200" s="113"/>
      <c r="CC200" s="113"/>
      <c r="CD200" s="32"/>
      <c r="CE200" s="32"/>
      <c r="CF200" s="32"/>
      <c r="CG200" s="32"/>
      <c r="CH200" s="32"/>
      <c r="CI200" s="32"/>
      <c r="CJ200" s="32"/>
      <c r="CK200" s="32"/>
      <c r="CL200" s="32"/>
      <c r="CM200" s="32"/>
      <c r="CN200" s="32"/>
    </row>
    <row r="201" spans="1:92" ht="18">
      <c r="A201" s="109">
        <v>199</v>
      </c>
      <c r="B201" s="23" t="s">
        <v>1250</v>
      </c>
      <c r="C201" s="111" t="s">
        <v>1095</v>
      </c>
      <c r="D201" s="110" t="s">
        <v>1129</v>
      </c>
      <c r="E201" s="111" t="s">
        <v>1096</v>
      </c>
      <c r="F201" s="111" t="s">
        <v>176</v>
      </c>
      <c r="G201" s="26" t="s">
        <v>173</v>
      </c>
      <c r="H201" s="112" t="s">
        <v>1090</v>
      </c>
      <c r="I201" s="13"/>
      <c r="J201" s="38">
        <v>4109</v>
      </c>
      <c r="K201" s="130">
        <v>361.9</v>
      </c>
      <c r="L201" s="131">
        <v>80.650000000000006</v>
      </c>
      <c r="M201" s="131">
        <v>75.77</v>
      </c>
      <c r="N201" s="131">
        <v>78.17</v>
      </c>
      <c r="O201" s="39"/>
      <c r="P201" s="42" t="s">
        <v>420</v>
      </c>
      <c r="Q201" s="37">
        <v>70</v>
      </c>
      <c r="R201" s="37">
        <v>23</v>
      </c>
      <c r="S201" s="37">
        <v>27</v>
      </c>
      <c r="T201" s="37">
        <v>36</v>
      </c>
      <c r="U201" s="37">
        <v>52</v>
      </c>
      <c r="V201" s="37">
        <v>59</v>
      </c>
      <c r="W201" s="109">
        <v>267</v>
      </c>
      <c r="X201" s="100">
        <v>20000</v>
      </c>
      <c r="Y201" s="100">
        <v>35000</v>
      </c>
      <c r="Z201" s="100">
        <v>50000</v>
      </c>
      <c r="AA201" s="100">
        <v>65000</v>
      </c>
      <c r="AB201" s="100">
        <v>110000</v>
      </c>
      <c r="AC201" s="100">
        <v>180000</v>
      </c>
      <c r="AD201" s="100">
        <v>275000</v>
      </c>
      <c r="AE201" s="100">
        <v>390000</v>
      </c>
      <c r="AF201" s="100">
        <v>500000</v>
      </c>
      <c r="AG201" s="100">
        <v>610000</v>
      </c>
      <c r="AH201" s="100">
        <v>700000</v>
      </c>
      <c r="AI201" s="100">
        <v>765000</v>
      </c>
      <c r="AJ201" s="94">
        <v>800000</v>
      </c>
      <c r="AK201" s="32"/>
      <c r="AL201" s="113">
        <v>18000000</v>
      </c>
      <c r="AM201" s="95">
        <v>56000</v>
      </c>
      <c r="AN201" s="95">
        <v>6</v>
      </c>
      <c r="AO201" s="96">
        <v>112000</v>
      </c>
      <c r="AP201" s="96">
        <v>5</v>
      </c>
      <c r="AQ201" s="97">
        <v>336000</v>
      </c>
      <c r="AR201" s="134">
        <v>4</v>
      </c>
      <c r="AS201" s="135"/>
      <c r="AT201" s="135"/>
      <c r="AU201" s="32">
        <v>8960000</v>
      </c>
      <c r="AV201" s="32">
        <v>26960000</v>
      </c>
      <c r="AW201" s="113"/>
      <c r="AX201" s="113"/>
      <c r="AY201" s="113"/>
      <c r="AZ201" s="113"/>
      <c r="BA201" s="113" t="s">
        <v>641</v>
      </c>
      <c r="BB201" s="32"/>
      <c r="BC201" s="32"/>
      <c r="BD201" s="32"/>
      <c r="BE201" s="32"/>
      <c r="BF201" s="32"/>
      <c r="BG201" s="32"/>
      <c r="BH201" s="32"/>
      <c r="BI201" s="32"/>
      <c r="BJ201" s="32"/>
      <c r="BK201" s="32"/>
      <c r="BL201" s="32"/>
      <c r="BM201" s="32"/>
      <c r="BN201" s="32">
        <v>1</v>
      </c>
      <c r="BO201" s="32"/>
      <c r="BP201" s="32"/>
      <c r="BQ201" s="84"/>
      <c r="BR201" s="32"/>
      <c r="BS201" s="32"/>
      <c r="BT201" s="32"/>
      <c r="BU201" s="32"/>
      <c r="BV201" s="113" t="s">
        <v>748</v>
      </c>
      <c r="BW201" s="113"/>
      <c r="BX201" s="113"/>
      <c r="BY201" s="113"/>
      <c r="BZ201" s="113"/>
      <c r="CA201" s="113"/>
      <c r="CB201" s="113"/>
      <c r="CC201" s="113"/>
      <c r="CD201" s="32"/>
      <c r="CE201" s="32"/>
      <c r="CF201" s="32"/>
      <c r="CG201" s="32"/>
      <c r="CH201" s="32"/>
      <c r="CI201" s="32"/>
      <c r="CJ201" s="32"/>
      <c r="CK201" s="32"/>
      <c r="CL201" s="32"/>
      <c r="CM201" s="32"/>
      <c r="CN201" s="32"/>
    </row>
    <row r="202" spans="1:92" ht="18">
      <c r="A202" s="109">
        <v>200</v>
      </c>
      <c r="B202" s="23" t="s">
        <v>1591</v>
      </c>
      <c r="C202" s="111" t="s">
        <v>1592</v>
      </c>
      <c r="D202" s="110" t="s">
        <v>1138</v>
      </c>
      <c r="E202" s="111" t="s">
        <v>1593</v>
      </c>
      <c r="F202" s="111" t="s">
        <v>176</v>
      </c>
      <c r="G202" s="26" t="s">
        <v>173</v>
      </c>
      <c r="H202" s="112" t="s">
        <v>1561</v>
      </c>
      <c r="I202" s="13"/>
      <c r="J202" s="14">
        <v>4112</v>
      </c>
      <c r="K202" s="126">
        <v>357.4</v>
      </c>
      <c r="L202" s="127">
        <v>81.66</v>
      </c>
      <c r="M202" s="127">
        <v>80.58</v>
      </c>
      <c r="N202" s="127">
        <v>70.94</v>
      </c>
      <c r="O202" s="39"/>
      <c r="P202" s="42" t="s">
        <v>420</v>
      </c>
      <c r="Q202" s="16" t="s">
        <v>270</v>
      </c>
      <c r="R202" s="37">
        <v>40</v>
      </c>
      <c r="S202" s="37">
        <v>45</v>
      </c>
      <c r="T202" s="37">
        <v>60</v>
      </c>
      <c r="U202" s="37">
        <v>65</v>
      </c>
      <c r="V202" s="37">
        <v>70</v>
      </c>
      <c r="W202" s="109">
        <v>280</v>
      </c>
      <c r="X202" s="100"/>
      <c r="Y202" s="100"/>
      <c r="Z202" s="100"/>
      <c r="AA202" s="100"/>
      <c r="AB202" s="100"/>
      <c r="AC202" s="100"/>
      <c r="AD202" s="100"/>
      <c r="AE202" s="100"/>
      <c r="AF202" s="100"/>
      <c r="AG202" s="100"/>
      <c r="AH202" s="100"/>
      <c r="AI202" s="100"/>
      <c r="AJ202" s="94"/>
      <c r="AK202" s="32"/>
      <c r="AL202" s="113"/>
      <c r="AM202" s="95"/>
      <c r="AN202" s="95"/>
      <c r="AO202" s="96"/>
      <c r="AP202" s="96"/>
      <c r="AQ202" s="97"/>
      <c r="AR202" s="134"/>
      <c r="AS202" s="135"/>
      <c r="AT202" s="135"/>
      <c r="AU202" s="32"/>
      <c r="AV202" s="32"/>
      <c r="AW202" s="113"/>
      <c r="AX202" s="113"/>
      <c r="AY202" s="113"/>
      <c r="AZ202" s="113"/>
      <c r="BA202" s="82" t="s">
        <v>1099</v>
      </c>
      <c r="BB202" s="32"/>
      <c r="BC202" s="32"/>
      <c r="BD202" s="32"/>
      <c r="BE202" s="32"/>
      <c r="BF202" s="32"/>
      <c r="BG202" s="32"/>
      <c r="BH202" s="32"/>
      <c r="BI202" s="32"/>
      <c r="BJ202" s="32"/>
      <c r="BK202" s="32"/>
      <c r="BL202" s="32"/>
      <c r="BM202" s="32"/>
      <c r="BN202" s="32"/>
      <c r="BO202" s="32"/>
      <c r="BP202" s="32"/>
      <c r="BQ202" s="84"/>
      <c r="BR202" s="32"/>
      <c r="BS202" s="32"/>
      <c r="BT202" s="32"/>
      <c r="BU202" s="32"/>
      <c r="BV202" s="113" t="s">
        <v>1594</v>
      </c>
      <c r="BW202" s="113"/>
      <c r="BX202" s="113"/>
      <c r="BY202" s="113"/>
      <c r="BZ202" s="113"/>
      <c r="CA202" s="113"/>
      <c r="CB202" s="113"/>
      <c r="CC202" s="113"/>
      <c r="CD202" s="32"/>
      <c r="CE202" s="32"/>
      <c r="CF202" s="32"/>
      <c r="CG202" s="32"/>
      <c r="CH202" s="32"/>
      <c r="CI202" s="32"/>
      <c r="CJ202" s="32"/>
      <c r="CK202" s="32"/>
      <c r="CL202" s="32"/>
      <c r="CM202" s="32"/>
      <c r="CN202" s="32"/>
    </row>
    <row r="203" spans="1:92" ht="18">
      <c r="A203" s="109">
        <v>201</v>
      </c>
      <c r="B203" s="23" t="s">
        <v>1595</v>
      </c>
      <c r="C203" s="111" t="s">
        <v>1645</v>
      </c>
      <c r="D203" s="110" t="s">
        <v>1300</v>
      </c>
      <c r="E203" s="111" t="s">
        <v>1596</v>
      </c>
      <c r="F203" s="111" t="s">
        <v>176</v>
      </c>
      <c r="G203" s="26" t="s">
        <v>173</v>
      </c>
      <c r="H203" s="112" t="s">
        <v>1567</v>
      </c>
      <c r="I203" s="13"/>
      <c r="J203" s="38">
        <v>4125</v>
      </c>
      <c r="K203" s="130">
        <v>365.4</v>
      </c>
      <c r="L203" s="131">
        <v>89.37</v>
      </c>
      <c r="M203" s="131">
        <v>64.44</v>
      </c>
      <c r="N203" s="131">
        <v>45.9</v>
      </c>
      <c r="O203" s="39"/>
      <c r="P203" s="42" t="s">
        <v>420</v>
      </c>
      <c r="Q203" s="75">
        <v>40</v>
      </c>
      <c r="R203" s="75">
        <v>45</v>
      </c>
      <c r="S203" s="75">
        <v>45</v>
      </c>
      <c r="T203" s="75">
        <v>48</v>
      </c>
      <c r="U203" s="75">
        <v>50</v>
      </c>
      <c r="V203" s="75">
        <v>52</v>
      </c>
      <c r="W203" s="109">
        <v>280</v>
      </c>
      <c r="X203" s="100"/>
      <c r="Y203" s="100"/>
      <c r="Z203" s="100"/>
      <c r="AA203" s="100"/>
      <c r="AB203" s="100"/>
      <c r="AC203" s="100"/>
      <c r="AD203" s="100"/>
      <c r="AE203" s="100"/>
      <c r="AF203" s="94"/>
      <c r="AG203" s="94"/>
      <c r="AH203" s="94"/>
      <c r="AI203" s="94"/>
      <c r="AJ203" s="94"/>
      <c r="AK203" s="32"/>
      <c r="AL203" s="113"/>
      <c r="AM203" s="95"/>
      <c r="AN203" s="95">
        <v>7</v>
      </c>
      <c r="AO203" s="96"/>
      <c r="AP203" s="96">
        <v>5</v>
      </c>
      <c r="AQ203" s="97"/>
      <c r="AR203" s="134">
        <v>4</v>
      </c>
      <c r="AS203" s="135"/>
      <c r="AT203" s="135"/>
      <c r="AU203" s="113"/>
      <c r="AV203" s="113"/>
      <c r="AW203" s="113"/>
      <c r="AX203" s="113"/>
      <c r="AY203" s="113"/>
      <c r="AZ203" s="113"/>
      <c r="BA203" s="82" t="s">
        <v>605</v>
      </c>
      <c r="BB203" s="32"/>
      <c r="BC203" s="32"/>
      <c r="BD203" s="32"/>
      <c r="BE203" s="32"/>
      <c r="BF203" s="32"/>
      <c r="BG203" s="32"/>
      <c r="BH203" s="32"/>
      <c r="BI203" s="32"/>
      <c r="BJ203" s="32"/>
      <c r="BK203" s="32"/>
      <c r="BL203" s="32"/>
      <c r="BM203" s="32"/>
      <c r="BN203" s="32"/>
      <c r="BO203" s="32"/>
      <c r="BP203" s="32"/>
      <c r="BQ203" s="32"/>
      <c r="BR203" s="32"/>
      <c r="BS203" s="32"/>
      <c r="BT203" s="32"/>
      <c r="BU203" s="32"/>
      <c r="BV203" s="113" t="s">
        <v>1597</v>
      </c>
      <c r="BW203" s="113"/>
      <c r="BX203" s="113"/>
      <c r="BY203" s="113"/>
      <c r="BZ203" s="113"/>
      <c r="CA203" s="113"/>
      <c r="CB203" s="113"/>
      <c r="CC203" s="113"/>
      <c r="CD203" s="32"/>
      <c r="CE203" s="32"/>
      <c r="CF203" s="32"/>
      <c r="CG203" s="32"/>
      <c r="CH203" s="32"/>
      <c r="CI203" s="32"/>
      <c r="CJ203" s="32"/>
      <c r="CK203" s="32"/>
      <c r="CL203" s="32"/>
      <c r="CM203" s="32"/>
      <c r="CN203" s="32"/>
    </row>
    <row r="204" spans="1:92" ht="18">
      <c r="A204" s="109">
        <v>202</v>
      </c>
      <c r="B204" s="23" t="s">
        <v>1251</v>
      </c>
      <c r="C204" s="111" t="s">
        <v>814</v>
      </c>
      <c r="D204" s="110" t="s">
        <v>74</v>
      </c>
      <c r="E204" s="111" t="s">
        <v>813</v>
      </c>
      <c r="F204" s="111" t="s">
        <v>176</v>
      </c>
      <c r="G204" s="24" t="s">
        <v>164</v>
      </c>
      <c r="H204" s="112" t="s">
        <v>878</v>
      </c>
      <c r="I204" s="13">
        <v>4153</v>
      </c>
      <c r="J204" s="38">
        <v>4127</v>
      </c>
      <c r="K204" s="130">
        <v>349.2</v>
      </c>
      <c r="L204" s="131">
        <v>86.24</v>
      </c>
      <c r="M204" s="131">
        <v>73.5</v>
      </c>
      <c r="N204" s="131">
        <v>64.28</v>
      </c>
      <c r="O204" s="39"/>
      <c r="P204" s="42" t="s">
        <v>420</v>
      </c>
      <c r="Q204" s="37">
        <v>40</v>
      </c>
      <c r="R204" s="37">
        <v>33</v>
      </c>
      <c r="S204" s="37">
        <v>38</v>
      </c>
      <c r="T204" s="37">
        <v>43</v>
      </c>
      <c r="U204" s="37">
        <v>48</v>
      </c>
      <c r="V204" s="37"/>
      <c r="W204" s="109">
        <v>202</v>
      </c>
      <c r="X204" s="103">
        <v>10700</v>
      </c>
      <c r="Y204" s="103">
        <v>17500</v>
      </c>
      <c r="Z204" s="103">
        <v>27900</v>
      </c>
      <c r="AA204" s="103">
        <v>41900</v>
      </c>
      <c r="AB204" s="103">
        <v>60500</v>
      </c>
      <c r="AC204" s="103">
        <v>89500</v>
      </c>
      <c r="AD204" s="103">
        <v>132500</v>
      </c>
      <c r="AE204" s="100">
        <v>196000</v>
      </c>
      <c r="AF204" s="100">
        <v>290500</v>
      </c>
      <c r="AG204" s="100">
        <v>419000</v>
      </c>
      <c r="AH204" s="100">
        <v>535000</v>
      </c>
      <c r="AI204" s="100">
        <v>617000</v>
      </c>
      <c r="AJ204" s="94"/>
      <c r="AK204" s="32"/>
      <c r="AL204" s="113">
        <v>9752000</v>
      </c>
      <c r="AM204" s="95">
        <v>35000</v>
      </c>
      <c r="AN204" s="95">
        <v>6</v>
      </c>
      <c r="AO204" s="96">
        <v>70000</v>
      </c>
      <c r="AP204" s="96">
        <v>5</v>
      </c>
      <c r="AQ204" s="97">
        <v>210000</v>
      </c>
      <c r="AR204" s="134">
        <v>3</v>
      </c>
      <c r="AS204" s="135"/>
      <c r="AT204" s="135"/>
      <c r="AU204" s="32">
        <v>4760000</v>
      </c>
      <c r="AV204" s="32">
        <v>14512000</v>
      </c>
      <c r="AW204" s="113">
        <v>363</v>
      </c>
      <c r="AX204" s="113"/>
      <c r="AY204" s="113">
        <v>476</v>
      </c>
      <c r="AZ204" s="113"/>
      <c r="BA204" s="82" t="s">
        <v>641</v>
      </c>
      <c r="BB204" s="32"/>
      <c r="BC204" s="32"/>
      <c r="BD204" s="32"/>
      <c r="BE204" s="32"/>
      <c r="BF204" s="32"/>
      <c r="BG204" s="32"/>
      <c r="BH204" s="32"/>
      <c r="BI204" s="32"/>
      <c r="BJ204" s="32"/>
      <c r="BK204" s="32"/>
      <c r="BL204" s="32"/>
      <c r="BM204" s="32"/>
      <c r="BN204" s="32">
        <v>1</v>
      </c>
      <c r="BO204" s="32"/>
      <c r="BP204" s="32"/>
      <c r="BQ204" s="84" t="s">
        <v>800</v>
      </c>
      <c r="BR204" s="32"/>
      <c r="BS204" s="32"/>
      <c r="BT204" s="32"/>
      <c r="BU204" s="32"/>
      <c r="BV204" s="113" t="s">
        <v>894</v>
      </c>
      <c r="BW204" s="113"/>
      <c r="BX204" s="113"/>
      <c r="BY204" s="113">
        <v>1</v>
      </c>
      <c r="BZ204" s="113">
        <v>7</v>
      </c>
      <c r="CA204" s="113"/>
      <c r="CB204" s="113"/>
      <c r="CC204" s="113"/>
      <c r="CD204" s="32"/>
      <c r="CE204" s="32"/>
      <c r="CF204" s="32"/>
      <c r="CG204" s="32"/>
      <c r="CH204" s="32"/>
      <c r="CI204" s="32"/>
      <c r="CJ204" s="32"/>
      <c r="CK204" s="32"/>
      <c r="CL204" s="32"/>
      <c r="CM204" s="32"/>
      <c r="CN204" s="32"/>
    </row>
    <row r="205" spans="1:92" ht="18">
      <c r="A205" s="109">
        <v>203</v>
      </c>
      <c r="B205" s="23" t="s">
        <v>1252</v>
      </c>
      <c r="C205" s="111" t="s">
        <v>816</v>
      </c>
      <c r="D205" s="110" t="s">
        <v>620</v>
      </c>
      <c r="E205" s="111" t="s">
        <v>815</v>
      </c>
      <c r="F205" s="111" t="s">
        <v>176</v>
      </c>
      <c r="G205" s="26" t="s">
        <v>173</v>
      </c>
      <c r="H205" s="112" t="s">
        <v>878</v>
      </c>
      <c r="I205" s="13">
        <v>4158</v>
      </c>
      <c r="J205" s="38">
        <v>4164</v>
      </c>
      <c r="K205" s="130">
        <v>368.3</v>
      </c>
      <c r="L205" s="131">
        <v>84.54</v>
      </c>
      <c r="M205" s="131">
        <v>57.29</v>
      </c>
      <c r="N205" s="131">
        <v>67.540000000000006</v>
      </c>
      <c r="O205" s="39"/>
      <c r="P205" s="42" t="s">
        <v>420</v>
      </c>
      <c r="Q205" s="37" t="s">
        <v>270</v>
      </c>
      <c r="R205" s="75">
        <v>30</v>
      </c>
      <c r="S205" s="75">
        <v>35</v>
      </c>
      <c r="T205" s="75">
        <v>45</v>
      </c>
      <c r="U205" s="75">
        <v>55</v>
      </c>
      <c r="V205" s="75">
        <v>85</v>
      </c>
      <c r="W205" s="109">
        <v>250</v>
      </c>
      <c r="X205" s="94">
        <v>8400</v>
      </c>
      <c r="Y205" s="94">
        <v>13700</v>
      </c>
      <c r="Z205" s="94">
        <v>22000</v>
      </c>
      <c r="AA205" s="94">
        <v>32900</v>
      </c>
      <c r="AB205" s="94">
        <v>47600</v>
      </c>
      <c r="AC205" s="94">
        <v>70500</v>
      </c>
      <c r="AD205" s="94">
        <v>104000</v>
      </c>
      <c r="AE205" s="94">
        <v>154000</v>
      </c>
      <c r="AF205" s="94">
        <v>228000</v>
      </c>
      <c r="AG205" s="94">
        <v>329000</v>
      </c>
      <c r="AH205" s="94">
        <v>421000</v>
      </c>
      <c r="AI205" s="94">
        <v>485000</v>
      </c>
      <c r="AJ205" s="17">
        <v>522000</v>
      </c>
      <c r="AK205" s="17"/>
      <c r="AL205" s="113">
        <v>9752400</v>
      </c>
      <c r="AM205" s="95">
        <v>35000</v>
      </c>
      <c r="AN205" s="95">
        <v>6</v>
      </c>
      <c r="AO205" s="96">
        <v>70000</v>
      </c>
      <c r="AP205" s="96">
        <v>5</v>
      </c>
      <c r="AQ205" s="97">
        <v>210000</v>
      </c>
      <c r="AR205" s="134">
        <v>4</v>
      </c>
      <c r="AS205" s="135"/>
      <c r="AT205" s="135"/>
      <c r="AU205" s="113">
        <v>5600000</v>
      </c>
      <c r="AV205" s="113">
        <v>15352400</v>
      </c>
      <c r="AW205" s="113">
        <v>383</v>
      </c>
      <c r="AX205" s="113"/>
      <c r="AY205" s="113">
        <v>509</v>
      </c>
      <c r="AZ205" s="113"/>
      <c r="BA205" s="82" t="s">
        <v>640</v>
      </c>
      <c r="BB205" s="32"/>
      <c r="BC205" s="32"/>
      <c r="BD205" s="32"/>
      <c r="BE205" s="32"/>
      <c r="BF205" s="32"/>
      <c r="BG205" s="32"/>
      <c r="BH205" s="32"/>
      <c r="BI205" s="32"/>
      <c r="BJ205" s="32"/>
      <c r="BK205" s="32"/>
      <c r="BL205" s="32"/>
      <c r="BM205" s="32">
        <v>1</v>
      </c>
      <c r="BN205" s="32"/>
      <c r="BO205" s="32">
        <v>1</v>
      </c>
      <c r="BP205" s="32">
        <v>1</v>
      </c>
      <c r="BQ205" s="32"/>
      <c r="BR205" s="32"/>
      <c r="BS205" s="32"/>
      <c r="BT205" s="32"/>
      <c r="BU205" s="32"/>
      <c r="BV205" s="113" t="s">
        <v>1253</v>
      </c>
      <c r="BW205" s="113"/>
      <c r="BX205" s="113"/>
      <c r="BY205" s="113">
        <v>1</v>
      </c>
      <c r="BZ205" s="113">
        <v>9</v>
      </c>
      <c r="CA205" s="113"/>
      <c r="CB205" s="113"/>
      <c r="CC205" s="113"/>
      <c r="CD205" s="32"/>
      <c r="CE205" s="32"/>
      <c r="CF205" s="32"/>
      <c r="CG205" s="32"/>
      <c r="CH205" s="32"/>
      <c r="CI205" s="32"/>
      <c r="CJ205" s="32"/>
      <c r="CK205" s="32"/>
      <c r="CL205" s="32"/>
      <c r="CM205" s="32"/>
      <c r="CN205" s="32"/>
    </row>
    <row r="206" spans="1:92" ht="18">
      <c r="A206" s="109">
        <v>204</v>
      </c>
      <c r="B206" s="23" t="s">
        <v>1254</v>
      </c>
      <c r="C206" s="111" t="s">
        <v>949</v>
      </c>
      <c r="D206" s="110" t="s">
        <v>533</v>
      </c>
      <c r="E206" s="111" t="s">
        <v>949</v>
      </c>
      <c r="F206" s="111" t="s">
        <v>176</v>
      </c>
      <c r="G206" s="26" t="s">
        <v>173</v>
      </c>
      <c r="H206" s="112" t="s">
        <v>943</v>
      </c>
      <c r="I206" s="13">
        <v>4108</v>
      </c>
      <c r="J206" s="38">
        <v>4172</v>
      </c>
      <c r="K206" s="130">
        <v>344.3</v>
      </c>
      <c r="L206" s="131">
        <v>90.03</v>
      </c>
      <c r="M206" s="131">
        <v>94.15</v>
      </c>
      <c r="N206" s="131">
        <v>69.94</v>
      </c>
      <c r="O206" s="39"/>
      <c r="P206" s="42" t="s">
        <v>420</v>
      </c>
      <c r="Q206" s="75">
        <v>40</v>
      </c>
      <c r="R206" s="75">
        <v>45</v>
      </c>
      <c r="S206" s="75">
        <v>45</v>
      </c>
      <c r="T206" s="75">
        <v>48</v>
      </c>
      <c r="U206" s="75">
        <v>50</v>
      </c>
      <c r="V206" s="75">
        <v>52</v>
      </c>
      <c r="W206" s="109">
        <v>280</v>
      </c>
      <c r="X206" s="105">
        <v>20000</v>
      </c>
      <c r="Y206" s="106">
        <v>35000</v>
      </c>
      <c r="Z206" s="106">
        <v>50000</v>
      </c>
      <c r="AA206" s="100">
        <v>80000</v>
      </c>
      <c r="AB206" s="100">
        <v>115000</v>
      </c>
      <c r="AC206" s="100">
        <v>170000</v>
      </c>
      <c r="AD206" s="105">
        <v>260000</v>
      </c>
      <c r="AE206" s="105">
        <v>375000</v>
      </c>
      <c r="AF206" s="105">
        <v>585000</v>
      </c>
      <c r="AG206" s="105">
        <v>800000</v>
      </c>
      <c r="AH206" s="105">
        <v>940000</v>
      </c>
      <c r="AI206" s="105">
        <v>1020000</v>
      </c>
      <c r="AJ206" s="96">
        <v>1050000</v>
      </c>
      <c r="AK206" s="100"/>
      <c r="AL206" s="113">
        <v>22000000</v>
      </c>
      <c r="AM206" s="95">
        <v>56000</v>
      </c>
      <c r="AN206" s="95">
        <v>6</v>
      </c>
      <c r="AO206" s="96">
        <v>112000</v>
      </c>
      <c r="AP206" s="96">
        <v>5</v>
      </c>
      <c r="AQ206" s="97">
        <v>336000</v>
      </c>
      <c r="AR206" s="134">
        <v>4</v>
      </c>
      <c r="AS206" s="135"/>
      <c r="AT206" s="135"/>
      <c r="AU206" s="32">
        <v>8960000</v>
      </c>
      <c r="AV206" s="113">
        <v>30960000</v>
      </c>
      <c r="AW206" s="113">
        <v>358</v>
      </c>
      <c r="AX206" s="113"/>
      <c r="AY206" s="113">
        <v>468</v>
      </c>
      <c r="AZ206" s="113"/>
      <c r="BA206" s="82" t="s">
        <v>641</v>
      </c>
      <c r="BB206" s="32"/>
      <c r="BC206" s="32"/>
      <c r="BD206" s="32"/>
      <c r="BE206" s="32"/>
      <c r="BF206" s="32"/>
      <c r="BG206" s="32"/>
      <c r="BH206" s="32"/>
      <c r="BI206" s="32"/>
      <c r="BJ206" s="32"/>
      <c r="BK206" s="32"/>
      <c r="BL206" s="32"/>
      <c r="BM206" s="32"/>
      <c r="BN206" s="32">
        <v>1</v>
      </c>
      <c r="BO206" s="32"/>
      <c r="BP206" s="32"/>
      <c r="BQ206" s="84"/>
      <c r="BR206" s="32"/>
      <c r="BS206" s="32"/>
      <c r="BT206" s="32"/>
      <c r="BU206" s="32"/>
      <c r="BV206" s="113" t="s">
        <v>535</v>
      </c>
      <c r="BW206" s="113"/>
      <c r="BX206" s="113"/>
      <c r="BY206" s="113">
        <v>1</v>
      </c>
      <c r="BZ206" s="113">
        <v>9</v>
      </c>
      <c r="CA206" s="113"/>
      <c r="CB206" s="113"/>
      <c r="CC206" s="113"/>
      <c r="CD206" s="32"/>
      <c r="CE206" s="32"/>
      <c r="CF206" s="32"/>
      <c r="CG206" s="32"/>
      <c r="CH206" s="32"/>
      <c r="CI206" s="32"/>
      <c r="CJ206" s="32"/>
      <c r="CK206" s="32"/>
      <c r="CL206" s="32"/>
      <c r="CM206" s="32"/>
      <c r="CN206" s="32"/>
    </row>
    <row r="207" spans="1:92" ht="18">
      <c r="A207" s="109">
        <v>205</v>
      </c>
      <c r="B207" s="23" t="s">
        <v>1508</v>
      </c>
      <c r="C207" s="111" t="s">
        <v>1509</v>
      </c>
      <c r="D207" s="110" t="s">
        <v>182</v>
      </c>
      <c r="E207" s="111" t="s">
        <v>1510</v>
      </c>
      <c r="F207" s="111" t="s">
        <v>176</v>
      </c>
      <c r="G207" s="26" t="s">
        <v>173</v>
      </c>
      <c r="H207" s="112" t="s">
        <v>1491</v>
      </c>
      <c r="I207" s="13"/>
      <c r="J207" s="38">
        <v>4173</v>
      </c>
      <c r="K207" s="130">
        <v>363.1</v>
      </c>
      <c r="L207" s="131">
        <v>87.04</v>
      </c>
      <c r="M207" s="131">
        <v>68.06</v>
      </c>
      <c r="N207" s="131">
        <v>58.45</v>
      </c>
      <c r="O207" s="39"/>
      <c r="P207" s="42" t="s">
        <v>420</v>
      </c>
      <c r="Q207" s="75">
        <v>40</v>
      </c>
      <c r="R207" s="75">
        <v>45</v>
      </c>
      <c r="S207" s="75">
        <v>45</v>
      </c>
      <c r="T207" s="75">
        <v>48</v>
      </c>
      <c r="U207" s="75">
        <v>50</v>
      </c>
      <c r="V207" s="75">
        <v>52</v>
      </c>
      <c r="W207" s="109">
        <v>280</v>
      </c>
      <c r="X207" s="32">
        <v>20000</v>
      </c>
      <c r="Y207" s="32">
        <v>35000</v>
      </c>
      <c r="Z207" s="32">
        <v>50000</v>
      </c>
      <c r="AA207" s="100">
        <v>80000</v>
      </c>
      <c r="AB207" s="100">
        <v>115000</v>
      </c>
      <c r="AC207" s="100">
        <v>170000</v>
      </c>
      <c r="AD207" s="94">
        <v>260000</v>
      </c>
      <c r="AE207" s="94">
        <v>375000</v>
      </c>
      <c r="AF207" s="94">
        <v>585000</v>
      </c>
      <c r="AG207" s="94">
        <v>800000</v>
      </c>
      <c r="AH207" s="105">
        <v>940000</v>
      </c>
      <c r="AI207" s="105">
        <v>1020000</v>
      </c>
      <c r="AJ207" s="96">
        <v>1050000</v>
      </c>
      <c r="AK207" s="32"/>
      <c r="AL207" s="113">
        <v>22000000</v>
      </c>
      <c r="AM207" s="95">
        <v>42000</v>
      </c>
      <c r="AN207" s="95">
        <v>6</v>
      </c>
      <c r="AO207" s="96">
        <v>84000</v>
      </c>
      <c r="AP207" s="96">
        <v>5</v>
      </c>
      <c r="AQ207" s="97">
        <v>252000</v>
      </c>
      <c r="AR207" s="134">
        <v>4</v>
      </c>
      <c r="AS207" s="135"/>
      <c r="AT207" s="135"/>
      <c r="AU207" s="32">
        <v>6720000</v>
      </c>
      <c r="AV207" s="113">
        <v>28720000</v>
      </c>
      <c r="AW207" s="113"/>
      <c r="AX207" s="113"/>
      <c r="AY207" s="113"/>
      <c r="AZ207" s="113"/>
      <c r="BA207" s="32" t="s">
        <v>641</v>
      </c>
      <c r="BB207" s="32"/>
      <c r="BC207" s="32"/>
      <c r="BD207" s="32"/>
      <c r="BE207" s="32"/>
      <c r="BF207" s="32"/>
      <c r="BG207" s="32"/>
      <c r="BH207" s="32"/>
      <c r="BI207" s="32"/>
      <c r="BJ207" s="32"/>
      <c r="BK207" s="32"/>
      <c r="BL207" s="32"/>
      <c r="BM207" s="32"/>
      <c r="BN207" s="32"/>
      <c r="BO207" s="32"/>
      <c r="BP207" s="32"/>
      <c r="BQ207" s="84"/>
      <c r="BR207" s="32"/>
      <c r="BS207" s="32"/>
      <c r="BT207" s="32"/>
      <c r="BU207" s="32"/>
      <c r="BV207" s="113" t="s">
        <v>1511</v>
      </c>
      <c r="BW207" s="113"/>
      <c r="BX207" s="113"/>
      <c r="BY207" s="113"/>
      <c r="BZ207" s="113"/>
      <c r="CA207" s="113"/>
      <c r="CB207" s="113"/>
      <c r="CC207" s="113"/>
      <c r="CD207" s="32"/>
      <c r="CE207" s="32"/>
      <c r="CF207" s="32"/>
      <c r="CG207" s="32"/>
      <c r="CH207" s="32"/>
      <c r="CI207" s="32"/>
      <c r="CJ207" s="32"/>
      <c r="CK207" s="32"/>
      <c r="CL207" s="32"/>
      <c r="CM207" s="32"/>
      <c r="CN207" s="32"/>
    </row>
    <row r="208" spans="1:92" ht="18">
      <c r="A208" s="109">
        <v>206</v>
      </c>
      <c r="B208" s="23" t="s">
        <v>1255</v>
      </c>
      <c r="C208" s="111" t="s">
        <v>818</v>
      </c>
      <c r="D208" s="110" t="s">
        <v>912</v>
      </c>
      <c r="E208" s="111" t="s">
        <v>817</v>
      </c>
      <c r="F208" s="111" t="s">
        <v>176</v>
      </c>
      <c r="G208" s="26" t="s">
        <v>173</v>
      </c>
      <c r="H208" s="112" t="s">
        <v>878</v>
      </c>
      <c r="I208" s="13">
        <v>4187</v>
      </c>
      <c r="J208" s="38">
        <v>4192</v>
      </c>
      <c r="K208" s="130">
        <v>358.6</v>
      </c>
      <c r="L208" s="131">
        <v>89.33</v>
      </c>
      <c r="M208" s="131">
        <v>82.63</v>
      </c>
      <c r="N208" s="131">
        <v>55.24</v>
      </c>
      <c r="O208" s="39"/>
      <c r="P208" s="42" t="s">
        <v>420</v>
      </c>
      <c r="Q208" s="37" t="s">
        <v>270</v>
      </c>
      <c r="R208" s="75">
        <v>30</v>
      </c>
      <c r="S208" s="75">
        <v>35</v>
      </c>
      <c r="T208" s="75">
        <v>45</v>
      </c>
      <c r="U208" s="75">
        <v>55</v>
      </c>
      <c r="V208" s="75">
        <v>85</v>
      </c>
      <c r="W208" s="109">
        <v>250</v>
      </c>
      <c r="X208" s="94"/>
      <c r="Y208" s="94"/>
      <c r="Z208" s="94"/>
      <c r="AA208" s="94"/>
      <c r="AB208" s="94"/>
      <c r="AC208" s="94"/>
      <c r="AD208" s="94"/>
      <c r="AE208" s="94"/>
      <c r="AF208" s="94"/>
      <c r="AG208" s="94"/>
      <c r="AH208" s="94"/>
      <c r="AI208" s="94"/>
      <c r="AJ208" s="94"/>
      <c r="AK208" s="32"/>
      <c r="AL208" s="113"/>
      <c r="AM208" s="95">
        <v>35000</v>
      </c>
      <c r="AN208" s="95">
        <v>6</v>
      </c>
      <c r="AO208" s="96">
        <v>70000</v>
      </c>
      <c r="AP208" s="96">
        <v>5</v>
      </c>
      <c r="AQ208" s="97">
        <v>210000</v>
      </c>
      <c r="AR208" s="134">
        <v>4</v>
      </c>
      <c r="AS208" s="135"/>
      <c r="AT208" s="135"/>
      <c r="AU208" s="113">
        <v>5600000</v>
      </c>
      <c r="AV208" s="113"/>
      <c r="AW208" s="113">
        <v>373</v>
      </c>
      <c r="AX208" s="113"/>
      <c r="AY208" s="113">
        <v>493</v>
      </c>
      <c r="AZ208" s="113"/>
      <c r="BA208" s="82" t="s">
        <v>640</v>
      </c>
      <c r="BB208" s="32"/>
      <c r="BC208" s="32"/>
      <c r="BD208" s="32"/>
      <c r="BE208" s="32"/>
      <c r="BF208" s="32"/>
      <c r="BG208" s="32"/>
      <c r="BH208" s="32"/>
      <c r="BI208" s="32"/>
      <c r="BJ208" s="32"/>
      <c r="BK208" s="32"/>
      <c r="BL208" s="32"/>
      <c r="BM208" s="32">
        <v>1</v>
      </c>
      <c r="BN208" s="32"/>
      <c r="BO208" s="32">
        <v>1</v>
      </c>
      <c r="BP208" s="32">
        <v>1</v>
      </c>
      <c r="BQ208" s="84" t="s">
        <v>800</v>
      </c>
      <c r="BR208" s="32"/>
      <c r="BS208" s="32"/>
      <c r="BT208" s="32"/>
      <c r="BU208" s="32"/>
      <c r="BV208" s="113"/>
      <c r="BW208" s="113"/>
      <c r="BX208" s="113"/>
      <c r="BY208" s="113">
        <v>1</v>
      </c>
      <c r="BZ208" s="113">
        <v>9</v>
      </c>
      <c r="CA208" s="113"/>
      <c r="CB208" s="113"/>
      <c r="CC208" s="113"/>
      <c r="CD208" s="32"/>
      <c r="CE208" s="32"/>
      <c r="CF208" s="32"/>
      <c r="CG208" s="32"/>
      <c r="CH208" s="32"/>
      <c r="CI208" s="32"/>
      <c r="CJ208" s="32"/>
      <c r="CK208" s="32"/>
      <c r="CL208" s="32"/>
      <c r="CM208" s="32"/>
      <c r="CN208" s="32"/>
    </row>
    <row r="209" spans="1:92" ht="18">
      <c r="A209" s="109">
        <v>207</v>
      </c>
      <c r="B209" s="23" t="s">
        <v>1256</v>
      </c>
      <c r="C209" s="111" t="s">
        <v>1034</v>
      </c>
      <c r="D209" s="110" t="s">
        <v>74</v>
      </c>
      <c r="E209" s="111" t="s">
        <v>1035</v>
      </c>
      <c r="F209" s="111" t="s">
        <v>176</v>
      </c>
      <c r="G209" s="26" t="s">
        <v>173</v>
      </c>
      <c r="H209" s="112" t="s">
        <v>1031</v>
      </c>
      <c r="I209" s="13"/>
      <c r="J209" s="38">
        <v>4201</v>
      </c>
      <c r="K209" s="130">
        <v>357</v>
      </c>
      <c r="L209" s="131">
        <v>88.23</v>
      </c>
      <c r="M209" s="131">
        <v>75.459999999999994</v>
      </c>
      <c r="N209" s="131">
        <v>70.44</v>
      </c>
      <c r="O209" s="39"/>
      <c r="P209" s="42" t="s">
        <v>420</v>
      </c>
      <c r="Q209" s="75">
        <v>40</v>
      </c>
      <c r="R209" s="75">
        <v>45</v>
      </c>
      <c r="S209" s="75">
        <v>45</v>
      </c>
      <c r="T209" s="75">
        <v>48</v>
      </c>
      <c r="U209" s="75">
        <v>50</v>
      </c>
      <c r="V209" s="75">
        <v>52</v>
      </c>
      <c r="W209" s="109">
        <v>280</v>
      </c>
      <c r="X209" s="32">
        <v>20000</v>
      </c>
      <c r="Y209" s="32">
        <v>35000</v>
      </c>
      <c r="Z209" s="32">
        <v>50000</v>
      </c>
      <c r="AA209" s="100">
        <v>80000</v>
      </c>
      <c r="AB209" s="100">
        <v>115000</v>
      </c>
      <c r="AC209" s="100">
        <v>170000</v>
      </c>
      <c r="AD209" s="94">
        <v>260000</v>
      </c>
      <c r="AE209" s="94">
        <v>375000</v>
      </c>
      <c r="AF209" s="94">
        <v>585000</v>
      </c>
      <c r="AG209" s="94">
        <v>800000</v>
      </c>
      <c r="AH209" s="32"/>
      <c r="AI209" s="32"/>
      <c r="AJ209" s="32"/>
      <c r="AK209" s="32"/>
      <c r="AL209" s="113"/>
      <c r="AM209" s="95">
        <v>72000</v>
      </c>
      <c r="AN209" s="95">
        <v>6</v>
      </c>
      <c r="AO209" s="96">
        <v>144000</v>
      </c>
      <c r="AP209" s="96">
        <v>5</v>
      </c>
      <c r="AQ209" s="97">
        <v>432000</v>
      </c>
      <c r="AR209" s="134">
        <v>4</v>
      </c>
      <c r="AS209" s="135"/>
      <c r="AT209" s="135"/>
      <c r="AU209" s="113"/>
      <c r="AV209" s="113"/>
      <c r="AW209" s="113">
        <v>371</v>
      </c>
      <c r="AX209" s="113"/>
      <c r="AY209" s="113">
        <v>490</v>
      </c>
      <c r="AZ209" s="113"/>
      <c r="BA209" s="82" t="s">
        <v>641</v>
      </c>
      <c r="BB209" s="32"/>
      <c r="BC209" s="32"/>
      <c r="BD209" s="32"/>
      <c r="BE209" s="32"/>
      <c r="BF209" s="32"/>
      <c r="BG209" s="32"/>
      <c r="BH209" s="32"/>
      <c r="BI209" s="32"/>
      <c r="BJ209" s="32"/>
      <c r="BK209" s="32"/>
      <c r="BL209" s="32"/>
      <c r="BM209" s="32"/>
      <c r="BN209" s="32">
        <v>1</v>
      </c>
      <c r="BO209" s="32"/>
      <c r="BP209" s="32"/>
      <c r="BQ209" s="84"/>
      <c r="BR209" s="32"/>
      <c r="BS209" s="32"/>
      <c r="BT209" s="32"/>
      <c r="BU209" s="32"/>
      <c r="BV209" s="113" t="s">
        <v>1105</v>
      </c>
      <c r="BW209" s="113"/>
      <c r="BX209" s="113"/>
      <c r="BY209" s="113">
        <v>1</v>
      </c>
      <c r="BZ209" s="113">
        <v>9</v>
      </c>
      <c r="CA209" s="113"/>
      <c r="CB209" s="113"/>
      <c r="CC209" s="113"/>
      <c r="CD209" s="32"/>
      <c r="CE209" s="32"/>
      <c r="CF209" s="32"/>
      <c r="CG209" s="32"/>
      <c r="CH209" s="32"/>
      <c r="CI209" s="32"/>
      <c r="CJ209" s="32"/>
      <c r="CK209" s="32"/>
      <c r="CL209" s="32"/>
      <c r="CM209" s="32"/>
      <c r="CN209" s="32"/>
    </row>
    <row r="210" spans="1:92" ht="18">
      <c r="A210" s="109">
        <v>208</v>
      </c>
      <c r="B210" s="23" t="s">
        <v>1257</v>
      </c>
      <c r="C210" s="111" t="s">
        <v>1024</v>
      </c>
      <c r="D210" s="110" t="s">
        <v>99</v>
      </c>
      <c r="E210" s="111" t="s">
        <v>1024</v>
      </c>
      <c r="F210" s="111" t="s">
        <v>176</v>
      </c>
      <c r="G210" s="26" t="s">
        <v>173</v>
      </c>
      <c r="H210" s="112" t="s">
        <v>1016</v>
      </c>
      <c r="I210" s="13">
        <v>4229</v>
      </c>
      <c r="J210" s="38">
        <v>4229</v>
      </c>
      <c r="K210" s="130">
        <v>352</v>
      </c>
      <c r="L210" s="131">
        <v>84.94</v>
      </c>
      <c r="M210" s="131">
        <v>87.96</v>
      </c>
      <c r="N210" s="131">
        <v>72.61</v>
      </c>
      <c r="O210" s="39"/>
      <c r="P210" s="42" t="s">
        <v>420</v>
      </c>
      <c r="Q210" s="37" t="s">
        <v>270</v>
      </c>
      <c r="R210" s="75">
        <v>45</v>
      </c>
      <c r="S210" s="75">
        <v>50</v>
      </c>
      <c r="T210" s="75">
        <v>56</v>
      </c>
      <c r="U210" s="75">
        <v>62</v>
      </c>
      <c r="V210" s="75">
        <v>66</v>
      </c>
      <c r="W210" s="109">
        <v>279</v>
      </c>
      <c r="X210" s="32">
        <v>20000</v>
      </c>
      <c r="Y210" s="32">
        <v>35000</v>
      </c>
      <c r="Z210" s="32">
        <v>50000</v>
      </c>
      <c r="AA210" s="32">
        <v>65000</v>
      </c>
      <c r="AB210" s="32">
        <v>110000</v>
      </c>
      <c r="AC210" s="32">
        <v>180000</v>
      </c>
      <c r="AD210" s="32">
        <v>275000</v>
      </c>
      <c r="AE210" s="32">
        <v>390000</v>
      </c>
      <c r="AF210" s="32">
        <v>500000</v>
      </c>
      <c r="AG210" s="32">
        <v>610000</v>
      </c>
      <c r="AH210" s="32">
        <v>700000</v>
      </c>
      <c r="AI210" s="32">
        <v>765000</v>
      </c>
      <c r="AJ210" s="100">
        <v>800000</v>
      </c>
      <c r="AK210" s="100"/>
      <c r="AL210" s="113"/>
      <c r="AM210" s="95">
        <v>58500</v>
      </c>
      <c r="AN210" s="95">
        <v>6</v>
      </c>
      <c r="AO210" s="96">
        <v>117000</v>
      </c>
      <c r="AP210" s="96">
        <v>5</v>
      </c>
      <c r="AQ210" s="97">
        <v>351000</v>
      </c>
      <c r="AR210" s="134">
        <v>4</v>
      </c>
      <c r="AS210" s="135"/>
      <c r="AT210" s="135"/>
      <c r="AU210" s="113"/>
      <c r="AV210" s="113"/>
      <c r="AW210" s="113"/>
      <c r="AX210" s="113"/>
      <c r="AY210" s="113"/>
      <c r="AZ210" s="113"/>
      <c r="BA210" s="82" t="s">
        <v>640</v>
      </c>
      <c r="BB210" s="32"/>
      <c r="BC210" s="32"/>
      <c r="BD210" s="32"/>
      <c r="BE210" s="32"/>
      <c r="BF210" s="32"/>
      <c r="BG210" s="32"/>
      <c r="BH210" s="32"/>
      <c r="BI210" s="32"/>
      <c r="BJ210" s="32"/>
      <c r="BK210" s="32"/>
      <c r="BL210" s="32"/>
      <c r="BM210" s="32">
        <v>1</v>
      </c>
      <c r="BN210" s="32"/>
      <c r="BO210" s="32">
        <v>1</v>
      </c>
      <c r="BP210" s="32"/>
      <c r="BQ210" s="84"/>
      <c r="BR210" s="32"/>
      <c r="BS210" s="32"/>
      <c r="BT210" s="32"/>
      <c r="BU210" s="32"/>
      <c r="BV210" s="113" t="s">
        <v>747</v>
      </c>
      <c r="BW210" s="113"/>
      <c r="BX210" s="113"/>
      <c r="BY210" s="113"/>
      <c r="BZ210" s="113"/>
      <c r="CA210" s="113"/>
      <c r="CB210" s="113"/>
      <c r="CC210" s="113"/>
      <c r="CD210" s="32"/>
      <c r="CE210" s="32"/>
      <c r="CF210" s="32"/>
      <c r="CG210" s="32"/>
      <c r="CH210" s="32"/>
      <c r="CI210" s="32"/>
      <c r="CJ210" s="32"/>
      <c r="CK210" s="32"/>
      <c r="CL210" s="32"/>
      <c r="CM210" s="32"/>
      <c r="CN210" s="32"/>
    </row>
    <row r="211" spans="1:92" ht="18">
      <c r="A211" s="109">
        <v>209</v>
      </c>
      <c r="B211" s="23" t="s">
        <v>1258</v>
      </c>
      <c r="C211" s="111" t="s">
        <v>988</v>
      </c>
      <c r="D211" s="110" t="s">
        <v>1129</v>
      </c>
      <c r="E211" s="111" t="s">
        <v>667</v>
      </c>
      <c r="F211" s="111" t="s">
        <v>176</v>
      </c>
      <c r="G211" s="26" t="s">
        <v>173</v>
      </c>
      <c r="H211" s="112" t="s">
        <v>311</v>
      </c>
      <c r="I211" s="13">
        <v>4255</v>
      </c>
      <c r="J211" s="14">
        <v>4251</v>
      </c>
      <c r="K211" s="126">
        <v>371.8</v>
      </c>
      <c r="L211" s="127">
        <v>78.34</v>
      </c>
      <c r="M211" s="127">
        <v>76.86</v>
      </c>
      <c r="N211" s="127">
        <v>69.599999999999994</v>
      </c>
      <c r="O211" s="39"/>
      <c r="P211" s="42" t="s">
        <v>420</v>
      </c>
      <c r="Q211" s="75">
        <v>40</v>
      </c>
      <c r="R211" s="75">
        <v>30</v>
      </c>
      <c r="S211" s="75">
        <v>35</v>
      </c>
      <c r="T211" s="75">
        <v>40</v>
      </c>
      <c r="U211" s="75">
        <v>50</v>
      </c>
      <c r="V211" s="75">
        <v>55</v>
      </c>
      <c r="W211" s="109">
        <v>250</v>
      </c>
      <c r="X211" s="16">
        <v>10550</v>
      </c>
      <c r="Y211" s="16">
        <v>17200</v>
      </c>
      <c r="Z211" s="16">
        <v>27600</v>
      </c>
      <c r="AA211" s="16">
        <v>41400</v>
      </c>
      <c r="AB211" s="16">
        <v>59800</v>
      </c>
      <c r="AC211" s="16">
        <v>88500</v>
      </c>
      <c r="AD211" s="16">
        <v>131000</v>
      </c>
      <c r="AE211" s="16">
        <v>193500</v>
      </c>
      <c r="AF211" s="16">
        <v>286500</v>
      </c>
      <c r="AG211" s="16">
        <v>414000</v>
      </c>
      <c r="AH211" s="17">
        <v>529000</v>
      </c>
      <c r="AI211" s="17">
        <v>609000</v>
      </c>
      <c r="AJ211" s="17">
        <v>654000</v>
      </c>
      <c r="AK211" s="17"/>
      <c r="AL211" s="113">
        <v>12248200</v>
      </c>
      <c r="AM211" s="95">
        <v>45000</v>
      </c>
      <c r="AN211" s="95">
        <v>6</v>
      </c>
      <c r="AO211" s="96">
        <v>90000</v>
      </c>
      <c r="AP211" s="96">
        <v>5</v>
      </c>
      <c r="AQ211" s="97">
        <v>270000</v>
      </c>
      <c r="AR211" s="134">
        <v>4</v>
      </c>
      <c r="AS211" s="135"/>
      <c r="AT211" s="135"/>
      <c r="AU211" s="113">
        <v>7200000</v>
      </c>
      <c r="AV211" s="113">
        <v>19448200</v>
      </c>
      <c r="AW211" s="113">
        <v>387</v>
      </c>
      <c r="AX211" s="113"/>
      <c r="AY211" s="113">
        <v>517</v>
      </c>
      <c r="AZ211" s="113"/>
      <c r="BA211" s="113" t="s">
        <v>605</v>
      </c>
      <c r="BB211" s="32"/>
      <c r="BC211" s="32"/>
      <c r="BD211" s="32"/>
      <c r="BE211" s="32"/>
      <c r="BF211" s="32"/>
      <c r="BG211" s="32"/>
      <c r="BH211" s="32">
        <v>1</v>
      </c>
      <c r="BI211" s="32"/>
      <c r="BJ211" s="32"/>
      <c r="BK211" s="32"/>
      <c r="BL211" s="32"/>
      <c r="BM211" s="32"/>
      <c r="BN211" s="32"/>
      <c r="BO211" s="32"/>
      <c r="BP211" s="32">
        <v>1</v>
      </c>
      <c r="BQ211" s="32"/>
      <c r="BR211" s="32"/>
      <c r="BS211" s="32"/>
      <c r="BT211" s="32"/>
      <c r="BU211" s="32"/>
      <c r="BV211" s="81" t="s">
        <v>1259</v>
      </c>
      <c r="BW211" s="113"/>
      <c r="BX211" s="113"/>
      <c r="BY211" s="113"/>
      <c r="BZ211" s="113"/>
      <c r="CA211" s="113"/>
      <c r="CB211" s="113"/>
      <c r="CC211" s="113"/>
      <c r="CD211" s="32"/>
      <c r="CE211" s="32"/>
      <c r="CF211" s="32"/>
      <c r="CG211" s="32"/>
      <c r="CH211" s="32"/>
      <c r="CI211" s="32"/>
      <c r="CJ211" s="32"/>
      <c r="CK211" s="32"/>
      <c r="CL211" s="32"/>
      <c r="CM211" s="32"/>
      <c r="CN211" s="32"/>
    </row>
    <row r="212" spans="1:92" ht="18">
      <c r="A212" s="109">
        <v>210</v>
      </c>
      <c r="B212" s="23" t="s">
        <v>1260</v>
      </c>
      <c r="C212" s="111" t="s">
        <v>1261</v>
      </c>
      <c r="D212" s="150" t="s">
        <v>620</v>
      </c>
      <c r="E212" s="111" t="s">
        <v>891</v>
      </c>
      <c r="F212" s="111" t="s">
        <v>176</v>
      </c>
      <c r="G212" s="26" t="s">
        <v>173</v>
      </c>
      <c r="H212" s="112" t="s">
        <v>926</v>
      </c>
      <c r="I212" s="13">
        <v>4363</v>
      </c>
      <c r="J212" s="38">
        <v>4259</v>
      </c>
      <c r="K212" s="130">
        <v>376.4</v>
      </c>
      <c r="L212" s="131">
        <v>83.04</v>
      </c>
      <c r="M212" s="131">
        <v>58.21</v>
      </c>
      <c r="N212" s="131">
        <v>64.11</v>
      </c>
      <c r="O212" s="39"/>
      <c r="P212" s="42" t="s">
        <v>420</v>
      </c>
      <c r="Q212" s="75">
        <v>40</v>
      </c>
      <c r="R212" s="75">
        <v>30</v>
      </c>
      <c r="S212" s="75">
        <v>35</v>
      </c>
      <c r="T212" s="75">
        <v>40</v>
      </c>
      <c r="U212" s="75">
        <v>50</v>
      </c>
      <c r="V212" s="75">
        <v>55</v>
      </c>
      <c r="W212" s="109">
        <v>250</v>
      </c>
      <c r="X212" s="16">
        <v>10550</v>
      </c>
      <c r="Y212" s="16">
        <v>17200</v>
      </c>
      <c r="Z212" s="16">
        <v>27600</v>
      </c>
      <c r="AA212" s="16">
        <v>41400</v>
      </c>
      <c r="AB212" s="16">
        <v>59800</v>
      </c>
      <c r="AC212" s="16">
        <v>88500</v>
      </c>
      <c r="AD212" s="16">
        <v>131000</v>
      </c>
      <c r="AE212" s="16">
        <v>193500</v>
      </c>
      <c r="AF212" s="16">
        <v>286500</v>
      </c>
      <c r="AG212" s="16">
        <v>414000</v>
      </c>
      <c r="AH212" s="106">
        <v>529000</v>
      </c>
      <c r="AI212" s="106">
        <v>609000</v>
      </c>
      <c r="AJ212" s="106">
        <v>654000</v>
      </c>
      <c r="AK212" s="106"/>
      <c r="AL212" s="113">
        <v>12248200</v>
      </c>
      <c r="AM212" s="95">
        <v>45000</v>
      </c>
      <c r="AN212" s="95">
        <v>6</v>
      </c>
      <c r="AO212" s="96">
        <v>90000</v>
      </c>
      <c r="AP212" s="96">
        <v>5</v>
      </c>
      <c r="AQ212" s="97">
        <v>270000</v>
      </c>
      <c r="AR212" s="134">
        <v>4</v>
      </c>
      <c r="AS212" s="135"/>
      <c r="AT212" s="135"/>
      <c r="AU212" s="113">
        <v>7200000</v>
      </c>
      <c r="AV212" s="113">
        <v>19448200</v>
      </c>
      <c r="AW212" s="113">
        <v>391</v>
      </c>
      <c r="AX212" s="113"/>
      <c r="AY212" s="113">
        <v>523</v>
      </c>
      <c r="AZ212" s="113"/>
      <c r="BA212" s="82" t="s">
        <v>639</v>
      </c>
      <c r="BB212" s="32"/>
      <c r="BC212" s="32"/>
      <c r="BD212" s="32"/>
      <c r="BE212" s="32"/>
      <c r="BF212" s="32"/>
      <c r="BG212" s="32"/>
      <c r="BH212" s="32"/>
      <c r="BI212" s="32"/>
      <c r="BJ212" s="32"/>
      <c r="BK212" s="32"/>
      <c r="BL212" s="32">
        <v>1</v>
      </c>
      <c r="BM212" s="32"/>
      <c r="BN212" s="32"/>
      <c r="BO212" s="32"/>
      <c r="BP212" s="32"/>
      <c r="BQ212" s="84" t="s">
        <v>800</v>
      </c>
      <c r="BR212" s="32"/>
      <c r="BS212" s="32"/>
      <c r="BT212" s="32">
        <v>1</v>
      </c>
      <c r="BU212" s="32"/>
      <c r="BV212" s="113" t="s">
        <v>930</v>
      </c>
      <c r="BW212" s="113"/>
      <c r="BX212" s="113"/>
      <c r="BY212" s="113">
        <v>1</v>
      </c>
      <c r="BZ212" s="113">
        <v>9</v>
      </c>
      <c r="CA212" s="113"/>
      <c r="CB212" s="113"/>
      <c r="CC212" s="113"/>
      <c r="CD212" s="32"/>
      <c r="CE212" s="32"/>
      <c r="CF212" s="32"/>
      <c r="CG212" s="32"/>
      <c r="CH212" s="32"/>
      <c r="CI212" s="32"/>
      <c r="CJ212" s="32"/>
      <c r="CK212" s="32"/>
      <c r="CL212" s="32"/>
      <c r="CM212" s="32"/>
      <c r="CN212" s="32"/>
    </row>
    <row r="213" spans="1:92" ht="18">
      <c r="A213" s="109">
        <v>211</v>
      </c>
      <c r="B213" s="23" t="s">
        <v>1262</v>
      </c>
      <c r="C213" s="111" t="s">
        <v>951</v>
      </c>
      <c r="D213" s="110" t="s">
        <v>182</v>
      </c>
      <c r="E213" s="111" t="s">
        <v>950</v>
      </c>
      <c r="F213" s="111" t="s">
        <v>176</v>
      </c>
      <c r="G213" s="26" t="s">
        <v>173</v>
      </c>
      <c r="H213" s="112" t="s">
        <v>943</v>
      </c>
      <c r="I213" s="13">
        <v>4279</v>
      </c>
      <c r="J213" s="38">
        <v>4266</v>
      </c>
      <c r="K213" s="130">
        <v>357</v>
      </c>
      <c r="L213" s="131">
        <v>84.34</v>
      </c>
      <c r="M213" s="131">
        <v>85.82</v>
      </c>
      <c r="N213" s="131">
        <v>78.22</v>
      </c>
      <c r="O213" s="39"/>
      <c r="P213" s="42" t="s">
        <v>420</v>
      </c>
      <c r="Q213" s="75">
        <v>40</v>
      </c>
      <c r="R213" s="75">
        <v>45</v>
      </c>
      <c r="S213" s="75">
        <v>45</v>
      </c>
      <c r="T213" s="75">
        <v>48</v>
      </c>
      <c r="U213" s="75">
        <v>50</v>
      </c>
      <c r="V213" s="75">
        <v>52</v>
      </c>
      <c r="W213" s="109">
        <v>280</v>
      </c>
      <c r="X213" s="94">
        <v>61250</v>
      </c>
      <c r="Y213" s="94">
        <v>76600</v>
      </c>
      <c r="Z213" s="94">
        <v>107200</v>
      </c>
      <c r="AA213" s="94">
        <v>153100</v>
      </c>
      <c r="AB213" s="94">
        <v>214400</v>
      </c>
      <c r="AC213" s="94">
        <v>291000</v>
      </c>
      <c r="AD213" s="94">
        <v>398000</v>
      </c>
      <c r="AE213" s="94">
        <v>520500</v>
      </c>
      <c r="AF213" s="94">
        <v>674000</v>
      </c>
      <c r="AG213" s="94">
        <v>812000</v>
      </c>
      <c r="AH213" s="94">
        <v>888000</v>
      </c>
      <c r="AI213" s="94">
        <v>949000</v>
      </c>
      <c r="AJ213" s="94">
        <v>980000</v>
      </c>
      <c r="AK213" s="32"/>
      <c r="AL213" s="113">
        <v>24500200</v>
      </c>
      <c r="AM213" s="95">
        <v>58500</v>
      </c>
      <c r="AN213" s="95">
        <v>6</v>
      </c>
      <c r="AO213" s="96">
        <v>117000</v>
      </c>
      <c r="AP213" s="96">
        <v>5</v>
      </c>
      <c r="AQ213" s="97">
        <v>351000</v>
      </c>
      <c r="AR213" s="134">
        <v>4</v>
      </c>
      <c r="AS213" s="135"/>
      <c r="AT213" s="135"/>
      <c r="AU213" s="113">
        <v>9360000</v>
      </c>
      <c r="AV213" s="113">
        <v>33860200</v>
      </c>
      <c r="AW213" s="113">
        <v>371</v>
      </c>
      <c r="AX213" s="113"/>
      <c r="AY213" s="113">
        <v>490</v>
      </c>
      <c r="AZ213" s="113"/>
      <c r="BA213" s="82" t="s">
        <v>605</v>
      </c>
      <c r="BB213" s="32"/>
      <c r="BC213" s="32"/>
      <c r="BD213" s="32"/>
      <c r="BE213" s="32"/>
      <c r="BF213" s="32"/>
      <c r="BG213" s="32"/>
      <c r="BH213" s="32">
        <v>1</v>
      </c>
      <c r="BI213" s="32"/>
      <c r="BJ213" s="32"/>
      <c r="BK213" s="32"/>
      <c r="BL213" s="32"/>
      <c r="BM213" s="32"/>
      <c r="BN213" s="32"/>
      <c r="BO213" s="32"/>
      <c r="BP213" s="32"/>
      <c r="BQ213" s="84"/>
      <c r="BR213" s="32"/>
      <c r="BS213" s="32"/>
      <c r="BT213" s="32"/>
      <c r="BU213" s="32"/>
      <c r="BV213" s="113" t="s">
        <v>755</v>
      </c>
      <c r="BW213" s="113"/>
      <c r="BX213" s="113"/>
      <c r="BY213" s="113">
        <v>1</v>
      </c>
      <c r="BZ213" s="113">
        <v>9</v>
      </c>
      <c r="CA213" s="113"/>
      <c r="CB213" s="113"/>
      <c r="CC213" s="113"/>
      <c r="CD213" s="32"/>
      <c r="CE213" s="32"/>
      <c r="CF213" s="32"/>
      <c r="CG213" s="32"/>
      <c r="CH213" s="32"/>
      <c r="CI213" s="32"/>
      <c r="CJ213" s="32"/>
      <c r="CK213" s="32"/>
      <c r="CL213" s="32"/>
      <c r="CM213" s="32"/>
      <c r="CN213" s="32"/>
    </row>
    <row r="214" spans="1:92" ht="18">
      <c r="A214" s="109">
        <v>212</v>
      </c>
      <c r="B214" s="23" t="s">
        <v>1406</v>
      </c>
      <c r="C214" s="111" t="s">
        <v>1407</v>
      </c>
      <c r="D214" s="110" t="s">
        <v>158</v>
      </c>
      <c r="E214" s="111" t="s">
        <v>1408</v>
      </c>
      <c r="F214" s="111" t="s">
        <v>176</v>
      </c>
      <c r="G214" s="26" t="s">
        <v>173</v>
      </c>
      <c r="H214" s="112" t="s">
        <v>1393</v>
      </c>
      <c r="I214" s="13"/>
      <c r="J214" s="38">
        <v>4286</v>
      </c>
      <c r="K214" s="130">
        <v>361.2</v>
      </c>
      <c r="L214" s="131">
        <v>85.73</v>
      </c>
      <c r="M214" s="131">
        <v>79.17</v>
      </c>
      <c r="N214" s="131">
        <v>62.85</v>
      </c>
      <c r="O214" s="39"/>
      <c r="P214" s="42" t="s">
        <v>420</v>
      </c>
      <c r="Q214" s="75">
        <v>40</v>
      </c>
      <c r="R214" s="75">
        <v>30</v>
      </c>
      <c r="S214" s="75">
        <v>35</v>
      </c>
      <c r="T214" s="75">
        <v>40</v>
      </c>
      <c r="U214" s="75">
        <v>50</v>
      </c>
      <c r="V214" s="75">
        <v>55</v>
      </c>
      <c r="W214" s="109">
        <v>250</v>
      </c>
      <c r="X214" s="94">
        <v>6550</v>
      </c>
      <c r="Y214" s="94">
        <v>10600</v>
      </c>
      <c r="Z214" s="94">
        <v>17000</v>
      </c>
      <c r="AA214" s="94">
        <v>25600</v>
      </c>
      <c r="AB214" s="94">
        <v>36900</v>
      </c>
      <c r="AC214" s="94">
        <v>54500</v>
      </c>
      <c r="AD214" s="94">
        <v>81000</v>
      </c>
      <c r="AE214" s="94">
        <v>119500</v>
      </c>
      <c r="AF214" s="94">
        <v>177000</v>
      </c>
      <c r="AG214" s="94">
        <v>256000</v>
      </c>
      <c r="AH214" s="103">
        <v>327000</v>
      </c>
      <c r="AI214" s="103">
        <v>376000</v>
      </c>
      <c r="AJ214" s="96">
        <v>404000</v>
      </c>
      <c r="AK214" s="32"/>
      <c r="AL214" s="113"/>
      <c r="AM214" s="95">
        <v>54000</v>
      </c>
      <c r="AN214" s="95">
        <v>6</v>
      </c>
      <c r="AO214" s="96">
        <v>108000</v>
      </c>
      <c r="AP214" s="96">
        <v>5</v>
      </c>
      <c r="AQ214" s="97">
        <v>324000</v>
      </c>
      <c r="AR214" s="134">
        <v>4</v>
      </c>
      <c r="AS214" s="135"/>
      <c r="AT214" s="135"/>
      <c r="AU214" s="113"/>
      <c r="AV214" s="113"/>
      <c r="AW214" s="113">
        <v>376</v>
      </c>
      <c r="AX214" s="113"/>
      <c r="AY214" s="113">
        <v>497</v>
      </c>
      <c r="AZ214" s="113"/>
      <c r="BA214" s="82" t="s">
        <v>641</v>
      </c>
      <c r="BB214" s="32"/>
      <c r="BC214" s="32"/>
      <c r="BD214" s="32"/>
      <c r="BE214" s="32"/>
      <c r="BF214" s="32"/>
      <c r="BG214" s="32"/>
      <c r="BH214" s="32"/>
      <c r="BI214" s="32"/>
      <c r="BJ214" s="32"/>
      <c r="BK214" s="32"/>
      <c r="BL214" s="32"/>
      <c r="BM214" s="32"/>
      <c r="BN214" s="32"/>
      <c r="BO214" s="32"/>
      <c r="BP214" s="32"/>
      <c r="BQ214" s="32"/>
      <c r="BR214" s="32"/>
      <c r="BS214" s="32"/>
      <c r="BT214" s="32"/>
      <c r="BU214" s="32"/>
      <c r="BV214" s="113" t="s">
        <v>1299</v>
      </c>
      <c r="BW214" s="113"/>
      <c r="BX214" s="113"/>
      <c r="BY214" s="113"/>
      <c r="BZ214" s="113"/>
      <c r="CA214" s="113"/>
      <c r="CB214" s="113"/>
      <c r="CC214" s="113"/>
      <c r="CD214" s="32"/>
      <c r="CE214" s="32"/>
      <c r="CF214" s="32"/>
      <c r="CG214" s="32"/>
      <c r="CH214" s="32"/>
      <c r="CI214" s="32"/>
      <c r="CJ214" s="32"/>
      <c r="CK214" s="32"/>
      <c r="CL214" s="32"/>
      <c r="CM214" s="32"/>
      <c r="CN214" s="32"/>
    </row>
    <row r="215" spans="1:92" ht="18">
      <c r="A215" s="109">
        <v>213</v>
      </c>
      <c r="B215" s="23" t="s">
        <v>1263</v>
      </c>
      <c r="C215" s="111" t="s">
        <v>929</v>
      </c>
      <c r="D215" s="110" t="s">
        <v>889</v>
      </c>
      <c r="E215" s="111" t="s">
        <v>890</v>
      </c>
      <c r="F215" s="111" t="s">
        <v>176</v>
      </c>
      <c r="G215" s="26" t="s">
        <v>173</v>
      </c>
      <c r="H215" s="112" t="s">
        <v>926</v>
      </c>
      <c r="I215" s="13">
        <v>4327</v>
      </c>
      <c r="J215" s="38">
        <v>4305</v>
      </c>
      <c r="K215" s="130">
        <v>361.1</v>
      </c>
      <c r="L215" s="131">
        <v>83.2</v>
      </c>
      <c r="M215" s="131">
        <v>78.8</v>
      </c>
      <c r="N215" s="131">
        <v>45.56</v>
      </c>
      <c r="O215" s="39"/>
      <c r="P215" s="42" t="s">
        <v>420</v>
      </c>
      <c r="Q215" s="37" t="s">
        <v>607</v>
      </c>
      <c r="R215" s="37" t="s">
        <v>607</v>
      </c>
      <c r="S215" s="37" t="s">
        <v>607</v>
      </c>
      <c r="T215" s="37" t="s">
        <v>607</v>
      </c>
      <c r="U215" s="37" t="s">
        <v>607</v>
      </c>
      <c r="V215" s="37" t="s">
        <v>607</v>
      </c>
      <c r="W215" s="109">
        <v>0</v>
      </c>
      <c r="X215" s="94"/>
      <c r="Y215" s="94"/>
      <c r="Z215" s="94"/>
      <c r="AA215" s="94"/>
      <c r="AB215" s="94"/>
      <c r="AC215" s="94"/>
      <c r="AD215" s="94"/>
      <c r="AE215" s="94"/>
      <c r="AF215" s="94"/>
      <c r="AG215" s="94"/>
      <c r="AH215" s="94"/>
      <c r="AI215" s="94"/>
      <c r="AJ215" s="94"/>
      <c r="AK215" s="32"/>
      <c r="AL215" s="113"/>
      <c r="AM215" s="95"/>
      <c r="AN215" s="95">
        <v>6</v>
      </c>
      <c r="AO215" s="96"/>
      <c r="AP215" s="96">
        <v>5</v>
      </c>
      <c r="AQ215" s="97"/>
      <c r="AR215" s="134">
        <v>4</v>
      </c>
      <c r="AS215" s="135"/>
      <c r="AT215" s="135"/>
      <c r="AU215" s="113"/>
      <c r="AV215" s="113"/>
      <c r="AW215" s="113"/>
      <c r="AX215" s="113"/>
      <c r="AY215" s="113"/>
      <c r="AZ215" s="113"/>
      <c r="BA215" s="82" t="s">
        <v>641</v>
      </c>
      <c r="BB215" s="32"/>
      <c r="BC215" s="32"/>
      <c r="BD215" s="32"/>
      <c r="BE215" s="32"/>
      <c r="BF215" s="32"/>
      <c r="BG215" s="32"/>
      <c r="BH215" s="32"/>
      <c r="BI215" s="32"/>
      <c r="BJ215" s="32"/>
      <c r="BK215" s="32"/>
      <c r="BL215" s="32"/>
      <c r="BM215" s="32"/>
      <c r="BN215" s="32">
        <v>1</v>
      </c>
      <c r="BO215" s="32"/>
      <c r="BP215" s="32"/>
      <c r="BQ215" s="32"/>
      <c r="BR215" s="32"/>
      <c r="BS215" s="32"/>
      <c r="BT215" s="32"/>
      <c r="BU215" s="32"/>
      <c r="BV215" s="113"/>
      <c r="BW215" s="113"/>
      <c r="BX215" s="113"/>
      <c r="BY215" s="113"/>
      <c r="BZ215" s="113"/>
      <c r="CA215" s="113"/>
      <c r="CB215" s="113"/>
      <c r="CC215" s="113"/>
      <c r="CD215" s="32"/>
      <c r="CE215" s="32"/>
      <c r="CF215" s="32"/>
      <c r="CG215" s="32"/>
      <c r="CH215" s="32"/>
      <c r="CI215" s="32"/>
      <c r="CJ215" s="32"/>
      <c r="CK215" s="32"/>
      <c r="CL215" s="32"/>
      <c r="CM215" s="32"/>
      <c r="CN215" s="32"/>
    </row>
    <row r="216" spans="1:92" ht="18">
      <c r="A216" s="109">
        <v>214</v>
      </c>
      <c r="B216" s="23" t="s">
        <v>1264</v>
      </c>
      <c r="C216" s="111" t="s">
        <v>1082</v>
      </c>
      <c r="D216" s="110" t="s">
        <v>620</v>
      </c>
      <c r="E216" s="111" t="s">
        <v>1083</v>
      </c>
      <c r="F216" s="111" t="s">
        <v>176</v>
      </c>
      <c r="G216" s="26" t="s">
        <v>173</v>
      </c>
      <c r="H216" s="112" t="s">
        <v>1071</v>
      </c>
      <c r="I216" s="13"/>
      <c r="J216" s="14">
        <v>4308</v>
      </c>
      <c r="K216" s="130">
        <v>367.9</v>
      </c>
      <c r="L216" s="131">
        <v>81.03</v>
      </c>
      <c r="M216" s="131">
        <v>80.63</v>
      </c>
      <c r="N216" s="131">
        <v>77.19</v>
      </c>
      <c r="O216" s="39"/>
      <c r="P216" s="42" t="s">
        <v>420</v>
      </c>
      <c r="Q216" s="37" t="s">
        <v>270</v>
      </c>
      <c r="R216" s="75">
        <v>45</v>
      </c>
      <c r="S216" s="75">
        <v>50</v>
      </c>
      <c r="T216" s="75">
        <v>56</v>
      </c>
      <c r="U216" s="75">
        <v>62</v>
      </c>
      <c r="V216" s="75">
        <v>66</v>
      </c>
      <c r="W216" s="109">
        <v>279</v>
      </c>
      <c r="X216" s="94">
        <v>20000</v>
      </c>
      <c r="Y216" s="94">
        <v>35000</v>
      </c>
      <c r="Z216" s="94">
        <v>50000</v>
      </c>
      <c r="AA216" s="94">
        <v>80000</v>
      </c>
      <c r="AB216" s="94">
        <v>115000</v>
      </c>
      <c r="AC216" s="94">
        <v>170000</v>
      </c>
      <c r="AD216" s="94">
        <v>260000</v>
      </c>
      <c r="AE216" s="94">
        <v>375000</v>
      </c>
      <c r="AF216" s="94">
        <v>585000</v>
      </c>
      <c r="AG216" s="94">
        <v>800000</v>
      </c>
      <c r="AH216" s="94">
        <v>940000</v>
      </c>
      <c r="AI216" s="94">
        <v>1020000</v>
      </c>
      <c r="AJ216" s="94">
        <v>1050000</v>
      </c>
      <c r="AK216" s="32"/>
      <c r="AL216" s="113">
        <v>22000000</v>
      </c>
      <c r="AM216" s="95">
        <v>72000</v>
      </c>
      <c r="AN216" s="95">
        <v>6</v>
      </c>
      <c r="AO216" s="96">
        <v>144000</v>
      </c>
      <c r="AP216" s="96">
        <v>5</v>
      </c>
      <c r="AQ216" s="97">
        <v>432000</v>
      </c>
      <c r="AR216" s="134">
        <v>4</v>
      </c>
      <c r="AS216" s="135"/>
      <c r="AT216" s="135"/>
      <c r="AU216" s="113">
        <v>11520000</v>
      </c>
      <c r="AV216" s="113">
        <v>33520000</v>
      </c>
      <c r="AW216" s="113"/>
      <c r="AX216" s="113"/>
      <c r="AY216" s="113"/>
      <c r="AZ216" s="113"/>
      <c r="BA216" s="82" t="s">
        <v>639</v>
      </c>
      <c r="BB216" s="32"/>
      <c r="BC216" s="32"/>
      <c r="BD216" s="32"/>
      <c r="BE216" s="32"/>
      <c r="BF216" s="32"/>
      <c r="BG216" s="32"/>
      <c r="BH216" s="32"/>
      <c r="BI216" s="32"/>
      <c r="BJ216" s="32"/>
      <c r="BK216" s="32"/>
      <c r="BL216" s="32">
        <v>1</v>
      </c>
      <c r="BM216" s="32"/>
      <c r="BN216" s="32"/>
      <c r="BO216" s="32">
        <v>1</v>
      </c>
      <c r="BP216" s="32"/>
      <c r="BQ216" s="32"/>
      <c r="BR216" s="32"/>
      <c r="BS216" s="32"/>
      <c r="BT216" s="32"/>
      <c r="BU216" s="32"/>
      <c r="BV216" s="113" t="s">
        <v>1084</v>
      </c>
      <c r="BW216" s="113"/>
      <c r="BX216" s="113"/>
      <c r="BY216" s="113"/>
      <c r="BZ216" s="113"/>
      <c r="CA216" s="113"/>
      <c r="CB216" s="113"/>
      <c r="CC216" s="113"/>
      <c r="CD216" s="32"/>
      <c r="CE216" s="32"/>
      <c r="CF216" s="32"/>
      <c r="CG216" s="32"/>
      <c r="CH216" s="32"/>
      <c r="CI216" s="32"/>
      <c r="CJ216" s="32"/>
      <c r="CK216" s="32"/>
      <c r="CL216" s="32"/>
      <c r="CM216" s="32"/>
      <c r="CN216" s="32"/>
    </row>
    <row r="217" spans="1:92" ht="18">
      <c r="A217" s="109">
        <v>215</v>
      </c>
      <c r="B217" s="23" t="s">
        <v>1512</v>
      </c>
      <c r="C217" s="111" t="s">
        <v>1513</v>
      </c>
      <c r="D217" s="110" t="s">
        <v>115</v>
      </c>
      <c r="E217" s="111" t="s">
        <v>1514</v>
      </c>
      <c r="F217" s="111" t="s">
        <v>176</v>
      </c>
      <c r="G217" s="26" t="s">
        <v>173</v>
      </c>
      <c r="H217" s="112" t="s">
        <v>1491</v>
      </c>
      <c r="I217" s="13"/>
      <c r="J217" s="14">
        <v>4350</v>
      </c>
      <c r="K217" s="130">
        <v>363.4</v>
      </c>
      <c r="L217" s="131">
        <v>85.44</v>
      </c>
      <c r="M217" s="131">
        <v>75.98</v>
      </c>
      <c r="N217" s="131">
        <v>59.74</v>
      </c>
      <c r="O217" s="39"/>
      <c r="P217" s="42" t="s">
        <v>420</v>
      </c>
      <c r="Q217" s="37" t="s">
        <v>270</v>
      </c>
      <c r="R217" s="75">
        <v>45</v>
      </c>
      <c r="S217" s="75">
        <v>50</v>
      </c>
      <c r="T217" s="75">
        <v>56</v>
      </c>
      <c r="U217" s="75">
        <v>62</v>
      </c>
      <c r="V217" s="75">
        <v>66</v>
      </c>
      <c r="W217" s="109">
        <v>279</v>
      </c>
      <c r="X217" s="96">
        <v>20000</v>
      </c>
      <c r="Y217" s="96">
        <v>35000</v>
      </c>
      <c r="Z217" s="96">
        <v>50000</v>
      </c>
      <c r="AA217" s="105">
        <v>80000</v>
      </c>
      <c r="AB217" s="105">
        <v>115000</v>
      </c>
      <c r="AC217" s="105">
        <v>170000</v>
      </c>
      <c r="AD217" s="96">
        <v>260000</v>
      </c>
      <c r="AE217" s="96">
        <v>375000</v>
      </c>
      <c r="AF217" s="96">
        <v>585000</v>
      </c>
      <c r="AG217" s="96">
        <v>800000</v>
      </c>
      <c r="AH217" s="142">
        <v>940000</v>
      </c>
      <c r="AI217" s="142">
        <v>1020000</v>
      </c>
      <c r="AJ217" s="94">
        <v>1050000</v>
      </c>
      <c r="AK217" s="32"/>
      <c r="AL217" s="113">
        <v>22000000</v>
      </c>
      <c r="AM217" s="95">
        <v>72000</v>
      </c>
      <c r="AN217" s="95">
        <v>6</v>
      </c>
      <c r="AO217" s="96">
        <v>144000</v>
      </c>
      <c r="AP217" s="96">
        <v>5</v>
      </c>
      <c r="AQ217" s="97">
        <v>432000</v>
      </c>
      <c r="AR217" s="134">
        <v>4</v>
      </c>
      <c r="AS217" s="135"/>
      <c r="AT217" s="135"/>
      <c r="AU217" s="113">
        <v>11520000</v>
      </c>
      <c r="AV217" s="113">
        <v>33520000</v>
      </c>
      <c r="AW217" s="113"/>
      <c r="AX217" s="113"/>
      <c r="AY217" s="113"/>
      <c r="AZ217" s="113"/>
      <c r="BA217" s="82" t="s">
        <v>639</v>
      </c>
      <c r="BB217" s="32"/>
      <c r="BC217" s="32"/>
      <c r="BD217" s="32"/>
      <c r="BE217" s="32"/>
      <c r="BF217" s="32"/>
      <c r="BG217" s="32"/>
      <c r="BH217" s="32"/>
      <c r="BI217" s="32"/>
      <c r="BJ217" s="32"/>
      <c r="BK217" s="32"/>
      <c r="BL217" s="32"/>
      <c r="BM217" s="32"/>
      <c r="BN217" s="32"/>
      <c r="BO217" s="32"/>
      <c r="BP217" s="32"/>
      <c r="BQ217" s="32"/>
      <c r="BR217" s="32"/>
      <c r="BS217" s="32"/>
      <c r="BT217" s="32"/>
      <c r="BU217" s="32"/>
      <c r="BV217" s="113" t="s">
        <v>1515</v>
      </c>
      <c r="BW217" s="113"/>
      <c r="BX217" s="113"/>
      <c r="BY217" s="113"/>
      <c r="BZ217" s="113"/>
      <c r="CA217" s="113"/>
      <c r="CB217" s="113"/>
      <c r="CC217" s="113"/>
      <c r="CD217" s="32"/>
      <c r="CE217" s="32"/>
      <c r="CF217" s="32"/>
      <c r="CG217" s="32"/>
      <c r="CH217" s="32"/>
      <c r="CI217" s="32"/>
      <c r="CJ217" s="32"/>
      <c r="CK217" s="32"/>
      <c r="CL217" s="32"/>
      <c r="CM217" s="32"/>
      <c r="CN217" s="32"/>
    </row>
    <row r="218" spans="1:92" ht="18">
      <c r="A218" s="109">
        <v>216</v>
      </c>
      <c r="B218" s="23" t="s">
        <v>1428</v>
      </c>
      <c r="C218" s="111" t="s">
        <v>1429</v>
      </c>
      <c r="D218" s="110" t="s">
        <v>141</v>
      </c>
      <c r="E218" s="111" t="s">
        <v>1430</v>
      </c>
      <c r="F218" s="111" t="s">
        <v>176</v>
      </c>
      <c r="G218" s="26" t="s">
        <v>173</v>
      </c>
      <c r="H218" s="112" t="s">
        <v>1425</v>
      </c>
      <c r="I218" s="13"/>
      <c r="J218" s="14">
        <v>4372</v>
      </c>
      <c r="K218" s="130">
        <v>365.5</v>
      </c>
      <c r="L218" s="131">
        <v>88.35</v>
      </c>
      <c r="M218" s="131">
        <v>70.53</v>
      </c>
      <c r="N218" s="131">
        <v>62.21</v>
      </c>
      <c r="O218" s="39"/>
      <c r="P218" s="42" t="s">
        <v>420</v>
      </c>
      <c r="Q218" s="37">
        <v>30</v>
      </c>
      <c r="R218" s="37">
        <v>40</v>
      </c>
      <c r="S218" s="37">
        <v>45</v>
      </c>
      <c r="T218" s="37">
        <v>55</v>
      </c>
      <c r="U218" s="37">
        <v>60</v>
      </c>
      <c r="V218" s="37">
        <v>70</v>
      </c>
      <c r="W218" s="109">
        <v>300</v>
      </c>
      <c r="X218" s="96">
        <v>20000</v>
      </c>
      <c r="Y218" s="96">
        <v>35000</v>
      </c>
      <c r="Z218" s="96">
        <v>50000</v>
      </c>
      <c r="AA218" s="105">
        <v>80000</v>
      </c>
      <c r="AB218" s="105">
        <v>115000</v>
      </c>
      <c r="AC218" s="105">
        <v>170000</v>
      </c>
      <c r="AD218" s="96">
        <v>260000</v>
      </c>
      <c r="AE218" s="96">
        <v>375000</v>
      </c>
      <c r="AF218" s="96">
        <v>585000</v>
      </c>
      <c r="AG218" s="96">
        <v>800000</v>
      </c>
      <c r="AH218" s="142">
        <v>940000</v>
      </c>
      <c r="AI218" s="142">
        <v>1020000</v>
      </c>
      <c r="AJ218" s="94">
        <v>1050000</v>
      </c>
      <c r="AK218" s="32"/>
      <c r="AL218" s="113">
        <v>22000000</v>
      </c>
      <c r="AM218" s="95">
        <v>72000</v>
      </c>
      <c r="AN218" s="95">
        <v>6</v>
      </c>
      <c r="AO218" s="96">
        <v>144000</v>
      </c>
      <c r="AP218" s="96">
        <v>5</v>
      </c>
      <c r="AQ218" s="97">
        <v>432000</v>
      </c>
      <c r="AR218" s="134">
        <v>4</v>
      </c>
      <c r="AS218" s="135"/>
      <c r="AT218" s="135"/>
      <c r="AU218" s="113">
        <v>11520000</v>
      </c>
      <c r="AV218" s="113">
        <v>33520000</v>
      </c>
      <c r="AW218" s="113">
        <v>380</v>
      </c>
      <c r="AX218" s="113"/>
      <c r="AY218" s="113">
        <v>505</v>
      </c>
      <c r="AZ218" s="113"/>
      <c r="BA218" s="82" t="s">
        <v>639</v>
      </c>
      <c r="BB218" s="32"/>
      <c r="BC218" s="32"/>
      <c r="BD218" s="32"/>
      <c r="BE218" s="32"/>
      <c r="BF218" s="32"/>
      <c r="BG218" s="32"/>
      <c r="BH218" s="32"/>
      <c r="BI218" s="32"/>
      <c r="BJ218" s="32"/>
      <c r="BK218" s="32"/>
      <c r="BL218" s="32"/>
      <c r="BM218" s="32"/>
      <c r="BN218" s="32"/>
      <c r="BO218" s="32"/>
      <c r="BP218" s="32"/>
      <c r="BQ218" s="32"/>
      <c r="BR218" s="32"/>
      <c r="BS218" s="32"/>
      <c r="BT218" s="32"/>
      <c r="BU218" s="32"/>
      <c r="BV218" s="113" t="s">
        <v>802</v>
      </c>
      <c r="BW218" s="113"/>
      <c r="BX218" s="113"/>
      <c r="BY218" s="113"/>
      <c r="BZ218" s="113"/>
      <c r="CA218" s="113"/>
      <c r="CB218" s="113"/>
      <c r="CC218" s="113"/>
      <c r="CD218" s="32"/>
      <c r="CE218" s="32"/>
      <c r="CF218" s="32"/>
      <c r="CG218" s="32"/>
      <c r="CH218" s="32"/>
      <c r="CI218" s="32"/>
      <c r="CJ218" s="32"/>
      <c r="CK218" s="32"/>
      <c r="CL218" s="32"/>
      <c r="CM218" s="32"/>
      <c r="CN218" s="32"/>
    </row>
    <row r="219" spans="1:92" ht="18">
      <c r="A219" s="109">
        <v>217</v>
      </c>
      <c r="B219" s="23" t="s">
        <v>1367</v>
      </c>
      <c r="C219" s="111" t="s">
        <v>1360</v>
      </c>
      <c r="D219" s="110" t="s">
        <v>1288</v>
      </c>
      <c r="E219" s="111" t="s">
        <v>1361</v>
      </c>
      <c r="F219" s="111" t="s">
        <v>176</v>
      </c>
      <c r="G219" s="26" t="s">
        <v>173</v>
      </c>
      <c r="H219" s="112" t="s">
        <v>1368</v>
      </c>
      <c r="I219" s="13"/>
      <c r="J219" s="14">
        <v>4377</v>
      </c>
      <c r="K219" s="130">
        <v>373.9</v>
      </c>
      <c r="L219" s="131">
        <v>82.03</v>
      </c>
      <c r="M219" s="131">
        <v>69.13</v>
      </c>
      <c r="N219" s="131">
        <v>67.63</v>
      </c>
      <c r="O219" s="39"/>
      <c r="P219" s="42" t="s">
        <v>420</v>
      </c>
      <c r="Q219" s="37" t="s">
        <v>270</v>
      </c>
      <c r="R219" s="75">
        <v>45</v>
      </c>
      <c r="S219" s="75">
        <v>50</v>
      </c>
      <c r="T219" s="75">
        <v>56</v>
      </c>
      <c r="U219" s="75">
        <v>62</v>
      </c>
      <c r="V219" s="75">
        <v>66</v>
      </c>
      <c r="W219" s="109">
        <v>279</v>
      </c>
      <c r="X219" s="96">
        <v>20000</v>
      </c>
      <c r="Y219" s="96">
        <v>35000</v>
      </c>
      <c r="Z219" s="96">
        <v>50000</v>
      </c>
      <c r="AA219" s="94">
        <v>80000</v>
      </c>
      <c r="AB219" s="94">
        <v>115000</v>
      </c>
      <c r="AC219" s="94">
        <v>170000</v>
      </c>
      <c r="AD219" s="94">
        <v>260000</v>
      </c>
      <c r="AE219" s="94">
        <v>375000</v>
      </c>
      <c r="AF219" s="94">
        <v>585000</v>
      </c>
      <c r="AG219" s="94">
        <v>800000</v>
      </c>
      <c r="AH219" s="94">
        <v>940000</v>
      </c>
      <c r="AI219" s="94">
        <v>1020000</v>
      </c>
      <c r="AJ219" s="94">
        <v>1050000</v>
      </c>
      <c r="AK219" s="32"/>
      <c r="AL219" s="113">
        <v>22000000</v>
      </c>
      <c r="AM219" s="95">
        <v>58500</v>
      </c>
      <c r="AN219" s="95">
        <v>6</v>
      </c>
      <c r="AO219" s="96">
        <v>117000</v>
      </c>
      <c r="AP219" s="96">
        <v>5</v>
      </c>
      <c r="AQ219" s="97">
        <v>351000</v>
      </c>
      <c r="AR219" s="134">
        <v>4</v>
      </c>
      <c r="AS219" s="135"/>
      <c r="AT219" s="135"/>
      <c r="AU219" s="113">
        <v>9360000</v>
      </c>
      <c r="AV219" s="113">
        <v>31360000</v>
      </c>
      <c r="AW219" s="113">
        <v>389</v>
      </c>
      <c r="AX219" s="113"/>
      <c r="AY219" s="113">
        <v>519</v>
      </c>
      <c r="AZ219" s="113"/>
      <c r="BA219" s="82" t="s">
        <v>639</v>
      </c>
      <c r="BB219" s="32"/>
      <c r="BC219" s="32"/>
      <c r="BD219" s="32"/>
      <c r="BE219" s="32"/>
      <c r="BF219" s="32"/>
      <c r="BG219" s="32"/>
      <c r="BH219" s="32"/>
      <c r="BI219" s="32"/>
      <c r="BJ219" s="32"/>
      <c r="BK219" s="32"/>
      <c r="BL219" s="32">
        <v>1</v>
      </c>
      <c r="BM219" s="32"/>
      <c r="BN219" s="32"/>
      <c r="BO219" s="32">
        <v>1</v>
      </c>
      <c r="BP219" s="32"/>
      <c r="BQ219" s="32"/>
      <c r="BR219" s="32"/>
      <c r="BS219" s="32"/>
      <c r="BT219" s="32"/>
      <c r="BU219" s="32"/>
      <c r="BV219" s="113"/>
      <c r="BW219" s="113"/>
      <c r="BX219" s="113"/>
      <c r="BY219" s="113"/>
      <c r="BZ219" s="113"/>
      <c r="CA219" s="113"/>
      <c r="CB219" s="113"/>
      <c r="CC219" s="113"/>
      <c r="CD219" s="32"/>
      <c r="CE219" s="32"/>
      <c r="CF219" s="32"/>
      <c r="CG219" s="32"/>
      <c r="CH219" s="32"/>
      <c r="CI219" s="32"/>
      <c r="CJ219" s="32"/>
      <c r="CK219" s="32"/>
      <c r="CL219" s="32"/>
      <c r="CM219" s="32"/>
      <c r="CN219" s="32"/>
    </row>
    <row r="220" spans="1:92" ht="18">
      <c r="A220" s="109">
        <v>218</v>
      </c>
      <c r="B220" s="23" t="s">
        <v>1659</v>
      </c>
      <c r="C220" s="111" t="s">
        <v>1660</v>
      </c>
      <c r="D220" s="110" t="s">
        <v>662</v>
      </c>
      <c r="E220" s="111" t="s">
        <v>1661</v>
      </c>
      <c r="F220" s="111" t="s">
        <v>176</v>
      </c>
      <c r="G220" s="26" t="s">
        <v>173</v>
      </c>
      <c r="H220" s="112" t="s">
        <v>1646</v>
      </c>
      <c r="I220" s="13"/>
      <c r="J220" s="14">
        <v>4393</v>
      </c>
      <c r="K220" s="130">
        <v>379.4</v>
      </c>
      <c r="L220" s="131">
        <v>83.12</v>
      </c>
      <c r="M220" s="131">
        <v>70.3</v>
      </c>
      <c r="N220" s="131">
        <v>64.25</v>
      </c>
      <c r="O220" s="75"/>
      <c r="P220" s="42" t="s">
        <v>420</v>
      </c>
      <c r="Q220" s="16" t="s">
        <v>270</v>
      </c>
      <c r="R220" s="37" t="s">
        <v>607</v>
      </c>
      <c r="S220" s="37" t="s">
        <v>607</v>
      </c>
      <c r="T220" s="37" t="s">
        <v>607</v>
      </c>
      <c r="U220" s="37" t="s">
        <v>607</v>
      </c>
      <c r="V220" s="37" t="s">
        <v>607</v>
      </c>
      <c r="W220" s="109"/>
      <c r="X220" s="94"/>
      <c r="Y220" s="94"/>
      <c r="Z220" s="94"/>
      <c r="AA220" s="94"/>
      <c r="AB220" s="94"/>
      <c r="AC220" s="94"/>
      <c r="AD220" s="94"/>
      <c r="AE220" s="94"/>
      <c r="AF220" s="94"/>
      <c r="AG220" s="94"/>
      <c r="AH220" s="94"/>
      <c r="AI220" s="94"/>
      <c r="AJ220" s="94"/>
      <c r="AK220" s="32"/>
      <c r="AL220" s="113"/>
      <c r="AM220" s="95"/>
      <c r="AN220" s="95"/>
      <c r="AO220" s="96"/>
      <c r="AP220" s="96"/>
      <c r="AQ220" s="97"/>
      <c r="AR220" s="134"/>
      <c r="AS220" s="135"/>
      <c r="AT220" s="135"/>
      <c r="AU220" s="113"/>
      <c r="AV220" s="113"/>
      <c r="AW220" s="113"/>
      <c r="AX220" s="113"/>
      <c r="AY220" s="113"/>
      <c r="AZ220" s="113"/>
      <c r="BA220" s="82" t="s">
        <v>1099</v>
      </c>
      <c r="BB220" s="32"/>
      <c r="BC220" s="32"/>
      <c r="BD220" s="32"/>
      <c r="BE220" s="32"/>
      <c r="BF220" s="32"/>
      <c r="BG220" s="32"/>
      <c r="BH220" s="32"/>
      <c r="BI220" s="32"/>
      <c r="BJ220" s="32"/>
      <c r="BK220" s="32"/>
      <c r="BL220" s="32"/>
      <c r="BM220" s="32"/>
      <c r="BN220" s="32"/>
      <c r="BO220" s="32"/>
      <c r="BP220" s="32"/>
      <c r="BQ220" s="32"/>
      <c r="BR220" s="32"/>
      <c r="BS220" s="32"/>
      <c r="BT220" s="32"/>
      <c r="BU220" s="32"/>
      <c r="BV220" s="113" t="s">
        <v>1363</v>
      </c>
      <c r="BW220" s="113"/>
      <c r="BX220" s="113"/>
      <c r="BY220" s="113"/>
      <c r="BZ220" s="113"/>
      <c r="CA220" s="113"/>
      <c r="CB220" s="113"/>
      <c r="CC220" s="113"/>
      <c r="CD220" s="32"/>
      <c r="CE220" s="32"/>
      <c r="CF220" s="32"/>
      <c r="CG220" s="32"/>
      <c r="CH220" s="32"/>
      <c r="CI220" s="32"/>
      <c r="CJ220" s="32"/>
      <c r="CK220" s="32"/>
      <c r="CL220" s="32"/>
      <c r="CM220" s="32"/>
      <c r="CN220" s="32"/>
    </row>
    <row r="221" spans="1:92" ht="18">
      <c r="A221" s="109">
        <v>219</v>
      </c>
      <c r="B221" s="23" t="s">
        <v>1265</v>
      </c>
      <c r="C221" s="111" t="s">
        <v>1001</v>
      </c>
      <c r="D221" s="110" t="s">
        <v>273</v>
      </c>
      <c r="E221" s="111" t="s">
        <v>1002</v>
      </c>
      <c r="F221" s="111" t="s">
        <v>176</v>
      </c>
      <c r="G221" s="26" t="s">
        <v>173</v>
      </c>
      <c r="H221" s="112" t="s">
        <v>992</v>
      </c>
      <c r="I221" s="13">
        <v>4551</v>
      </c>
      <c r="J221" s="14">
        <v>4438</v>
      </c>
      <c r="K221" s="130">
        <v>400.7</v>
      </c>
      <c r="L221" s="131">
        <v>72.45</v>
      </c>
      <c r="M221" s="131">
        <v>59.33</v>
      </c>
      <c r="N221" s="131">
        <v>84.95</v>
      </c>
      <c r="O221" s="75">
        <v>8.5</v>
      </c>
      <c r="P221" s="42" t="s">
        <v>420</v>
      </c>
      <c r="Q221" s="75">
        <v>40</v>
      </c>
      <c r="R221" s="75">
        <v>45</v>
      </c>
      <c r="S221" s="75">
        <v>45</v>
      </c>
      <c r="T221" s="75">
        <v>48</v>
      </c>
      <c r="U221" s="75">
        <v>50</v>
      </c>
      <c r="V221" s="75">
        <v>52</v>
      </c>
      <c r="W221" s="109">
        <v>280</v>
      </c>
      <c r="X221" s="94">
        <v>20000</v>
      </c>
      <c r="Y221" s="94">
        <v>35000</v>
      </c>
      <c r="Z221" s="94">
        <v>50000</v>
      </c>
      <c r="AA221" s="94">
        <v>65000</v>
      </c>
      <c r="AB221" s="94">
        <v>110000</v>
      </c>
      <c r="AC221" s="94">
        <v>180000</v>
      </c>
      <c r="AD221" s="94">
        <v>275000</v>
      </c>
      <c r="AE221" s="94">
        <v>390000</v>
      </c>
      <c r="AF221" s="94">
        <v>500000</v>
      </c>
      <c r="AG221" s="94">
        <v>610000</v>
      </c>
      <c r="AH221" s="94">
        <v>700000</v>
      </c>
      <c r="AI221" s="94">
        <v>765000</v>
      </c>
      <c r="AJ221" s="94">
        <v>800000</v>
      </c>
      <c r="AK221" s="32"/>
      <c r="AL221" s="113">
        <v>18000000</v>
      </c>
      <c r="AM221" s="95">
        <v>72000</v>
      </c>
      <c r="AN221" s="95">
        <v>6</v>
      </c>
      <c r="AO221" s="96">
        <v>144000</v>
      </c>
      <c r="AP221" s="96">
        <v>5</v>
      </c>
      <c r="AQ221" s="97">
        <v>432000</v>
      </c>
      <c r="AR221" s="134">
        <v>4</v>
      </c>
      <c r="AS221" s="135"/>
      <c r="AT221" s="135"/>
      <c r="AU221" s="113">
        <v>11520000</v>
      </c>
      <c r="AV221" s="113">
        <v>29520000</v>
      </c>
      <c r="AW221" s="113">
        <v>416</v>
      </c>
      <c r="AX221" s="113"/>
      <c r="AY221" s="113">
        <v>556</v>
      </c>
      <c r="AZ221" s="113"/>
      <c r="BA221" s="82" t="s">
        <v>639</v>
      </c>
      <c r="BB221" s="32"/>
      <c r="BC221" s="32"/>
      <c r="BD221" s="32"/>
      <c r="BE221" s="32"/>
      <c r="BF221" s="32"/>
      <c r="BG221" s="32"/>
      <c r="BH221" s="32"/>
      <c r="BI221" s="32"/>
      <c r="BJ221" s="32"/>
      <c r="BK221" s="32"/>
      <c r="BL221" s="32">
        <v>1</v>
      </c>
      <c r="BM221" s="32"/>
      <c r="BN221" s="32"/>
      <c r="BO221" s="32"/>
      <c r="BP221" s="32"/>
      <c r="BQ221" s="32"/>
      <c r="BR221" s="32"/>
      <c r="BS221" s="32"/>
      <c r="BT221" s="32"/>
      <c r="BU221" s="32"/>
      <c r="BV221" s="113" t="s">
        <v>113</v>
      </c>
      <c r="BW221" s="113"/>
      <c r="BX221" s="113"/>
      <c r="BY221" s="113">
        <v>1</v>
      </c>
      <c r="BZ221" s="113">
        <v>9</v>
      </c>
      <c r="CA221" s="113"/>
      <c r="CB221" s="113"/>
      <c r="CC221" s="113"/>
      <c r="CD221" s="32"/>
      <c r="CE221" s="32"/>
      <c r="CF221" s="32"/>
      <c r="CG221" s="32"/>
      <c r="CH221" s="32"/>
      <c r="CI221" s="32"/>
      <c r="CJ221" s="32"/>
      <c r="CK221" s="32"/>
      <c r="CL221" s="32"/>
      <c r="CM221" s="32"/>
      <c r="CN221" s="32"/>
    </row>
    <row r="222" spans="1:92" ht="18">
      <c r="A222" s="109">
        <v>220</v>
      </c>
      <c r="B222" s="23" t="s">
        <v>1266</v>
      </c>
      <c r="C222" s="111" t="s">
        <v>1036</v>
      </c>
      <c r="D222" s="110" t="s">
        <v>1037</v>
      </c>
      <c r="E222" s="111" t="s">
        <v>1038</v>
      </c>
      <c r="F222" s="111" t="s">
        <v>176</v>
      </c>
      <c r="G222" s="26" t="s">
        <v>173</v>
      </c>
      <c r="H222" s="112" t="s">
        <v>1031</v>
      </c>
      <c r="I222" s="13"/>
      <c r="J222" s="14">
        <v>4464</v>
      </c>
      <c r="K222" s="126">
        <v>375.7</v>
      </c>
      <c r="L222" s="127">
        <v>81.03</v>
      </c>
      <c r="M222" s="127">
        <v>85.47</v>
      </c>
      <c r="N222" s="127">
        <v>61.71</v>
      </c>
      <c r="O222" s="20"/>
      <c r="P222" s="42" t="s">
        <v>420</v>
      </c>
      <c r="Q222" s="75">
        <v>40</v>
      </c>
      <c r="R222" s="75">
        <v>30</v>
      </c>
      <c r="S222" s="75">
        <v>35</v>
      </c>
      <c r="T222" s="75">
        <v>40</v>
      </c>
      <c r="U222" s="75">
        <v>50</v>
      </c>
      <c r="V222" s="75">
        <v>55</v>
      </c>
      <c r="W222" s="109">
        <v>250</v>
      </c>
      <c r="X222" s="100">
        <v>20000</v>
      </c>
      <c r="Y222" s="100">
        <v>35000</v>
      </c>
      <c r="Z222" s="100">
        <v>50000</v>
      </c>
      <c r="AA222" s="32">
        <v>65000</v>
      </c>
      <c r="AB222" s="32">
        <v>110000</v>
      </c>
      <c r="AC222" s="32">
        <v>180000</v>
      </c>
      <c r="AD222" s="32">
        <v>275000</v>
      </c>
      <c r="AE222" s="32">
        <v>390000</v>
      </c>
      <c r="AF222" s="32">
        <v>500000</v>
      </c>
      <c r="AG222" s="32">
        <v>610000</v>
      </c>
      <c r="AH222" s="94">
        <v>700000</v>
      </c>
      <c r="AI222" s="94">
        <v>765000</v>
      </c>
      <c r="AJ222" s="94">
        <v>800000</v>
      </c>
      <c r="AK222" s="17"/>
      <c r="AL222" s="113">
        <v>18000000</v>
      </c>
      <c r="AM222" s="95">
        <v>60000</v>
      </c>
      <c r="AN222" s="95">
        <v>6</v>
      </c>
      <c r="AO222" s="96">
        <v>120000</v>
      </c>
      <c r="AP222" s="96">
        <v>5</v>
      </c>
      <c r="AQ222" s="97">
        <v>360000</v>
      </c>
      <c r="AR222" s="134">
        <v>4</v>
      </c>
      <c r="AS222" s="135"/>
      <c r="AT222" s="135"/>
      <c r="AU222" s="113">
        <v>9600000</v>
      </c>
      <c r="AV222" s="113">
        <v>27600000</v>
      </c>
      <c r="AW222" s="113"/>
      <c r="AX222" s="113"/>
      <c r="AY222" s="113"/>
      <c r="AZ222" s="113"/>
      <c r="BA222" s="82" t="s">
        <v>641</v>
      </c>
      <c r="BB222" s="32"/>
      <c r="BC222" s="32"/>
      <c r="BD222" s="32"/>
      <c r="BE222" s="32"/>
      <c r="BF222" s="32"/>
      <c r="BG222" s="32"/>
      <c r="BH222" s="32"/>
      <c r="BI222" s="32"/>
      <c r="BJ222" s="32"/>
      <c r="BK222" s="32"/>
      <c r="BL222" s="32"/>
      <c r="BM222" s="32"/>
      <c r="BN222" s="32">
        <v>1</v>
      </c>
      <c r="BO222" s="32"/>
      <c r="BP222" s="32"/>
      <c r="BQ222" s="32"/>
      <c r="BR222" s="32"/>
      <c r="BS222" s="32"/>
      <c r="BT222" s="32"/>
      <c r="BU222" s="32"/>
      <c r="BV222" s="81" t="s">
        <v>1043</v>
      </c>
      <c r="BW222" s="77"/>
      <c r="BX222" s="77"/>
      <c r="BY222" s="77"/>
      <c r="BZ222" s="77"/>
      <c r="CA222" s="77"/>
      <c r="CB222" s="113"/>
      <c r="CC222" s="113"/>
      <c r="CD222" s="32"/>
      <c r="CE222" s="32"/>
      <c r="CF222" s="32"/>
      <c r="CG222" s="32"/>
      <c r="CH222" s="32"/>
      <c r="CI222" s="32"/>
      <c r="CJ222" s="32"/>
      <c r="CK222" s="32"/>
      <c r="CL222" s="32"/>
      <c r="CM222" s="32"/>
      <c r="CN222" s="32"/>
    </row>
    <row r="223" spans="1:92" ht="18">
      <c r="A223" s="109">
        <v>221</v>
      </c>
      <c r="B223" s="23" t="s">
        <v>289</v>
      </c>
      <c r="C223" s="111" t="s">
        <v>290</v>
      </c>
      <c r="D223" s="110" t="s">
        <v>1129</v>
      </c>
      <c r="E223" s="111" t="s">
        <v>385</v>
      </c>
      <c r="F223" s="111" t="s">
        <v>176</v>
      </c>
      <c r="G223" s="26" t="s">
        <v>173</v>
      </c>
      <c r="H223" s="112" t="s">
        <v>606</v>
      </c>
      <c r="I223" s="13">
        <v>4517</v>
      </c>
      <c r="J223" s="14">
        <v>4515</v>
      </c>
      <c r="K223" s="126">
        <v>376.9</v>
      </c>
      <c r="L223" s="127">
        <v>82.25</v>
      </c>
      <c r="M223" s="127">
        <v>81.760000000000005</v>
      </c>
      <c r="N223" s="127">
        <v>59.55</v>
      </c>
      <c r="O223" s="20"/>
      <c r="P223" s="42" t="s">
        <v>420</v>
      </c>
      <c r="Q223" s="16">
        <v>50</v>
      </c>
      <c r="R223" s="16">
        <v>15</v>
      </c>
      <c r="S223" s="16">
        <v>18</v>
      </c>
      <c r="T223" s="16">
        <v>24</v>
      </c>
      <c r="U223" s="16">
        <v>38</v>
      </c>
      <c r="V223" s="16">
        <v>45</v>
      </c>
      <c r="W223" s="109">
        <v>190</v>
      </c>
      <c r="X223" s="145">
        <v>13400</v>
      </c>
      <c r="Y223" s="145">
        <v>21800</v>
      </c>
      <c r="Z223" s="145">
        <v>34900</v>
      </c>
      <c r="AA223" s="145">
        <v>52300</v>
      </c>
      <c r="AB223" s="145">
        <v>75600</v>
      </c>
      <c r="AC223" s="145">
        <v>112000</v>
      </c>
      <c r="AD223" s="105">
        <v>165500</v>
      </c>
      <c r="AE223" s="105">
        <v>245000</v>
      </c>
      <c r="AF223" s="105">
        <v>362500</v>
      </c>
      <c r="AG223" s="105">
        <v>523000</v>
      </c>
      <c r="AH223" s="105">
        <v>669000</v>
      </c>
      <c r="AI223" s="105">
        <v>771000</v>
      </c>
      <c r="AJ223" s="146">
        <v>522000</v>
      </c>
      <c r="AK223" s="17"/>
      <c r="AL223" s="113"/>
      <c r="AM223" s="95">
        <v>60000</v>
      </c>
      <c r="AN223" s="95">
        <v>6</v>
      </c>
      <c r="AO223" s="96">
        <v>120000</v>
      </c>
      <c r="AP223" s="96">
        <v>5</v>
      </c>
      <c r="AQ223" s="97">
        <v>360000</v>
      </c>
      <c r="AR223" s="134">
        <v>4</v>
      </c>
      <c r="AS223" s="135"/>
      <c r="AT223" s="135"/>
      <c r="AU223" s="113">
        <v>9600000</v>
      </c>
      <c r="AV223" s="113"/>
      <c r="AW223" s="113">
        <v>392</v>
      </c>
      <c r="AX223" s="113"/>
      <c r="AY223" s="113">
        <v>524</v>
      </c>
      <c r="AZ223" s="113"/>
      <c r="BA223" s="113" t="s">
        <v>639</v>
      </c>
      <c r="BB223" s="32"/>
      <c r="BC223" s="32"/>
      <c r="BD223" s="32"/>
      <c r="BE223" s="32"/>
      <c r="BF223" s="32"/>
      <c r="BG223" s="32"/>
      <c r="BH223" s="32"/>
      <c r="BI223" s="32"/>
      <c r="BJ223" s="32"/>
      <c r="BK223" s="32"/>
      <c r="BL223" s="32">
        <v>1</v>
      </c>
      <c r="BM223" s="32"/>
      <c r="BN223" s="32"/>
      <c r="BO223" s="32"/>
      <c r="BP223" s="32"/>
      <c r="BQ223" s="32"/>
      <c r="BR223" s="32"/>
      <c r="BS223" s="32"/>
      <c r="BT223" s="32">
        <v>1</v>
      </c>
      <c r="BU223" s="32"/>
      <c r="BV223" s="81" t="s">
        <v>1267</v>
      </c>
      <c r="BW223" s="77"/>
      <c r="BX223" s="77"/>
      <c r="BY223" s="113">
        <v>1</v>
      </c>
      <c r="BZ223" s="113">
        <v>9</v>
      </c>
      <c r="CA223" s="113"/>
      <c r="CB223" s="113"/>
      <c r="CC223" s="113"/>
      <c r="CD223" s="32"/>
      <c r="CE223" s="32"/>
      <c r="CF223" s="32"/>
      <c r="CG223" s="32"/>
      <c r="CH223" s="32"/>
      <c r="CI223" s="32"/>
      <c r="CJ223" s="32"/>
      <c r="CK223" s="32"/>
      <c r="CL223" s="32"/>
      <c r="CM223" s="32"/>
      <c r="CN223" s="32"/>
    </row>
    <row r="224" spans="1:92" ht="18">
      <c r="A224" s="109">
        <v>222</v>
      </c>
      <c r="B224" s="23" t="s">
        <v>1598</v>
      </c>
      <c r="C224" s="111" t="s">
        <v>1599</v>
      </c>
      <c r="D224" s="110" t="s">
        <v>1600</v>
      </c>
      <c r="E224" s="111" t="s">
        <v>1601</v>
      </c>
      <c r="F224" s="111" t="s">
        <v>176</v>
      </c>
      <c r="G224" s="26" t="s">
        <v>173</v>
      </c>
      <c r="H224" s="112" t="s">
        <v>1561</v>
      </c>
      <c r="I224" s="13"/>
      <c r="J224" s="14">
        <v>4565</v>
      </c>
      <c r="K224" s="126">
        <v>379.2</v>
      </c>
      <c r="L224" s="127">
        <v>88.43</v>
      </c>
      <c r="M224" s="127">
        <v>50.26</v>
      </c>
      <c r="N224" s="127">
        <v>55.59</v>
      </c>
      <c r="O224" s="39"/>
      <c r="P224" s="42" t="s">
        <v>420</v>
      </c>
      <c r="Q224" s="17">
        <v>40</v>
      </c>
      <c r="R224" s="17">
        <v>45</v>
      </c>
      <c r="S224" s="17">
        <v>45</v>
      </c>
      <c r="T224" s="17">
        <v>48</v>
      </c>
      <c r="U224" s="17">
        <v>50</v>
      </c>
      <c r="V224" s="17">
        <v>52</v>
      </c>
      <c r="W224" s="109">
        <v>280</v>
      </c>
      <c r="X224" s="96"/>
      <c r="Y224" s="96"/>
      <c r="Z224" s="96"/>
      <c r="AA224" s="96"/>
      <c r="AB224" s="96"/>
      <c r="AC224" s="96"/>
      <c r="AD224" s="105"/>
      <c r="AE224" s="105"/>
      <c r="AF224" s="94"/>
      <c r="AG224" s="94"/>
      <c r="AH224" s="94">
        <v>940000</v>
      </c>
      <c r="AI224" s="94">
        <v>1020000</v>
      </c>
      <c r="AJ224" s="32"/>
      <c r="AK224" s="137"/>
      <c r="AL224" s="113"/>
      <c r="AM224" s="95"/>
      <c r="AN224" s="95"/>
      <c r="AO224" s="96"/>
      <c r="AP224" s="96"/>
      <c r="AQ224" s="97"/>
      <c r="AR224" s="134"/>
      <c r="AS224" s="135"/>
      <c r="AT224" s="135"/>
      <c r="AU224" s="113"/>
      <c r="AV224" s="113"/>
      <c r="AW224" s="113"/>
      <c r="AX224" s="113"/>
      <c r="AY224" s="113"/>
      <c r="AZ224" s="113"/>
      <c r="BA224" s="82" t="s">
        <v>641</v>
      </c>
      <c r="BB224" s="32"/>
      <c r="BC224" s="32"/>
      <c r="BD224" s="32"/>
      <c r="BE224" s="32"/>
      <c r="BF224" s="32"/>
      <c r="BG224" s="32"/>
      <c r="BH224" s="32"/>
      <c r="BI224" s="32"/>
      <c r="BJ224" s="32"/>
      <c r="BK224" s="32"/>
      <c r="BL224" s="32"/>
      <c r="BM224" s="32"/>
      <c r="BN224" s="32"/>
      <c r="BO224" s="32"/>
      <c r="BP224" s="32"/>
      <c r="BQ224" s="32"/>
      <c r="BR224" s="32"/>
      <c r="BS224" s="32"/>
      <c r="BT224" s="32"/>
      <c r="BU224" s="32"/>
      <c r="BV224" s="113" t="s">
        <v>1602</v>
      </c>
      <c r="BW224" s="113"/>
      <c r="BX224" s="113"/>
      <c r="BY224" s="113"/>
      <c r="BZ224" s="113"/>
      <c r="CA224" s="113"/>
      <c r="CB224" s="113"/>
      <c r="CC224" s="113"/>
      <c r="CD224" s="32"/>
      <c r="CE224" s="32"/>
      <c r="CF224" s="32"/>
      <c r="CG224" s="32"/>
      <c r="CH224" s="32"/>
      <c r="CI224" s="32"/>
      <c r="CJ224" s="32"/>
      <c r="CK224" s="32"/>
      <c r="CL224" s="32"/>
      <c r="CM224" s="32"/>
      <c r="CN224" s="32"/>
    </row>
    <row r="225" spans="1:92" ht="18">
      <c r="A225" s="109">
        <v>223</v>
      </c>
      <c r="B225" s="23" t="s">
        <v>1543</v>
      </c>
      <c r="C225" s="111" t="s">
        <v>1544</v>
      </c>
      <c r="D225" s="110" t="s">
        <v>102</v>
      </c>
      <c r="E225" s="111" t="s">
        <v>1545</v>
      </c>
      <c r="F225" s="111" t="s">
        <v>176</v>
      </c>
      <c r="G225" s="26" t="s">
        <v>173</v>
      </c>
      <c r="H225" s="112" t="s">
        <v>1529</v>
      </c>
      <c r="I225" s="13"/>
      <c r="J225" s="14">
        <v>4571</v>
      </c>
      <c r="K225" s="130">
        <v>375.2</v>
      </c>
      <c r="L225" s="131">
        <v>81.53</v>
      </c>
      <c r="M225" s="131">
        <v>78.84</v>
      </c>
      <c r="N225" s="131">
        <v>60.91</v>
      </c>
      <c r="O225" s="39"/>
      <c r="P225" s="42" t="s">
        <v>420</v>
      </c>
      <c r="Q225" s="37" t="s">
        <v>270</v>
      </c>
      <c r="R225" s="37">
        <v>45</v>
      </c>
      <c r="S225" s="37">
        <v>50</v>
      </c>
      <c r="T225" s="37">
        <v>56</v>
      </c>
      <c r="U225" s="37">
        <v>62</v>
      </c>
      <c r="V225" s="37">
        <v>66</v>
      </c>
      <c r="W225" s="109">
        <v>279</v>
      </c>
      <c r="X225" s="96"/>
      <c r="Y225" s="96"/>
      <c r="Z225" s="96"/>
      <c r="AA225" s="96"/>
      <c r="AB225" s="96"/>
      <c r="AC225" s="96"/>
      <c r="AD225" s="105"/>
      <c r="AE225" s="105"/>
      <c r="AF225" s="94"/>
      <c r="AG225" s="94"/>
      <c r="AH225" s="94"/>
      <c r="AI225" s="94"/>
      <c r="AJ225" s="32"/>
      <c r="AK225" s="137"/>
      <c r="AL225" s="113"/>
      <c r="AM225" s="95"/>
      <c r="AN225" s="95"/>
      <c r="AO225" s="96"/>
      <c r="AP225" s="96"/>
      <c r="AQ225" s="97"/>
      <c r="AR225" s="134"/>
      <c r="AS225" s="135"/>
      <c r="AT225" s="135"/>
      <c r="AU225" s="113"/>
      <c r="AV225" s="113"/>
      <c r="AW225" s="113"/>
      <c r="AX225" s="113"/>
      <c r="AY225" s="113"/>
      <c r="AZ225" s="113"/>
      <c r="BA225" s="82" t="s">
        <v>1000</v>
      </c>
      <c r="BB225" s="32"/>
      <c r="BC225" s="32"/>
      <c r="BD225" s="32"/>
      <c r="BE225" s="32"/>
      <c r="BF225" s="32"/>
      <c r="BG225" s="32"/>
      <c r="BH225" s="32"/>
      <c r="BI225" s="32"/>
      <c r="BJ225" s="32"/>
      <c r="BK225" s="32"/>
      <c r="BL225" s="32"/>
      <c r="BM225" s="32"/>
      <c r="BN225" s="32"/>
      <c r="BO225" s="32"/>
      <c r="BP225" s="32"/>
      <c r="BQ225" s="32"/>
      <c r="BR225" s="32"/>
      <c r="BS225" s="32"/>
      <c r="BT225" s="32"/>
      <c r="BU225" s="32"/>
      <c r="BV225" s="113"/>
      <c r="BW225" s="113"/>
      <c r="BX225" s="113"/>
      <c r="BY225" s="113"/>
      <c r="BZ225" s="113"/>
      <c r="CA225" s="113"/>
      <c r="CB225" s="113"/>
      <c r="CC225" s="113"/>
      <c r="CD225" s="32"/>
      <c r="CE225" s="32"/>
      <c r="CF225" s="32"/>
      <c r="CG225" s="32"/>
      <c r="CH225" s="32"/>
      <c r="CI225" s="32"/>
      <c r="CJ225" s="32"/>
      <c r="CK225" s="32"/>
      <c r="CL225" s="32"/>
      <c r="CM225" s="32"/>
      <c r="CN225" s="32"/>
    </row>
    <row r="226" spans="1:92" ht="18">
      <c r="A226" s="109">
        <v>224</v>
      </c>
      <c r="B226" s="23" t="s">
        <v>1478</v>
      </c>
      <c r="C226" s="111" t="s">
        <v>1465</v>
      </c>
      <c r="D226" s="110" t="s">
        <v>158</v>
      </c>
      <c r="E226" s="111" t="s">
        <v>1466</v>
      </c>
      <c r="F226" s="111" t="s">
        <v>176</v>
      </c>
      <c r="G226" s="26" t="s">
        <v>173</v>
      </c>
      <c r="H226" s="112" t="s">
        <v>1443</v>
      </c>
      <c r="I226" s="13"/>
      <c r="J226" s="14">
        <v>4572</v>
      </c>
      <c r="K226" s="130">
        <v>358.6</v>
      </c>
      <c r="L226" s="131">
        <v>84.54</v>
      </c>
      <c r="M226" s="131">
        <v>85.32</v>
      </c>
      <c r="N226" s="131">
        <v>77.849999999999994</v>
      </c>
      <c r="O226" s="39"/>
      <c r="P226" s="42" t="s">
        <v>420</v>
      </c>
      <c r="Q226" s="37" t="s">
        <v>270</v>
      </c>
      <c r="R226" s="37">
        <v>40</v>
      </c>
      <c r="S226" s="37">
        <v>45</v>
      </c>
      <c r="T226" s="37">
        <v>60</v>
      </c>
      <c r="U226" s="37">
        <v>65</v>
      </c>
      <c r="V226" s="37">
        <v>70</v>
      </c>
      <c r="W226" s="109">
        <v>280</v>
      </c>
      <c r="X226" s="96">
        <v>20000</v>
      </c>
      <c r="Y226" s="96">
        <v>35000</v>
      </c>
      <c r="Z226" s="96">
        <v>50000</v>
      </c>
      <c r="AA226" s="96">
        <v>80000</v>
      </c>
      <c r="AB226" s="96">
        <v>115000</v>
      </c>
      <c r="AC226" s="96">
        <v>170000</v>
      </c>
      <c r="AD226" s="105">
        <v>260000</v>
      </c>
      <c r="AE226" s="105">
        <v>375000</v>
      </c>
      <c r="AF226" s="94">
        <v>585000</v>
      </c>
      <c r="AG226" s="94">
        <v>800000</v>
      </c>
      <c r="AH226" s="94">
        <v>940000</v>
      </c>
      <c r="AI226" s="94">
        <v>1020000</v>
      </c>
      <c r="AJ226" s="94">
        <v>1050000</v>
      </c>
      <c r="AK226" s="137"/>
      <c r="AL226" s="113">
        <v>22000000</v>
      </c>
      <c r="AM226" s="95">
        <v>96000</v>
      </c>
      <c r="AN226" s="95">
        <v>6</v>
      </c>
      <c r="AO226" s="96">
        <v>192000</v>
      </c>
      <c r="AP226" s="96">
        <v>5</v>
      </c>
      <c r="AQ226" s="97">
        <v>576000</v>
      </c>
      <c r="AR226" s="134">
        <v>4</v>
      </c>
      <c r="AS226" s="135"/>
      <c r="AT226" s="135"/>
      <c r="AU226" s="113">
        <v>15360000</v>
      </c>
      <c r="AV226" s="113">
        <v>37360000</v>
      </c>
      <c r="AW226" s="113">
        <v>373</v>
      </c>
      <c r="AX226" s="113"/>
      <c r="AY226" s="113">
        <v>493</v>
      </c>
      <c r="AZ226" s="113"/>
      <c r="BA226" s="82" t="s">
        <v>639</v>
      </c>
      <c r="BB226" s="32"/>
      <c r="BC226" s="32"/>
      <c r="BD226" s="32"/>
      <c r="BE226" s="32"/>
      <c r="BF226" s="32"/>
      <c r="BG226" s="32"/>
      <c r="BH226" s="32"/>
      <c r="BI226" s="32"/>
      <c r="BJ226" s="32"/>
      <c r="BK226" s="32"/>
      <c r="BL226" s="32"/>
      <c r="BM226" s="32"/>
      <c r="BN226" s="32"/>
      <c r="BO226" s="32"/>
      <c r="BP226" s="32"/>
      <c r="BQ226" s="32"/>
      <c r="BR226" s="32"/>
      <c r="BS226" s="32"/>
      <c r="BT226" s="32"/>
      <c r="BU226" s="32"/>
      <c r="BV226" s="113" t="s">
        <v>754</v>
      </c>
      <c r="BW226" s="113"/>
      <c r="BX226" s="113"/>
      <c r="BY226" s="113"/>
      <c r="BZ226" s="113"/>
      <c r="CA226" s="113"/>
      <c r="CB226" s="113"/>
      <c r="CC226" s="113"/>
      <c r="CD226" s="32"/>
      <c r="CE226" s="32"/>
      <c r="CF226" s="32"/>
      <c r="CG226" s="32"/>
      <c r="CH226" s="32"/>
      <c r="CI226" s="32"/>
      <c r="CJ226" s="32"/>
      <c r="CK226" s="32"/>
      <c r="CL226" s="32"/>
      <c r="CM226" s="32"/>
      <c r="CN226" s="32"/>
    </row>
    <row r="227" spans="1:92" ht="18">
      <c r="A227" s="109">
        <v>225</v>
      </c>
      <c r="B227" s="23" t="s">
        <v>1268</v>
      </c>
      <c r="C227" s="111" t="s">
        <v>1025</v>
      </c>
      <c r="D227" s="110" t="s">
        <v>1269</v>
      </c>
      <c r="E227" s="111" t="s">
        <v>1026</v>
      </c>
      <c r="F227" s="111" t="s">
        <v>176</v>
      </c>
      <c r="G227" s="26" t="s">
        <v>173</v>
      </c>
      <c r="H227" s="112" t="s">
        <v>1016</v>
      </c>
      <c r="I227" s="13">
        <v>4586</v>
      </c>
      <c r="J227" s="14">
        <v>4586</v>
      </c>
      <c r="K227" s="130">
        <v>375.6</v>
      </c>
      <c r="L227" s="131">
        <v>82.74</v>
      </c>
      <c r="M227" s="131">
        <v>75.239999999999995</v>
      </c>
      <c r="N227" s="131">
        <v>71.180000000000007</v>
      </c>
      <c r="O227" s="39"/>
      <c r="P227" s="42" t="s">
        <v>420</v>
      </c>
      <c r="Q227" s="37" t="s">
        <v>270</v>
      </c>
      <c r="R227" s="75">
        <v>45</v>
      </c>
      <c r="S227" s="75">
        <v>50</v>
      </c>
      <c r="T227" s="75">
        <v>56</v>
      </c>
      <c r="U227" s="75">
        <v>62</v>
      </c>
      <c r="V227" s="75">
        <v>66</v>
      </c>
      <c r="W227" s="109">
        <v>279</v>
      </c>
      <c r="X227" s="96">
        <v>20000</v>
      </c>
      <c r="Y227" s="96">
        <v>35000</v>
      </c>
      <c r="Z227" s="96">
        <v>50000</v>
      </c>
      <c r="AA227" s="96">
        <v>80000</v>
      </c>
      <c r="AB227" s="96">
        <v>115000</v>
      </c>
      <c r="AC227" s="96">
        <v>170000</v>
      </c>
      <c r="AD227" s="94">
        <v>260000</v>
      </c>
      <c r="AE227" s="94">
        <v>375000</v>
      </c>
      <c r="AF227" s="94">
        <v>585000</v>
      </c>
      <c r="AG227" s="94">
        <v>800000</v>
      </c>
      <c r="AH227" s="94">
        <v>940000</v>
      </c>
      <c r="AI227" s="94">
        <v>1020000</v>
      </c>
      <c r="AJ227" s="94">
        <v>1050000</v>
      </c>
      <c r="AK227" s="137"/>
      <c r="AL227" s="113">
        <v>22000000</v>
      </c>
      <c r="AM227" s="95">
        <v>72000</v>
      </c>
      <c r="AN227" s="95">
        <v>6</v>
      </c>
      <c r="AO227" s="96">
        <v>144000</v>
      </c>
      <c r="AP227" s="96">
        <v>5</v>
      </c>
      <c r="AQ227" s="97">
        <v>432000</v>
      </c>
      <c r="AR227" s="134">
        <v>4</v>
      </c>
      <c r="AS227" s="135"/>
      <c r="AT227" s="135"/>
      <c r="AU227" s="113">
        <v>11520000</v>
      </c>
      <c r="AV227" s="113">
        <v>33520000</v>
      </c>
      <c r="AW227" s="113">
        <v>390</v>
      </c>
      <c r="AX227" s="113"/>
      <c r="AY227" s="113">
        <v>522</v>
      </c>
      <c r="AZ227" s="113"/>
      <c r="BA227" s="82" t="s">
        <v>639</v>
      </c>
      <c r="BB227" s="32"/>
      <c r="BC227" s="32"/>
      <c r="BD227" s="32"/>
      <c r="BE227" s="32"/>
      <c r="BF227" s="32"/>
      <c r="BG227" s="32"/>
      <c r="BH227" s="32"/>
      <c r="BI227" s="32"/>
      <c r="BJ227" s="32"/>
      <c r="BK227" s="32"/>
      <c r="BL227" s="32">
        <v>1</v>
      </c>
      <c r="BM227" s="32"/>
      <c r="BN227" s="32"/>
      <c r="BO227" s="32">
        <v>1</v>
      </c>
      <c r="BP227" s="32"/>
      <c r="BQ227" s="32"/>
      <c r="BR227" s="32"/>
      <c r="BS227" s="32"/>
      <c r="BT227" s="32"/>
      <c r="BU227" s="32"/>
      <c r="BV227" s="113"/>
      <c r="BW227" s="113"/>
      <c r="BX227" s="113"/>
      <c r="BY227" s="113"/>
      <c r="BZ227" s="113"/>
      <c r="CA227" s="113"/>
      <c r="CB227" s="113"/>
      <c r="CC227" s="113"/>
      <c r="CD227" s="32"/>
      <c r="CE227" s="32"/>
      <c r="CF227" s="32"/>
      <c r="CG227" s="32"/>
      <c r="CH227" s="32"/>
      <c r="CI227" s="32"/>
      <c r="CJ227" s="32"/>
      <c r="CK227" s="32"/>
      <c r="CL227" s="32"/>
      <c r="CM227" s="32"/>
      <c r="CN227" s="32"/>
    </row>
    <row r="228" spans="1:92" ht="18">
      <c r="A228" s="109">
        <v>226</v>
      </c>
      <c r="B228" s="23" t="s">
        <v>1479</v>
      </c>
      <c r="C228" s="111" t="s">
        <v>1431</v>
      </c>
      <c r="D228" s="110" t="s">
        <v>102</v>
      </c>
      <c r="E228" s="111" t="s">
        <v>1432</v>
      </c>
      <c r="F228" s="111" t="s">
        <v>176</v>
      </c>
      <c r="G228" s="26" t="s">
        <v>173</v>
      </c>
      <c r="H228" s="112" t="s">
        <v>1425</v>
      </c>
      <c r="I228" s="13"/>
      <c r="J228" s="14">
        <v>4600</v>
      </c>
      <c r="K228" s="130">
        <v>381</v>
      </c>
      <c r="L228" s="131">
        <v>83.93</v>
      </c>
      <c r="M228" s="131">
        <v>76.349999999999994</v>
      </c>
      <c r="N228" s="131">
        <v>57.95</v>
      </c>
      <c r="O228" s="39"/>
      <c r="P228" s="42" t="s">
        <v>420</v>
      </c>
      <c r="Q228" s="37" t="s">
        <v>270</v>
      </c>
      <c r="R228" s="75">
        <v>38</v>
      </c>
      <c r="S228" s="75">
        <v>48</v>
      </c>
      <c r="T228" s="16">
        <v>57</v>
      </c>
      <c r="U228" s="16">
        <v>66</v>
      </c>
      <c r="V228" s="16">
        <v>72</v>
      </c>
      <c r="W228" s="109">
        <v>281</v>
      </c>
      <c r="X228" s="96">
        <v>20000</v>
      </c>
      <c r="Y228" s="96">
        <v>35000</v>
      </c>
      <c r="Z228" s="96">
        <v>50000</v>
      </c>
      <c r="AA228" s="96">
        <v>80000</v>
      </c>
      <c r="AB228" s="96">
        <v>115000</v>
      </c>
      <c r="AC228" s="96">
        <v>170000</v>
      </c>
      <c r="AD228" s="105">
        <v>260000</v>
      </c>
      <c r="AE228" s="105">
        <v>375000</v>
      </c>
      <c r="AF228" s="94">
        <v>585000</v>
      </c>
      <c r="AG228" s="94">
        <v>800000</v>
      </c>
      <c r="AH228" s="94">
        <v>940000</v>
      </c>
      <c r="AI228" s="94">
        <v>1020000</v>
      </c>
      <c r="AJ228" s="94">
        <v>1050000</v>
      </c>
      <c r="AK228" s="137"/>
      <c r="AL228" s="113">
        <v>22000000</v>
      </c>
      <c r="AM228" s="95">
        <v>128000</v>
      </c>
      <c r="AN228" s="95">
        <v>6</v>
      </c>
      <c r="AO228" s="96">
        <v>256000</v>
      </c>
      <c r="AP228" s="96">
        <v>5</v>
      </c>
      <c r="AQ228" s="97">
        <v>768000</v>
      </c>
      <c r="AR228" s="134">
        <v>4</v>
      </c>
      <c r="AS228" s="135"/>
      <c r="AT228" s="135"/>
      <c r="AU228" s="113">
        <v>20480000</v>
      </c>
      <c r="AV228" s="113">
        <v>42480000</v>
      </c>
      <c r="AW228" s="113">
        <v>396</v>
      </c>
      <c r="AX228" s="113"/>
      <c r="AY228" s="113">
        <v>531</v>
      </c>
      <c r="AZ228" s="113"/>
      <c r="BA228" s="82" t="s">
        <v>639</v>
      </c>
      <c r="BB228" s="32"/>
      <c r="BC228" s="32"/>
      <c r="BD228" s="32"/>
      <c r="BE228" s="32"/>
      <c r="BF228" s="32"/>
      <c r="BG228" s="32"/>
      <c r="BH228" s="32"/>
      <c r="BI228" s="32"/>
      <c r="BJ228" s="32"/>
      <c r="BK228" s="32"/>
      <c r="BL228" s="32"/>
      <c r="BM228" s="32"/>
      <c r="BN228" s="32"/>
      <c r="BO228" s="32"/>
      <c r="BP228" s="32"/>
      <c r="BQ228" s="32"/>
      <c r="BR228" s="32"/>
      <c r="BS228" s="32"/>
      <c r="BT228" s="32"/>
      <c r="BU228" s="32"/>
      <c r="BV228" s="113" t="s">
        <v>1017</v>
      </c>
      <c r="BW228" s="113"/>
      <c r="BX228" s="113"/>
      <c r="BY228" s="113"/>
      <c r="BZ228" s="113"/>
      <c r="CA228" s="113"/>
      <c r="CB228" s="113"/>
      <c r="CC228" s="113"/>
      <c r="CD228" s="32"/>
      <c r="CE228" s="32"/>
      <c r="CF228" s="32"/>
      <c r="CG228" s="32"/>
      <c r="CH228" s="32"/>
      <c r="CI228" s="32"/>
      <c r="CJ228" s="32"/>
      <c r="CK228" s="32"/>
      <c r="CL228" s="32"/>
      <c r="CM228" s="32"/>
      <c r="CN228" s="32"/>
    </row>
    <row r="229" spans="1:92" ht="18">
      <c r="A229" s="109">
        <v>227</v>
      </c>
      <c r="B229" s="23" t="s">
        <v>1603</v>
      </c>
      <c r="C229" s="111" t="s">
        <v>1604</v>
      </c>
      <c r="D229" s="110" t="s">
        <v>1300</v>
      </c>
      <c r="E229" s="111" t="s">
        <v>1605</v>
      </c>
      <c r="F229" s="111" t="s">
        <v>176</v>
      </c>
      <c r="G229" s="26" t="s">
        <v>173</v>
      </c>
      <c r="H229" s="112" t="s">
        <v>1555</v>
      </c>
      <c r="I229" s="13"/>
      <c r="J229" s="14">
        <v>4606</v>
      </c>
      <c r="K229" s="120">
        <v>395.9</v>
      </c>
      <c r="L229" s="121">
        <v>86.93</v>
      </c>
      <c r="M229" s="121">
        <v>60.35</v>
      </c>
      <c r="N229" s="121">
        <v>45.07</v>
      </c>
      <c r="O229" s="32"/>
      <c r="P229" s="42" t="s">
        <v>420</v>
      </c>
      <c r="Q229" s="37">
        <v>60</v>
      </c>
      <c r="R229" s="37">
        <v>35</v>
      </c>
      <c r="S229" s="37">
        <v>40</v>
      </c>
      <c r="T229" s="37">
        <v>45</v>
      </c>
      <c r="U229" s="37">
        <v>55</v>
      </c>
      <c r="V229" s="37">
        <v>65</v>
      </c>
      <c r="W229" s="28">
        <v>300</v>
      </c>
      <c r="X229" s="96">
        <v>20000</v>
      </c>
      <c r="Y229" s="96">
        <v>35000</v>
      </c>
      <c r="Z229" s="96">
        <v>50000</v>
      </c>
      <c r="AA229" s="96">
        <v>80000</v>
      </c>
      <c r="AB229" s="96">
        <v>115000</v>
      </c>
      <c r="AC229" s="96">
        <v>170000</v>
      </c>
      <c r="AD229" s="96">
        <v>260000</v>
      </c>
      <c r="AE229" s="96">
        <v>375000</v>
      </c>
      <c r="AF229" s="96">
        <v>585000</v>
      </c>
      <c r="AG229" s="96">
        <v>800000</v>
      </c>
      <c r="AH229" s="96">
        <v>940000</v>
      </c>
      <c r="AI229" s="96">
        <v>1020000</v>
      </c>
      <c r="AJ229" s="96">
        <v>1050000</v>
      </c>
      <c r="AK229" s="32"/>
      <c r="AL229" s="113">
        <v>22000000</v>
      </c>
      <c r="AM229" s="95">
        <v>96000</v>
      </c>
      <c r="AN229" s="95">
        <v>6</v>
      </c>
      <c r="AO229" s="96">
        <v>192000</v>
      </c>
      <c r="AP229" s="96">
        <v>5</v>
      </c>
      <c r="AQ229" s="97">
        <v>576000</v>
      </c>
      <c r="AR229" s="134">
        <v>4</v>
      </c>
      <c r="AS229" s="135"/>
      <c r="AT229" s="135"/>
      <c r="AU229" s="113">
        <v>15360000</v>
      </c>
      <c r="AV229" s="113">
        <v>37360000</v>
      </c>
      <c r="AW229" s="113"/>
      <c r="AX229" s="113"/>
      <c r="AY229" s="113"/>
      <c r="AZ229" s="113"/>
      <c r="BA229" s="113" t="s">
        <v>639</v>
      </c>
      <c r="BB229" s="32"/>
      <c r="BC229" s="32"/>
      <c r="BD229" s="32"/>
      <c r="BE229" s="32"/>
      <c r="BF229" s="32"/>
      <c r="BG229" s="32"/>
      <c r="BH229" s="32"/>
      <c r="BI229" s="32"/>
      <c r="BJ229" s="32"/>
      <c r="BK229" s="32"/>
      <c r="BL229" s="32"/>
      <c r="BM229" s="32"/>
      <c r="BN229" s="32"/>
      <c r="BO229" s="32"/>
      <c r="BP229" s="32"/>
      <c r="BQ229" s="32"/>
      <c r="BR229" s="32"/>
      <c r="BS229" s="32"/>
      <c r="BT229" s="32"/>
      <c r="BU229" s="32"/>
      <c r="BV229" s="81"/>
      <c r="BW229" s="113"/>
      <c r="BX229" s="113"/>
      <c r="BY229" s="113"/>
      <c r="BZ229" s="113"/>
      <c r="CA229" s="113"/>
      <c r="CB229" s="113"/>
      <c r="CC229" s="113"/>
      <c r="CD229" s="32"/>
      <c r="CE229" s="32"/>
      <c r="CF229" s="32"/>
      <c r="CG229" s="32"/>
      <c r="CH229" s="32"/>
      <c r="CI229" s="32"/>
      <c r="CJ229" s="32"/>
      <c r="CK229" s="32"/>
      <c r="CL229" s="32"/>
      <c r="CM229" s="32"/>
      <c r="CN229" s="32"/>
    </row>
    <row r="230" spans="1:92" ht="18">
      <c r="A230" s="109">
        <v>228</v>
      </c>
      <c r="B230" s="110" t="s">
        <v>218</v>
      </c>
      <c r="C230" s="111" t="s">
        <v>219</v>
      </c>
      <c r="D230" s="110" t="s">
        <v>774</v>
      </c>
      <c r="E230" s="111" t="s">
        <v>367</v>
      </c>
      <c r="F230" s="111" t="s">
        <v>220</v>
      </c>
      <c r="G230" s="24" t="s">
        <v>164</v>
      </c>
      <c r="H230" s="112" t="s">
        <v>296</v>
      </c>
      <c r="I230" s="13">
        <v>3957</v>
      </c>
      <c r="J230" s="14">
        <v>3957</v>
      </c>
      <c r="K230" s="120">
        <v>381.7</v>
      </c>
      <c r="L230" s="121">
        <v>81.38</v>
      </c>
      <c r="M230" s="121">
        <v>43.38</v>
      </c>
      <c r="N230" s="121">
        <v>65.89</v>
      </c>
      <c r="O230" s="32">
        <v>6.3</v>
      </c>
      <c r="P230" s="42" t="s">
        <v>420</v>
      </c>
      <c r="Q230" s="16">
        <v>40</v>
      </c>
      <c r="R230" s="16">
        <v>18</v>
      </c>
      <c r="S230" s="16">
        <v>21</v>
      </c>
      <c r="T230" s="16">
        <v>25</v>
      </c>
      <c r="U230" s="16">
        <v>39</v>
      </c>
      <c r="V230" s="109"/>
      <c r="W230" s="109">
        <v>143</v>
      </c>
      <c r="X230" s="94">
        <v>8300</v>
      </c>
      <c r="Y230" s="94">
        <v>13500</v>
      </c>
      <c r="Z230" s="94">
        <v>21600</v>
      </c>
      <c r="AA230" s="94">
        <v>32400</v>
      </c>
      <c r="AB230" s="94">
        <v>46800</v>
      </c>
      <c r="AC230" s="94">
        <v>69500</v>
      </c>
      <c r="AD230" s="94">
        <v>102500</v>
      </c>
      <c r="AE230" s="94">
        <v>152000</v>
      </c>
      <c r="AF230" s="94">
        <v>225000</v>
      </c>
      <c r="AG230" s="94">
        <v>324000</v>
      </c>
      <c r="AH230" s="94">
        <v>414000</v>
      </c>
      <c r="AI230" s="94">
        <v>477000</v>
      </c>
      <c r="AJ230" s="94"/>
      <c r="AK230" s="32"/>
      <c r="AL230" s="113">
        <v>7546400</v>
      </c>
      <c r="AM230" s="95">
        <v>30000</v>
      </c>
      <c r="AN230" s="95">
        <v>7</v>
      </c>
      <c r="AO230" s="96">
        <v>60000</v>
      </c>
      <c r="AP230" s="96">
        <v>5</v>
      </c>
      <c r="AQ230" s="97">
        <v>180000</v>
      </c>
      <c r="AR230" s="134">
        <v>3</v>
      </c>
      <c r="AS230" s="135"/>
      <c r="AT230" s="135"/>
      <c r="AU230" s="113">
        <v>4200000</v>
      </c>
      <c r="AV230" s="113">
        <v>11746400</v>
      </c>
      <c r="AW230" s="113">
        <v>397</v>
      </c>
      <c r="AX230" s="113"/>
      <c r="AY230" s="113">
        <v>533</v>
      </c>
      <c r="AZ230" s="113">
        <v>13</v>
      </c>
      <c r="BA230" s="113" t="s">
        <v>633</v>
      </c>
      <c r="BB230" s="32">
        <v>1</v>
      </c>
      <c r="BC230" s="32"/>
      <c r="BD230" s="32">
        <v>1</v>
      </c>
      <c r="BE230" s="32"/>
      <c r="BF230" s="32"/>
      <c r="BG230" s="32"/>
      <c r="BH230" s="32"/>
      <c r="BI230" s="32"/>
      <c r="BJ230" s="32"/>
      <c r="BK230" s="32"/>
      <c r="BL230" s="32"/>
      <c r="BM230" s="32"/>
      <c r="BN230" s="32"/>
      <c r="BO230" s="32"/>
      <c r="BP230" s="32"/>
      <c r="BQ230" s="32" t="s">
        <v>828</v>
      </c>
      <c r="BR230" s="32"/>
      <c r="BS230" s="32"/>
      <c r="BT230" s="32"/>
      <c r="BU230" s="32">
        <v>1</v>
      </c>
      <c r="BV230" s="81" t="s">
        <v>219</v>
      </c>
      <c r="BW230" s="113"/>
      <c r="BX230" s="113"/>
      <c r="BY230" s="113"/>
      <c r="BZ230" s="113"/>
      <c r="CA230" s="113"/>
      <c r="CB230" s="113"/>
      <c r="CC230" s="113"/>
      <c r="CD230" s="32"/>
      <c r="CE230" s="32"/>
      <c r="CF230" s="32"/>
      <c r="CG230" s="32"/>
      <c r="CH230" s="32"/>
      <c r="CI230" s="32"/>
      <c r="CJ230" s="32"/>
      <c r="CK230" s="32"/>
      <c r="CL230" s="32"/>
      <c r="CM230" s="32"/>
      <c r="CN230" s="32"/>
    </row>
    <row r="231" spans="1:92" ht="18">
      <c r="A231" s="109">
        <v>229</v>
      </c>
      <c r="B231" s="110" t="s">
        <v>221</v>
      </c>
      <c r="C231" s="111" t="s">
        <v>222</v>
      </c>
      <c r="D231" s="110" t="s">
        <v>1270</v>
      </c>
      <c r="E231" s="111" t="s">
        <v>368</v>
      </c>
      <c r="F231" s="111" t="s">
        <v>220</v>
      </c>
      <c r="G231" s="24" t="s">
        <v>164</v>
      </c>
      <c r="H231" s="112" t="s">
        <v>296</v>
      </c>
      <c r="I231" s="13">
        <v>4083</v>
      </c>
      <c r="J231" s="14">
        <v>4083</v>
      </c>
      <c r="K231" s="120">
        <v>407.6</v>
      </c>
      <c r="L231" s="121">
        <v>80.48</v>
      </c>
      <c r="M231" s="121">
        <v>40.97</v>
      </c>
      <c r="N231" s="121">
        <v>58.26</v>
      </c>
      <c r="O231" s="32">
        <v>5.25</v>
      </c>
      <c r="P231" s="42" t="s">
        <v>420</v>
      </c>
      <c r="Q231" s="16">
        <v>40</v>
      </c>
      <c r="R231" s="16">
        <v>18</v>
      </c>
      <c r="S231" s="16">
        <v>21</v>
      </c>
      <c r="T231" s="16">
        <v>25</v>
      </c>
      <c r="U231" s="16">
        <v>39</v>
      </c>
      <c r="V231" s="109"/>
      <c r="W231" s="109">
        <v>143</v>
      </c>
      <c r="X231" s="16">
        <v>10700</v>
      </c>
      <c r="Y231" s="16">
        <v>17500</v>
      </c>
      <c r="Z231" s="16">
        <v>27900</v>
      </c>
      <c r="AA231" s="16">
        <v>41900</v>
      </c>
      <c r="AB231" s="16">
        <v>60500</v>
      </c>
      <c r="AC231" s="16">
        <v>89500</v>
      </c>
      <c r="AD231" s="16">
        <v>132500</v>
      </c>
      <c r="AE231" s="17">
        <v>196000</v>
      </c>
      <c r="AF231" s="17">
        <v>290500</v>
      </c>
      <c r="AG231" s="17">
        <v>419000</v>
      </c>
      <c r="AH231" s="17">
        <v>535000</v>
      </c>
      <c r="AI231" s="17">
        <v>617000</v>
      </c>
      <c r="AJ231" s="94"/>
      <c r="AK231" s="32"/>
      <c r="AL231" s="113">
        <v>9752000</v>
      </c>
      <c r="AM231" s="95">
        <v>35000</v>
      </c>
      <c r="AN231" s="95">
        <v>7</v>
      </c>
      <c r="AO231" s="96">
        <v>70000</v>
      </c>
      <c r="AP231" s="96">
        <v>5</v>
      </c>
      <c r="AQ231" s="97">
        <v>210000</v>
      </c>
      <c r="AR231" s="134">
        <v>3</v>
      </c>
      <c r="AS231" s="135"/>
      <c r="AT231" s="135"/>
      <c r="AU231" s="113">
        <v>4900000</v>
      </c>
      <c r="AV231" s="113">
        <v>14652000</v>
      </c>
      <c r="AW231" s="113">
        <v>425</v>
      </c>
      <c r="AX231" s="113"/>
      <c r="AY231" s="113">
        <v>560</v>
      </c>
      <c r="AZ231" s="113">
        <v>1</v>
      </c>
      <c r="BA231" s="113" t="s">
        <v>633</v>
      </c>
      <c r="BB231" s="32"/>
      <c r="BC231" s="32"/>
      <c r="BD231" s="32">
        <v>1</v>
      </c>
      <c r="BE231" s="32"/>
      <c r="BF231" s="32"/>
      <c r="BG231" s="32"/>
      <c r="BH231" s="32"/>
      <c r="BI231" s="32"/>
      <c r="BJ231" s="32"/>
      <c r="BK231" s="32"/>
      <c r="BL231" s="32"/>
      <c r="BM231" s="32"/>
      <c r="BN231" s="32"/>
      <c r="BO231" s="32"/>
      <c r="BP231" s="32"/>
      <c r="BQ231" s="32" t="s">
        <v>799</v>
      </c>
      <c r="BR231" s="32"/>
      <c r="BS231" s="32"/>
      <c r="BT231" s="32">
        <v>1</v>
      </c>
      <c r="BU231" s="32">
        <v>1</v>
      </c>
      <c r="BV231" s="81" t="s">
        <v>1271</v>
      </c>
      <c r="BW231" s="113"/>
      <c r="BX231" s="113"/>
      <c r="BY231" s="113"/>
      <c r="BZ231" s="113"/>
      <c r="CA231" s="113"/>
      <c r="CB231" s="113"/>
      <c r="CC231" s="113"/>
      <c r="CD231" s="32"/>
      <c r="CE231" s="32"/>
      <c r="CF231" s="32"/>
      <c r="CG231" s="32"/>
      <c r="CH231" s="32"/>
      <c r="CI231" s="32"/>
      <c r="CJ231" s="32"/>
      <c r="CK231" s="32"/>
      <c r="CL231" s="32"/>
      <c r="CM231" s="32"/>
      <c r="CN231" s="32"/>
    </row>
    <row r="232" spans="1:92" ht="18">
      <c r="A232" s="109">
        <v>230</v>
      </c>
      <c r="B232" s="110" t="s">
        <v>223</v>
      </c>
      <c r="C232" s="111" t="s">
        <v>224</v>
      </c>
      <c r="D232" s="110" t="s">
        <v>99</v>
      </c>
      <c r="E232" s="111" t="s">
        <v>224</v>
      </c>
      <c r="F232" s="111" t="s">
        <v>220</v>
      </c>
      <c r="G232" s="24" t="s">
        <v>164</v>
      </c>
      <c r="H232" s="112" t="s">
        <v>303</v>
      </c>
      <c r="I232" s="13">
        <v>4099</v>
      </c>
      <c r="J232" s="14">
        <v>4114</v>
      </c>
      <c r="K232" s="120">
        <v>362.4</v>
      </c>
      <c r="L232" s="121">
        <v>83.02</v>
      </c>
      <c r="M232" s="121">
        <v>51.8</v>
      </c>
      <c r="N232" s="121">
        <v>79.97</v>
      </c>
      <c r="O232" s="32">
        <v>9.4830000000000005</v>
      </c>
      <c r="P232" s="42" t="s">
        <v>420</v>
      </c>
      <c r="Q232" s="16">
        <v>40</v>
      </c>
      <c r="R232" s="16">
        <v>18</v>
      </c>
      <c r="S232" s="16">
        <v>21</v>
      </c>
      <c r="T232" s="16">
        <v>25</v>
      </c>
      <c r="U232" s="16">
        <v>39</v>
      </c>
      <c r="V232" s="109"/>
      <c r="W232" s="109">
        <v>143</v>
      </c>
      <c r="X232" s="16">
        <v>10700</v>
      </c>
      <c r="Y232" s="16">
        <v>17500</v>
      </c>
      <c r="Z232" s="16">
        <v>27900</v>
      </c>
      <c r="AA232" s="16">
        <v>41900</v>
      </c>
      <c r="AB232" s="16">
        <v>60500</v>
      </c>
      <c r="AC232" s="16">
        <v>89500</v>
      </c>
      <c r="AD232" s="16">
        <v>132500</v>
      </c>
      <c r="AE232" s="17">
        <v>196000</v>
      </c>
      <c r="AF232" s="17">
        <v>290500</v>
      </c>
      <c r="AG232" s="17">
        <v>419000</v>
      </c>
      <c r="AH232" s="17">
        <v>535000</v>
      </c>
      <c r="AI232" s="17">
        <v>617000</v>
      </c>
      <c r="AJ232" s="94"/>
      <c r="AK232" s="32"/>
      <c r="AL232" s="113">
        <v>9752000</v>
      </c>
      <c r="AM232" s="95">
        <v>35000</v>
      </c>
      <c r="AN232" s="95">
        <v>7</v>
      </c>
      <c r="AO232" s="96">
        <v>70000</v>
      </c>
      <c r="AP232" s="96">
        <v>5</v>
      </c>
      <c r="AQ232" s="97">
        <v>210000</v>
      </c>
      <c r="AR232" s="134">
        <v>3</v>
      </c>
      <c r="AS232" s="135"/>
      <c r="AT232" s="135"/>
      <c r="AU232" s="113">
        <v>4900000</v>
      </c>
      <c r="AV232" s="113">
        <v>14652000</v>
      </c>
      <c r="AW232" s="113">
        <v>377</v>
      </c>
      <c r="AX232" s="113"/>
      <c r="AY232" s="113">
        <v>499</v>
      </c>
      <c r="AZ232" s="113">
        <v>1</v>
      </c>
      <c r="BA232" s="113" t="s">
        <v>709</v>
      </c>
      <c r="BB232" s="32"/>
      <c r="BC232" s="32"/>
      <c r="BD232" s="32">
        <v>1</v>
      </c>
      <c r="BE232" s="32"/>
      <c r="BF232" s="32"/>
      <c r="BG232" s="32"/>
      <c r="BH232" s="32"/>
      <c r="BI232" s="32"/>
      <c r="BJ232" s="32"/>
      <c r="BK232" s="32"/>
      <c r="BL232" s="32"/>
      <c r="BM232" s="32"/>
      <c r="BN232" s="32"/>
      <c r="BO232" s="32"/>
      <c r="BP232" s="32"/>
      <c r="BQ232" s="32" t="s">
        <v>652</v>
      </c>
      <c r="BR232" s="32">
        <v>1</v>
      </c>
      <c r="BS232" s="32"/>
      <c r="BT232" s="32"/>
      <c r="BU232" s="32">
        <v>1</v>
      </c>
      <c r="BV232" s="81" t="s">
        <v>747</v>
      </c>
      <c r="BW232" s="113"/>
      <c r="BX232" s="113"/>
      <c r="BY232" s="113"/>
      <c r="BZ232" s="113"/>
      <c r="CA232" s="113"/>
      <c r="CB232" s="113"/>
      <c r="CC232" s="113"/>
      <c r="CD232" s="32"/>
      <c r="CE232" s="32"/>
      <c r="CF232" s="32"/>
      <c r="CG232" s="32"/>
      <c r="CH232" s="32"/>
      <c r="CI232" s="32"/>
      <c r="CJ232" s="32"/>
      <c r="CK232" s="32"/>
      <c r="CL232" s="32"/>
      <c r="CM232" s="32"/>
      <c r="CN232" s="32"/>
    </row>
    <row r="233" spans="1:92" ht="18">
      <c r="A233" s="109">
        <v>231</v>
      </c>
      <c r="B233" s="110" t="s">
        <v>225</v>
      </c>
      <c r="C233" s="111" t="s">
        <v>597</v>
      </c>
      <c r="D233" s="110" t="s">
        <v>1272</v>
      </c>
      <c r="E233" s="111" t="s">
        <v>369</v>
      </c>
      <c r="F233" s="111" t="s">
        <v>220</v>
      </c>
      <c r="G233" s="26" t="s">
        <v>173</v>
      </c>
      <c r="H233" s="149" t="s">
        <v>298</v>
      </c>
      <c r="I233" s="13">
        <v>4099</v>
      </c>
      <c r="J233" s="14">
        <v>4124</v>
      </c>
      <c r="K233" s="122">
        <v>339.9</v>
      </c>
      <c r="L233" s="121">
        <v>86.24</v>
      </c>
      <c r="M233" s="121">
        <v>95.92</v>
      </c>
      <c r="N233" s="121">
        <v>84.9</v>
      </c>
      <c r="O233" s="32">
        <v>13.23</v>
      </c>
      <c r="P233" s="42" t="s">
        <v>420</v>
      </c>
      <c r="Q233" s="37">
        <v>30</v>
      </c>
      <c r="R233" s="37">
        <v>30</v>
      </c>
      <c r="S233" s="37">
        <v>30</v>
      </c>
      <c r="T233" s="37">
        <v>35</v>
      </c>
      <c r="U233" s="21">
        <v>35</v>
      </c>
      <c r="V233" s="21">
        <v>40</v>
      </c>
      <c r="W233" s="109">
        <v>200</v>
      </c>
      <c r="X233" s="96">
        <v>8400</v>
      </c>
      <c r="Y233" s="96">
        <v>13700</v>
      </c>
      <c r="Z233" s="96">
        <v>22000</v>
      </c>
      <c r="AA233" s="94">
        <v>32900</v>
      </c>
      <c r="AB233" s="94">
        <v>47600</v>
      </c>
      <c r="AC233" s="94">
        <v>70500</v>
      </c>
      <c r="AD233" s="94">
        <v>104000</v>
      </c>
      <c r="AE233" s="94">
        <v>154000</v>
      </c>
      <c r="AF233" s="94">
        <v>228000</v>
      </c>
      <c r="AG233" s="94">
        <v>329000</v>
      </c>
      <c r="AH233" s="94">
        <v>421000</v>
      </c>
      <c r="AI233" s="94">
        <v>485000</v>
      </c>
      <c r="AJ233" s="17">
        <v>522000</v>
      </c>
      <c r="AK233" s="17"/>
      <c r="AL233" s="113">
        <v>9752400</v>
      </c>
      <c r="AM233" s="95">
        <v>35000</v>
      </c>
      <c r="AN233" s="95">
        <v>7</v>
      </c>
      <c r="AO233" s="96">
        <v>70000</v>
      </c>
      <c r="AP233" s="96">
        <v>5</v>
      </c>
      <c r="AQ233" s="97">
        <v>210000</v>
      </c>
      <c r="AR233" s="134">
        <v>4</v>
      </c>
      <c r="AS233" s="135"/>
      <c r="AT233" s="135"/>
      <c r="AU233" s="113">
        <v>5740000</v>
      </c>
      <c r="AV233" s="113">
        <v>15492400</v>
      </c>
      <c r="AW233" s="113">
        <v>354</v>
      </c>
      <c r="AX233" s="113">
        <v>363</v>
      </c>
      <c r="AY233" s="113">
        <v>474</v>
      </c>
      <c r="AZ233" s="113"/>
      <c r="BA233" s="113" t="s">
        <v>710</v>
      </c>
      <c r="BB233" s="32"/>
      <c r="BC233" s="32"/>
      <c r="BD233" s="32"/>
      <c r="BE233" s="32"/>
      <c r="BF233" s="32"/>
      <c r="BG233" s="32"/>
      <c r="BH233" s="32"/>
      <c r="BI233" s="32"/>
      <c r="BJ233" s="32"/>
      <c r="BK233" s="32"/>
      <c r="BL233" s="32"/>
      <c r="BM233" s="32"/>
      <c r="BN233" s="32"/>
      <c r="BO233" s="32"/>
      <c r="BP233" s="32"/>
      <c r="BQ233" s="32" t="s">
        <v>800</v>
      </c>
      <c r="BR233" s="32"/>
      <c r="BS233" s="32"/>
      <c r="BT233" s="32">
        <v>1</v>
      </c>
      <c r="BU233" s="32"/>
      <c r="BV233" s="81" t="s">
        <v>597</v>
      </c>
      <c r="BW233" s="77"/>
      <c r="BX233" s="77"/>
      <c r="BY233" s="77">
        <v>1</v>
      </c>
      <c r="BZ233" s="113">
        <v>9</v>
      </c>
      <c r="CA233" s="77"/>
      <c r="CB233" s="113"/>
      <c r="CC233" s="113"/>
      <c r="CD233" s="32"/>
      <c r="CE233" s="32"/>
      <c r="CF233" s="32"/>
      <c r="CG233" s="32"/>
      <c r="CH233" s="32"/>
      <c r="CI233" s="32"/>
      <c r="CJ233" s="32"/>
      <c r="CK233" s="32"/>
      <c r="CL233" s="32"/>
      <c r="CM233" s="32"/>
      <c r="CN233" s="32"/>
    </row>
    <row r="234" spans="1:92" ht="18">
      <c r="A234" s="109">
        <v>232</v>
      </c>
      <c r="B234" s="110" t="s">
        <v>227</v>
      </c>
      <c r="C234" s="111" t="s">
        <v>228</v>
      </c>
      <c r="D234" s="110" t="s">
        <v>182</v>
      </c>
      <c r="E234" s="111" t="s">
        <v>228</v>
      </c>
      <c r="F234" s="111" t="s">
        <v>220</v>
      </c>
      <c r="G234" s="26" t="s">
        <v>173</v>
      </c>
      <c r="H234" s="112" t="s">
        <v>305</v>
      </c>
      <c r="I234" s="13">
        <v>4116</v>
      </c>
      <c r="J234" s="14">
        <v>4135</v>
      </c>
      <c r="K234" s="120">
        <v>377.2</v>
      </c>
      <c r="L234" s="121">
        <v>79.23</v>
      </c>
      <c r="M234" s="121">
        <v>66.06</v>
      </c>
      <c r="N234" s="121">
        <v>64.75</v>
      </c>
      <c r="O234" s="32">
        <v>6.2</v>
      </c>
      <c r="P234" s="42" t="s">
        <v>420</v>
      </c>
      <c r="Q234" s="16">
        <v>30</v>
      </c>
      <c r="R234" s="16">
        <v>30</v>
      </c>
      <c r="S234" s="16">
        <v>30</v>
      </c>
      <c r="T234" s="16">
        <v>35</v>
      </c>
      <c r="U234" s="16">
        <v>35</v>
      </c>
      <c r="V234" s="16">
        <v>40</v>
      </c>
      <c r="W234" s="109">
        <v>200</v>
      </c>
      <c r="X234" s="96">
        <v>8400</v>
      </c>
      <c r="Y234" s="96">
        <v>13700</v>
      </c>
      <c r="Z234" s="96">
        <v>22000</v>
      </c>
      <c r="AA234" s="94">
        <v>32900</v>
      </c>
      <c r="AB234" s="94">
        <v>47600</v>
      </c>
      <c r="AC234" s="94">
        <v>70500</v>
      </c>
      <c r="AD234" s="94">
        <v>104000</v>
      </c>
      <c r="AE234" s="94">
        <v>154000</v>
      </c>
      <c r="AF234" s="94">
        <v>228000</v>
      </c>
      <c r="AG234" s="94">
        <v>329000</v>
      </c>
      <c r="AH234" s="94">
        <v>421000</v>
      </c>
      <c r="AI234" s="94">
        <v>485000</v>
      </c>
      <c r="AJ234" s="17">
        <v>522000</v>
      </c>
      <c r="AK234" s="17"/>
      <c r="AL234" s="113">
        <v>9752400</v>
      </c>
      <c r="AM234" s="95">
        <v>35000</v>
      </c>
      <c r="AN234" s="95">
        <v>7</v>
      </c>
      <c r="AO234" s="96">
        <v>70000</v>
      </c>
      <c r="AP234" s="96">
        <v>5</v>
      </c>
      <c r="AQ234" s="97">
        <v>210000</v>
      </c>
      <c r="AR234" s="134">
        <v>4</v>
      </c>
      <c r="AS234" s="135"/>
      <c r="AT234" s="135"/>
      <c r="AU234" s="113">
        <v>5740000</v>
      </c>
      <c r="AV234" s="113">
        <v>15492400</v>
      </c>
      <c r="AW234" s="113">
        <v>393</v>
      </c>
      <c r="AX234" s="113"/>
      <c r="AY234" s="113">
        <v>526</v>
      </c>
      <c r="AZ234" s="113"/>
      <c r="BA234" s="113" t="s">
        <v>709</v>
      </c>
      <c r="BB234" s="32"/>
      <c r="BC234" s="32"/>
      <c r="BD234" s="32"/>
      <c r="BE234" s="32"/>
      <c r="BF234" s="32"/>
      <c r="BG234" s="32"/>
      <c r="BH234" s="32"/>
      <c r="BI234" s="32"/>
      <c r="BJ234" s="32"/>
      <c r="BK234" s="32"/>
      <c r="BL234" s="32"/>
      <c r="BM234" s="32"/>
      <c r="BN234" s="32"/>
      <c r="BO234" s="32"/>
      <c r="BP234" s="32">
        <v>1</v>
      </c>
      <c r="BQ234" s="32"/>
      <c r="BR234" s="32"/>
      <c r="BS234" s="32" t="s">
        <v>649</v>
      </c>
      <c r="BT234" s="32">
        <v>1</v>
      </c>
      <c r="BU234" s="32">
        <v>1</v>
      </c>
      <c r="BV234" s="81" t="s">
        <v>755</v>
      </c>
      <c r="BW234" s="113"/>
      <c r="BX234" s="113"/>
      <c r="BY234" s="113"/>
      <c r="BZ234" s="113"/>
      <c r="CA234" s="113"/>
      <c r="CB234" s="113"/>
      <c r="CC234" s="113"/>
      <c r="CD234" s="32"/>
      <c r="CE234" s="32"/>
      <c r="CF234" s="32"/>
      <c r="CG234" s="32"/>
      <c r="CH234" s="32"/>
      <c r="CI234" s="32"/>
      <c r="CJ234" s="32"/>
      <c r="CK234" s="32"/>
      <c r="CL234" s="32"/>
      <c r="CM234" s="32"/>
      <c r="CN234" s="32"/>
    </row>
    <row r="235" spans="1:92" ht="18">
      <c r="A235" s="109">
        <v>233</v>
      </c>
      <c r="B235" s="110" t="s">
        <v>231</v>
      </c>
      <c r="C235" s="111" t="s">
        <v>232</v>
      </c>
      <c r="D235" s="110" t="s">
        <v>141</v>
      </c>
      <c r="E235" s="111" t="s">
        <v>371</v>
      </c>
      <c r="F235" s="111" t="s">
        <v>220</v>
      </c>
      <c r="G235" s="26" t="s">
        <v>173</v>
      </c>
      <c r="H235" s="149" t="s">
        <v>543</v>
      </c>
      <c r="I235" s="13">
        <v>4184</v>
      </c>
      <c r="J235" s="14">
        <v>4142</v>
      </c>
      <c r="K235" s="120">
        <v>370</v>
      </c>
      <c r="L235" s="121">
        <v>81.16</v>
      </c>
      <c r="M235" s="121">
        <v>62.42</v>
      </c>
      <c r="N235" s="121">
        <v>78.819999999999993</v>
      </c>
      <c r="O235" s="15"/>
      <c r="P235" s="42" t="s">
        <v>420</v>
      </c>
      <c r="Q235" s="37">
        <v>30</v>
      </c>
      <c r="R235" s="37">
        <v>30</v>
      </c>
      <c r="S235" s="37">
        <v>30</v>
      </c>
      <c r="T235" s="37">
        <v>35</v>
      </c>
      <c r="U235" s="21">
        <v>35</v>
      </c>
      <c r="V235" s="37">
        <v>40</v>
      </c>
      <c r="W235" s="109">
        <v>200</v>
      </c>
      <c r="X235" s="96">
        <v>8400</v>
      </c>
      <c r="Y235" s="96">
        <v>13700</v>
      </c>
      <c r="Z235" s="96">
        <v>22000</v>
      </c>
      <c r="AA235" s="96">
        <v>32900</v>
      </c>
      <c r="AB235" s="96">
        <v>47600</v>
      </c>
      <c r="AC235" s="96">
        <v>70500</v>
      </c>
      <c r="AD235" s="96">
        <v>104000</v>
      </c>
      <c r="AE235" s="96">
        <v>154000</v>
      </c>
      <c r="AF235" s="96">
        <v>228000</v>
      </c>
      <c r="AG235" s="96">
        <v>329000</v>
      </c>
      <c r="AH235" s="96">
        <v>421000</v>
      </c>
      <c r="AI235" s="96">
        <v>485000</v>
      </c>
      <c r="AJ235" s="100">
        <v>522000</v>
      </c>
      <c r="AK235" s="100"/>
      <c r="AL235" s="113">
        <v>9752400</v>
      </c>
      <c r="AM235" s="95">
        <v>35000</v>
      </c>
      <c r="AN235" s="95">
        <v>7</v>
      </c>
      <c r="AO235" s="96">
        <v>70000</v>
      </c>
      <c r="AP235" s="96">
        <v>5</v>
      </c>
      <c r="AQ235" s="97">
        <v>210000</v>
      </c>
      <c r="AR235" s="134">
        <v>4</v>
      </c>
      <c r="AS235" s="135"/>
      <c r="AT235" s="135"/>
      <c r="AU235" s="113">
        <v>5740000</v>
      </c>
      <c r="AV235" s="113">
        <v>15492400</v>
      </c>
      <c r="AW235" s="113">
        <v>387</v>
      </c>
      <c r="AX235" s="113"/>
      <c r="AY235" s="113">
        <v>516</v>
      </c>
      <c r="AZ235" s="113">
        <v>1</v>
      </c>
      <c r="BA235" s="113" t="s">
        <v>639</v>
      </c>
      <c r="BB235" s="32">
        <v>1</v>
      </c>
      <c r="BC235" s="32"/>
      <c r="BD235" s="32"/>
      <c r="BE235" s="32"/>
      <c r="BF235" s="32"/>
      <c r="BG235" s="32"/>
      <c r="BH235" s="32"/>
      <c r="BI235" s="32"/>
      <c r="BJ235" s="32"/>
      <c r="BK235" s="32"/>
      <c r="BL235" s="32">
        <v>1</v>
      </c>
      <c r="BM235" s="32"/>
      <c r="BN235" s="32"/>
      <c r="BO235" s="32"/>
      <c r="BP235" s="32">
        <v>1</v>
      </c>
      <c r="BQ235" s="32" t="s">
        <v>799</v>
      </c>
      <c r="BR235" s="32"/>
      <c r="BS235" s="32"/>
      <c r="BT235" s="32">
        <v>1</v>
      </c>
      <c r="BU235" s="32"/>
      <c r="BV235" s="81" t="s">
        <v>1273</v>
      </c>
      <c r="BW235" s="77"/>
      <c r="BX235" s="77"/>
      <c r="BY235" s="77"/>
      <c r="BZ235" s="77"/>
      <c r="CA235" s="77"/>
      <c r="CB235" s="113"/>
      <c r="CC235" s="113"/>
      <c r="CD235" s="32"/>
      <c r="CE235" s="32"/>
      <c r="CF235" s="32"/>
      <c r="CG235" s="32"/>
      <c r="CH235" s="32"/>
      <c r="CI235" s="32"/>
      <c r="CJ235" s="32"/>
      <c r="CK235" s="32"/>
      <c r="CL235" s="32"/>
      <c r="CM235" s="32"/>
      <c r="CN235" s="32"/>
    </row>
    <row r="236" spans="1:92" ht="18">
      <c r="A236" s="109">
        <v>234</v>
      </c>
      <c r="B236" s="110" t="s">
        <v>1274</v>
      </c>
      <c r="C236" s="111" t="s">
        <v>1275</v>
      </c>
      <c r="D236" s="110" t="s">
        <v>1184</v>
      </c>
      <c r="E236" s="111" t="s">
        <v>1085</v>
      </c>
      <c r="F236" s="111" t="s">
        <v>220</v>
      </c>
      <c r="G236" s="26" t="s">
        <v>173</v>
      </c>
      <c r="H236" s="112" t="s">
        <v>1071</v>
      </c>
      <c r="I236" s="13"/>
      <c r="J236" s="14">
        <v>4161</v>
      </c>
      <c r="K236" s="120">
        <v>391.1</v>
      </c>
      <c r="L236" s="121">
        <v>81.47</v>
      </c>
      <c r="M236" s="121">
        <v>52.12</v>
      </c>
      <c r="N236" s="121">
        <v>46.85</v>
      </c>
      <c r="O236" s="15"/>
      <c r="P236" s="42" t="s">
        <v>420</v>
      </c>
      <c r="Q236" s="16">
        <v>40</v>
      </c>
      <c r="R236" s="75">
        <v>45</v>
      </c>
      <c r="S236" s="75">
        <v>55</v>
      </c>
      <c r="T236" s="75">
        <v>48</v>
      </c>
      <c r="U236" s="75">
        <v>56</v>
      </c>
      <c r="V236" s="75">
        <v>56</v>
      </c>
      <c r="W236" s="109">
        <v>300</v>
      </c>
      <c r="X236" s="96">
        <v>18000</v>
      </c>
      <c r="Y236" s="96">
        <v>28000</v>
      </c>
      <c r="Z236" s="96">
        <v>40000</v>
      </c>
      <c r="AA236" s="94">
        <v>60000</v>
      </c>
      <c r="AB236" s="94">
        <v>90000</v>
      </c>
      <c r="AC236" s="94">
        <v>130000</v>
      </c>
      <c r="AD236" s="94">
        <v>170000</v>
      </c>
      <c r="AE236" s="94">
        <v>225000</v>
      </c>
      <c r="AF236" s="94">
        <v>310000</v>
      </c>
      <c r="AG236" s="94">
        <v>400000</v>
      </c>
      <c r="AH236" s="94">
        <v>470000</v>
      </c>
      <c r="AI236" s="94">
        <v>510000</v>
      </c>
      <c r="AJ236" s="94">
        <v>549000</v>
      </c>
      <c r="AK236" s="17"/>
      <c r="AL236" s="113">
        <v>12000000</v>
      </c>
      <c r="AM236" s="95">
        <v>56000</v>
      </c>
      <c r="AN236" s="95">
        <v>7</v>
      </c>
      <c r="AO236" s="96">
        <v>112000</v>
      </c>
      <c r="AP236" s="96">
        <v>5</v>
      </c>
      <c r="AQ236" s="97">
        <v>336000</v>
      </c>
      <c r="AR236" s="134">
        <v>4</v>
      </c>
      <c r="AS236" s="135"/>
      <c r="AT236" s="135"/>
      <c r="AU236" s="113">
        <v>9184000</v>
      </c>
      <c r="AV236" s="113">
        <v>21184000</v>
      </c>
      <c r="AW236" s="113"/>
      <c r="AX236" s="113"/>
      <c r="AY236" s="113"/>
      <c r="AZ236" s="113"/>
      <c r="BA236" s="113" t="s">
        <v>639</v>
      </c>
      <c r="BB236" s="32"/>
      <c r="BC236" s="32"/>
      <c r="BD236" s="32"/>
      <c r="BE236" s="32"/>
      <c r="BF236" s="32"/>
      <c r="BG236" s="32"/>
      <c r="BH236" s="32"/>
      <c r="BI236" s="32"/>
      <c r="BJ236" s="32"/>
      <c r="BK236" s="32"/>
      <c r="BL236" s="32">
        <v>1</v>
      </c>
      <c r="BM236" s="32"/>
      <c r="BN236" s="32"/>
      <c r="BO236" s="32"/>
      <c r="BP236" s="32"/>
      <c r="BQ236" s="32"/>
      <c r="BR236" s="32"/>
      <c r="BS236" s="32"/>
      <c r="BT236" s="32"/>
      <c r="BU236" s="32"/>
      <c r="BV236" s="81"/>
      <c r="BW236" s="113"/>
      <c r="BX236" s="113"/>
      <c r="BY236" s="113"/>
      <c r="BZ236" s="113"/>
      <c r="CA236" s="113"/>
      <c r="CB236" s="113"/>
      <c r="CC236" s="113"/>
      <c r="CD236" s="32"/>
      <c r="CE236" s="32"/>
      <c r="CF236" s="32"/>
      <c r="CG236" s="32"/>
      <c r="CH236" s="32"/>
      <c r="CI236" s="32"/>
      <c r="CJ236" s="32"/>
      <c r="CK236" s="32"/>
      <c r="CL236" s="32"/>
      <c r="CM236" s="32"/>
      <c r="CN236" s="32"/>
    </row>
    <row r="237" spans="1:92" ht="18">
      <c r="A237" s="109">
        <v>235</v>
      </c>
      <c r="B237" s="110" t="s">
        <v>1276</v>
      </c>
      <c r="C237" s="111" t="s">
        <v>849</v>
      </c>
      <c r="D237" s="110" t="s">
        <v>273</v>
      </c>
      <c r="E237" s="111" t="s">
        <v>848</v>
      </c>
      <c r="F237" s="111" t="s">
        <v>220</v>
      </c>
      <c r="G237" s="26" t="s">
        <v>173</v>
      </c>
      <c r="H237" s="112" t="s">
        <v>900</v>
      </c>
      <c r="I237" s="13">
        <v>4173</v>
      </c>
      <c r="J237" s="14">
        <v>4175</v>
      </c>
      <c r="K237" s="120">
        <v>383</v>
      </c>
      <c r="L237" s="121">
        <v>75.19</v>
      </c>
      <c r="M237" s="121">
        <v>60.59</v>
      </c>
      <c r="N237" s="121">
        <v>82.2</v>
      </c>
      <c r="O237" s="15"/>
      <c r="P237" s="42" t="s">
        <v>420</v>
      </c>
      <c r="Q237" s="37" t="s">
        <v>270</v>
      </c>
      <c r="R237" s="16">
        <v>30</v>
      </c>
      <c r="S237" s="16">
        <v>35</v>
      </c>
      <c r="T237" s="16">
        <v>45</v>
      </c>
      <c r="U237" s="37">
        <v>55</v>
      </c>
      <c r="V237" s="37">
        <v>85</v>
      </c>
      <c r="W237" s="109">
        <v>250</v>
      </c>
      <c r="X237" s="94">
        <v>8400</v>
      </c>
      <c r="Y237" s="94">
        <v>13700</v>
      </c>
      <c r="Z237" s="94">
        <v>22000</v>
      </c>
      <c r="AA237" s="94">
        <v>32900</v>
      </c>
      <c r="AB237" s="94">
        <v>47600</v>
      </c>
      <c r="AC237" s="94">
        <v>70500</v>
      </c>
      <c r="AD237" s="94">
        <v>104000</v>
      </c>
      <c r="AE237" s="94">
        <v>154000</v>
      </c>
      <c r="AF237" s="94">
        <v>228000</v>
      </c>
      <c r="AG237" s="94">
        <v>329000</v>
      </c>
      <c r="AH237" s="94">
        <v>421000</v>
      </c>
      <c r="AI237" s="94">
        <v>485000</v>
      </c>
      <c r="AJ237" s="17">
        <v>522000</v>
      </c>
      <c r="AK237" s="17"/>
      <c r="AL237" s="113">
        <v>9752400</v>
      </c>
      <c r="AM237" s="95">
        <v>35000</v>
      </c>
      <c r="AN237" s="95">
        <v>7</v>
      </c>
      <c r="AO237" s="96">
        <v>70000</v>
      </c>
      <c r="AP237" s="96">
        <v>5</v>
      </c>
      <c r="AQ237" s="97">
        <v>210000</v>
      </c>
      <c r="AR237" s="134">
        <v>4</v>
      </c>
      <c r="AS237" s="135"/>
      <c r="AT237" s="135"/>
      <c r="AU237" s="113">
        <v>5740000</v>
      </c>
      <c r="AV237" s="113">
        <v>15492400</v>
      </c>
      <c r="AW237" s="113">
        <v>398</v>
      </c>
      <c r="AX237" s="113"/>
      <c r="AY237" s="113">
        <v>535</v>
      </c>
      <c r="AZ237" s="113">
        <v>16</v>
      </c>
      <c r="BA237" s="113" t="s">
        <v>640</v>
      </c>
      <c r="BB237" s="32"/>
      <c r="BC237" s="32"/>
      <c r="BD237" s="32"/>
      <c r="BE237" s="32">
        <v>1</v>
      </c>
      <c r="BF237" s="32"/>
      <c r="BG237" s="32"/>
      <c r="BH237" s="32"/>
      <c r="BI237" s="32"/>
      <c r="BJ237" s="32"/>
      <c r="BK237" s="32"/>
      <c r="BL237" s="32"/>
      <c r="BM237" s="32">
        <v>1</v>
      </c>
      <c r="BN237" s="32"/>
      <c r="BO237" s="32">
        <v>1</v>
      </c>
      <c r="BP237" s="32">
        <v>1</v>
      </c>
      <c r="BQ237" s="32"/>
      <c r="BR237" s="32"/>
      <c r="BS237" s="32"/>
      <c r="BT237" s="32"/>
      <c r="BU237" s="32">
        <v>1</v>
      </c>
      <c r="BV237" s="81" t="s">
        <v>113</v>
      </c>
      <c r="BW237" s="113"/>
      <c r="BX237" s="113"/>
      <c r="BY237" s="113">
        <v>1</v>
      </c>
      <c r="BZ237" s="113">
        <v>9</v>
      </c>
      <c r="CA237" s="113"/>
      <c r="CB237" s="113"/>
      <c r="CC237" s="113"/>
      <c r="CD237" s="32"/>
      <c r="CE237" s="32"/>
      <c r="CF237" s="32"/>
      <c r="CG237" s="32"/>
      <c r="CH237" s="32"/>
      <c r="CI237" s="32"/>
      <c r="CJ237" s="32"/>
      <c r="CK237" s="32"/>
      <c r="CL237" s="32"/>
      <c r="CM237" s="32"/>
      <c r="CN237" s="32"/>
    </row>
    <row r="238" spans="1:92" ht="18">
      <c r="A238" s="109">
        <v>236</v>
      </c>
      <c r="B238" s="110" t="s">
        <v>233</v>
      </c>
      <c r="C238" s="111" t="s">
        <v>234</v>
      </c>
      <c r="D238" s="110" t="s">
        <v>141</v>
      </c>
      <c r="E238" s="111" t="s">
        <v>372</v>
      </c>
      <c r="F238" s="111" t="s">
        <v>220</v>
      </c>
      <c r="G238" s="26" t="s">
        <v>173</v>
      </c>
      <c r="H238" s="112" t="s">
        <v>303</v>
      </c>
      <c r="I238" s="13">
        <v>4213</v>
      </c>
      <c r="J238" s="14">
        <v>4213</v>
      </c>
      <c r="K238" s="120">
        <v>366.1</v>
      </c>
      <c r="L238" s="121">
        <v>84.48</v>
      </c>
      <c r="M238" s="121">
        <v>61.54</v>
      </c>
      <c r="N238" s="121">
        <v>72.02</v>
      </c>
      <c r="O238" s="32">
        <v>7.516</v>
      </c>
      <c r="P238" s="42" t="s">
        <v>420</v>
      </c>
      <c r="Q238" s="16">
        <v>60</v>
      </c>
      <c r="R238" s="16">
        <v>15</v>
      </c>
      <c r="S238" s="16">
        <v>18</v>
      </c>
      <c r="T238" s="16">
        <v>25</v>
      </c>
      <c r="U238" s="16">
        <v>38</v>
      </c>
      <c r="V238" s="16">
        <v>48</v>
      </c>
      <c r="W238" s="109">
        <v>204</v>
      </c>
      <c r="X238" s="103">
        <v>10550</v>
      </c>
      <c r="Y238" s="103">
        <v>17200</v>
      </c>
      <c r="Z238" s="103">
        <v>27600</v>
      </c>
      <c r="AA238" s="103">
        <v>41400</v>
      </c>
      <c r="AB238" s="103">
        <v>59800</v>
      </c>
      <c r="AC238" s="103">
        <v>88500</v>
      </c>
      <c r="AD238" s="103">
        <v>131000</v>
      </c>
      <c r="AE238" s="103">
        <v>193500</v>
      </c>
      <c r="AF238" s="103">
        <v>286500</v>
      </c>
      <c r="AG238" s="103">
        <v>414000</v>
      </c>
      <c r="AH238" s="100">
        <v>529000</v>
      </c>
      <c r="AI238" s="100">
        <v>609000</v>
      </c>
      <c r="AJ238" s="100">
        <v>654000</v>
      </c>
      <c r="AK238" s="100"/>
      <c r="AL238" s="113">
        <v>12248200</v>
      </c>
      <c r="AM238" s="95">
        <v>45000</v>
      </c>
      <c r="AN238" s="95">
        <v>7</v>
      </c>
      <c r="AO238" s="96">
        <v>90000</v>
      </c>
      <c r="AP238" s="96">
        <v>5</v>
      </c>
      <c r="AQ238" s="97">
        <v>270000</v>
      </c>
      <c r="AR238" s="134">
        <v>4</v>
      </c>
      <c r="AS238" s="135"/>
      <c r="AT238" s="135"/>
      <c r="AU238" s="113">
        <v>7380000</v>
      </c>
      <c r="AV238" s="113">
        <v>19628200</v>
      </c>
      <c r="AW238" s="113">
        <v>381</v>
      </c>
      <c r="AX238" s="113"/>
      <c r="AY238" s="113">
        <v>506</v>
      </c>
      <c r="AZ238" s="113">
        <v>17</v>
      </c>
      <c r="BA238" s="113" t="s">
        <v>709</v>
      </c>
      <c r="BB238" s="32"/>
      <c r="BC238" s="32"/>
      <c r="BD238" s="32"/>
      <c r="BE238" s="32">
        <v>1</v>
      </c>
      <c r="BF238" s="32"/>
      <c r="BG238" s="32"/>
      <c r="BH238" s="32"/>
      <c r="BI238" s="32"/>
      <c r="BJ238" s="32"/>
      <c r="BK238" s="32"/>
      <c r="BL238" s="32"/>
      <c r="BM238" s="32"/>
      <c r="BN238" s="32"/>
      <c r="BO238" s="32"/>
      <c r="BP238" s="32">
        <v>1</v>
      </c>
      <c r="BQ238" s="32"/>
      <c r="BR238" s="32"/>
      <c r="BS238" s="32"/>
      <c r="BT238" s="32"/>
      <c r="BU238" s="32">
        <v>1</v>
      </c>
      <c r="BV238" s="81" t="s">
        <v>1277</v>
      </c>
      <c r="BW238" s="113"/>
      <c r="BX238" s="113"/>
      <c r="BY238" s="113"/>
      <c r="BZ238" s="113"/>
      <c r="CA238" s="113"/>
      <c r="CB238" s="113"/>
      <c r="CC238" s="113"/>
      <c r="CD238" s="32"/>
      <c r="CE238" s="32"/>
      <c r="CF238" s="32"/>
      <c r="CG238" s="32"/>
      <c r="CH238" s="32"/>
      <c r="CI238" s="32"/>
      <c r="CJ238" s="32"/>
      <c r="CK238" s="32"/>
      <c r="CL238" s="32"/>
      <c r="CM238" s="32"/>
      <c r="CN238" s="32"/>
    </row>
    <row r="239" spans="1:92" ht="18">
      <c r="A239" s="109">
        <v>237</v>
      </c>
      <c r="B239" s="110" t="s">
        <v>1278</v>
      </c>
      <c r="C239" s="111" t="s">
        <v>954</v>
      </c>
      <c r="D239" s="110" t="s">
        <v>952</v>
      </c>
      <c r="E239" s="111" t="s">
        <v>953</v>
      </c>
      <c r="F239" s="111" t="s">
        <v>220</v>
      </c>
      <c r="G239" s="26" t="s">
        <v>173</v>
      </c>
      <c r="H239" s="112" t="s">
        <v>943</v>
      </c>
      <c r="I239" s="13">
        <v>4241</v>
      </c>
      <c r="J239" s="14">
        <v>4241</v>
      </c>
      <c r="K239" s="130">
        <v>399.1</v>
      </c>
      <c r="L239" s="131">
        <v>74.900000000000006</v>
      </c>
      <c r="M239" s="131">
        <v>66.52</v>
      </c>
      <c r="N239" s="131">
        <v>63.39</v>
      </c>
      <c r="O239" s="39"/>
      <c r="P239" s="42" t="s">
        <v>420</v>
      </c>
      <c r="Q239" s="27">
        <v>40</v>
      </c>
      <c r="R239" s="75">
        <v>45</v>
      </c>
      <c r="S239" s="75">
        <v>55</v>
      </c>
      <c r="T239" s="75">
        <v>48</v>
      </c>
      <c r="U239" s="75">
        <v>56</v>
      </c>
      <c r="V239" s="75">
        <v>56</v>
      </c>
      <c r="W239" s="109">
        <v>300</v>
      </c>
      <c r="X239" s="28">
        <v>10550</v>
      </c>
      <c r="Y239" s="28">
        <v>17200</v>
      </c>
      <c r="Z239" s="28">
        <v>27600</v>
      </c>
      <c r="AA239" s="28">
        <v>41400</v>
      </c>
      <c r="AB239" s="28">
        <v>59800</v>
      </c>
      <c r="AC239" s="28">
        <v>88500</v>
      </c>
      <c r="AD239" s="103">
        <v>131000</v>
      </c>
      <c r="AE239" s="103">
        <v>193500</v>
      </c>
      <c r="AF239" s="103">
        <v>286500</v>
      </c>
      <c r="AG239" s="103">
        <v>414000</v>
      </c>
      <c r="AH239" s="100">
        <v>529000</v>
      </c>
      <c r="AI239" s="100">
        <v>609000</v>
      </c>
      <c r="AJ239" s="100">
        <v>654000</v>
      </c>
      <c r="AK239" s="32"/>
      <c r="AL239" s="113">
        <v>12248200</v>
      </c>
      <c r="AM239" s="95">
        <v>67500</v>
      </c>
      <c r="AN239" s="95">
        <v>7</v>
      </c>
      <c r="AO239" s="96">
        <v>135000</v>
      </c>
      <c r="AP239" s="96">
        <v>5</v>
      </c>
      <c r="AQ239" s="97">
        <v>405000</v>
      </c>
      <c r="AR239" s="134">
        <v>4</v>
      </c>
      <c r="AS239" s="135"/>
      <c r="AT239" s="135"/>
      <c r="AU239" s="32">
        <v>11070000</v>
      </c>
      <c r="AV239" s="113">
        <v>23318200</v>
      </c>
      <c r="AW239" s="113">
        <v>415</v>
      </c>
      <c r="AX239" s="113"/>
      <c r="AY239" s="113">
        <v>555</v>
      </c>
      <c r="AZ239" s="113"/>
      <c r="BA239" s="113" t="s">
        <v>639</v>
      </c>
      <c r="BB239" s="32"/>
      <c r="BC239" s="32"/>
      <c r="BD239" s="32"/>
      <c r="BE239" s="32">
        <v>1</v>
      </c>
      <c r="BF239" s="32"/>
      <c r="BG239" s="32"/>
      <c r="BH239" s="32"/>
      <c r="BI239" s="32"/>
      <c r="BJ239" s="32"/>
      <c r="BK239" s="32"/>
      <c r="BL239" s="32">
        <v>1</v>
      </c>
      <c r="BM239" s="32"/>
      <c r="BN239" s="32"/>
      <c r="BO239" s="32"/>
      <c r="BP239" s="32"/>
      <c r="BQ239" s="32"/>
      <c r="BR239" s="32"/>
      <c r="BS239" s="32"/>
      <c r="BT239" s="32"/>
      <c r="BU239" s="32">
        <v>1</v>
      </c>
      <c r="BV239" s="81" t="s">
        <v>955</v>
      </c>
      <c r="BW239" s="77"/>
      <c r="BX239" s="77"/>
      <c r="BY239" s="77"/>
      <c r="BZ239" s="77"/>
      <c r="CA239" s="77"/>
      <c r="CB239" s="113"/>
      <c r="CC239" s="113"/>
      <c r="CD239" s="32"/>
      <c r="CE239" s="32"/>
      <c r="CF239" s="32"/>
      <c r="CG239" s="32"/>
      <c r="CH239" s="32"/>
      <c r="CI239" s="32"/>
      <c r="CJ239" s="32"/>
      <c r="CK239" s="32"/>
      <c r="CL239" s="32"/>
      <c r="CM239" s="32"/>
      <c r="CN239" s="32"/>
    </row>
    <row r="240" spans="1:92" ht="18">
      <c r="A240" s="109">
        <v>238</v>
      </c>
      <c r="B240" s="110" t="s">
        <v>235</v>
      </c>
      <c r="C240" s="111" t="s">
        <v>236</v>
      </c>
      <c r="D240" s="110" t="s">
        <v>99</v>
      </c>
      <c r="E240" s="111" t="s">
        <v>373</v>
      </c>
      <c r="F240" s="111" t="s">
        <v>220</v>
      </c>
      <c r="G240" s="26" t="s">
        <v>173</v>
      </c>
      <c r="H240" s="112" t="s">
        <v>425</v>
      </c>
      <c r="I240" s="13">
        <v>4270</v>
      </c>
      <c r="J240" s="14">
        <v>4289</v>
      </c>
      <c r="K240" s="130">
        <v>357.2</v>
      </c>
      <c r="L240" s="131">
        <v>83.75</v>
      </c>
      <c r="M240" s="131">
        <v>85.71</v>
      </c>
      <c r="N240" s="131">
        <v>73.930000000000007</v>
      </c>
      <c r="O240" s="39"/>
      <c r="P240" s="42" t="s">
        <v>420</v>
      </c>
      <c r="Q240" s="37" t="s">
        <v>270</v>
      </c>
      <c r="R240" s="37">
        <v>28</v>
      </c>
      <c r="S240" s="37">
        <v>32</v>
      </c>
      <c r="T240" s="37">
        <v>44</v>
      </c>
      <c r="U240" s="21">
        <v>59</v>
      </c>
      <c r="V240" s="37">
        <v>86</v>
      </c>
      <c r="W240" s="109">
        <v>249</v>
      </c>
      <c r="X240" s="103">
        <v>10550</v>
      </c>
      <c r="Y240" s="103">
        <v>17200</v>
      </c>
      <c r="Z240" s="103">
        <v>27600</v>
      </c>
      <c r="AA240" s="103">
        <v>41400</v>
      </c>
      <c r="AB240" s="103">
        <v>59800</v>
      </c>
      <c r="AC240" s="103">
        <v>88500</v>
      </c>
      <c r="AD240" s="103">
        <v>131000</v>
      </c>
      <c r="AE240" s="103">
        <v>193500</v>
      </c>
      <c r="AF240" s="103">
        <v>286500</v>
      </c>
      <c r="AG240" s="103">
        <v>414000</v>
      </c>
      <c r="AH240" s="100">
        <v>529000</v>
      </c>
      <c r="AI240" s="100">
        <v>609000</v>
      </c>
      <c r="AJ240" s="100">
        <v>654000</v>
      </c>
      <c r="AK240" s="100"/>
      <c r="AL240" s="113">
        <v>12248200</v>
      </c>
      <c r="AM240" s="95">
        <v>45000</v>
      </c>
      <c r="AN240" s="95">
        <v>7</v>
      </c>
      <c r="AO240" s="96">
        <v>90000</v>
      </c>
      <c r="AP240" s="96">
        <v>5</v>
      </c>
      <c r="AQ240" s="97">
        <v>270000</v>
      </c>
      <c r="AR240" s="134">
        <v>4</v>
      </c>
      <c r="AS240" s="135"/>
      <c r="AT240" s="135"/>
      <c r="AU240" s="113">
        <v>7380000</v>
      </c>
      <c r="AV240" s="113">
        <v>19628200</v>
      </c>
      <c r="AW240" s="113">
        <v>373</v>
      </c>
      <c r="AX240" s="113"/>
      <c r="AY240" s="113">
        <v>493</v>
      </c>
      <c r="AZ240" s="113">
        <v>17</v>
      </c>
      <c r="BA240" s="113" t="s">
        <v>640</v>
      </c>
      <c r="BB240" s="32"/>
      <c r="BC240" s="32"/>
      <c r="BD240" s="32"/>
      <c r="BE240" s="32">
        <v>1</v>
      </c>
      <c r="BF240" s="32"/>
      <c r="BG240" s="32"/>
      <c r="BH240" s="32"/>
      <c r="BI240" s="32"/>
      <c r="BJ240" s="32"/>
      <c r="BK240" s="32"/>
      <c r="BL240" s="32"/>
      <c r="BM240" s="32">
        <v>1</v>
      </c>
      <c r="BN240" s="32"/>
      <c r="BO240" s="32">
        <v>1</v>
      </c>
      <c r="BP240" s="32">
        <v>1</v>
      </c>
      <c r="BQ240" s="32"/>
      <c r="BR240" s="32"/>
      <c r="BS240" s="32"/>
      <c r="BT240" s="32">
        <v>1</v>
      </c>
      <c r="BU240" s="32">
        <v>1</v>
      </c>
      <c r="BV240" s="81" t="s">
        <v>747</v>
      </c>
      <c r="BW240" s="77" t="s">
        <v>687</v>
      </c>
      <c r="BX240" s="77"/>
      <c r="BY240" s="113">
        <v>1</v>
      </c>
      <c r="BZ240" s="113">
        <v>9</v>
      </c>
      <c r="CA240" s="113"/>
      <c r="CB240" s="113"/>
      <c r="CC240" s="113"/>
      <c r="CD240" s="32"/>
      <c r="CE240" s="32"/>
      <c r="CF240" s="32"/>
      <c r="CG240" s="32"/>
      <c r="CH240" s="32"/>
      <c r="CI240" s="32"/>
      <c r="CJ240" s="32"/>
      <c r="CK240" s="32"/>
      <c r="CL240" s="32"/>
      <c r="CM240" s="32"/>
      <c r="CN240" s="32"/>
    </row>
    <row r="241" spans="1:92" ht="18">
      <c r="A241" s="109">
        <v>239</v>
      </c>
      <c r="B241" s="110" t="s">
        <v>239</v>
      </c>
      <c r="C241" s="111" t="s">
        <v>240</v>
      </c>
      <c r="D241" s="110" t="s">
        <v>620</v>
      </c>
      <c r="E241" s="149" t="s">
        <v>375</v>
      </c>
      <c r="F241" s="111" t="s">
        <v>220</v>
      </c>
      <c r="G241" s="26" t="s">
        <v>173</v>
      </c>
      <c r="H241" s="112" t="s">
        <v>303</v>
      </c>
      <c r="I241" s="13">
        <v>4274</v>
      </c>
      <c r="J241" s="14">
        <v>4292</v>
      </c>
      <c r="K241" s="120">
        <v>365.4</v>
      </c>
      <c r="L241" s="121">
        <v>80.040000000000006</v>
      </c>
      <c r="M241" s="121">
        <v>63.11</v>
      </c>
      <c r="N241" s="121">
        <v>86.75</v>
      </c>
      <c r="O241" s="32">
        <v>11.832000000000001</v>
      </c>
      <c r="P241" s="42" t="s">
        <v>420</v>
      </c>
      <c r="Q241" s="16">
        <v>60</v>
      </c>
      <c r="R241" s="16">
        <v>15</v>
      </c>
      <c r="S241" s="16">
        <v>18</v>
      </c>
      <c r="T241" s="16">
        <v>25</v>
      </c>
      <c r="U241" s="16">
        <v>38</v>
      </c>
      <c r="V241" s="16">
        <v>48</v>
      </c>
      <c r="W241" s="109">
        <v>204</v>
      </c>
      <c r="X241" s="103">
        <v>10550</v>
      </c>
      <c r="Y241" s="103">
        <v>17200</v>
      </c>
      <c r="Z241" s="103">
        <v>27600</v>
      </c>
      <c r="AA241" s="103">
        <v>41400</v>
      </c>
      <c r="AB241" s="103">
        <v>59800</v>
      </c>
      <c r="AC241" s="103">
        <v>88500</v>
      </c>
      <c r="AD241" s="103">
        <v>131000</v>
      </c>
      <c r="AE241" s="103">
        <v>193500</v>
      </c>
      <c r="AF241" s="103">
        <v>286500</v>
      </c>
      <c r="AG241" s="103">
        <v>414000</v>
      </c>
      <c r="AH241" s="100">
        <v>529000</v>
      </c>
      <c r="AI241" s="100">
        <v>609000</v>
      </c>
      <c r="AJ241" s="100">
        <v>654000</v>
      </c>
      <c r="AK241" s="32"/>
      <c r="AL241" s="113">
        <v>12248200</v>
      </c>
      <c r="AM241" s="95">
        <v>45000</v>
      </c>
      <c r="AN241" s="95">
        <v>7</v>
      </c>
      <c r="AO241" s="96">
        <v>90000</v>
      </c>
      <c r="AP241" s="96">
        <v>5</v>
      </c>
      <c r="AQ241" s="97">
        <v>270000</v>
      </c>
      <c r="AR241" s="134">
        <v>4</v>
      </c>
      <c r="AS241" s="135"/>
      <c r="AT241" s="135"/>
      <c r="AU241" s="113">
        <v>7380000</v>
      </c>
      <c r="AV241" s="113">
        <v>19628200</v>
      </c>
      <c r="AW241" s="113">
        <v>380</v>
      </c>
      <c r="AX241" s="113"/>
      <c r="AY241" s="113">
        <v>504</v>
      </c>
      <c r="AZ241" s="113">
        <v>18</v>
      </c>
      <c r="BA241" s="113" t="s">
        <v>709</v>
      </c>
      <c r="BB241" s="32"/>
      <c r="BC241" s="32"/>
      <c r="BD241" s="32"/>
      <c r="BE241" s="32">
        <v>1</v>
      </c>
      <c r="BF241" s="32"/>
      <c r="BG241" s="32"/>
      <c r="BH241" s="32"/>
      <c r="BI241" s="32"/>
      <c r="BJ241" s="32"/>
      <c r="BK241" s="32"/>
      <c r="BL241" s="32"/>
      <c r="BM241" s="32"/>
      <c r="BN241" s="32"/>
      <c r="BO241" s="32"/>
      <c r="BP241" s="32"/>
      <c r="BQ241" s="84" t="s">
        <v>800</v>
      </c>
      <c r="BR241" s="32"/>
      <c r="BS241" s="32"/>
      <c r="BT241" s="32"/>
      <c r="BU241" s="32">
        <v>1</v>
      </c>
      <c r="BV241" s="81" t="s">
        <v>1279</v>
      </c>
      <c r="BW241" s="113"/>
      <c r="BX241" s="113"/>
      <c r="BY241" s="113">
        <v>1</v>
      </c>
      <c r="BZ241" s="113">
        <v>9</v>
      </c>
      <c r="CA241" s="113"/>
      <c r="CB241" s="113"/>
      <c r="CC241" s="113"/>
      <c r="CD241" s="32"/>
      <c r="CE241" s="32"/>
      <c r="CF241" s="32"/>
      <c r="CG241" s="32"/>
      <c r="CH241" s="32"/>
      <c r="CI241" s="32"/>
      <c r="CJ241" s="32"/>
      <c r="CK241" s="32"/>
      <c r="CL241" s="32"/>
      <c r="CM241" s="32"/>
      <c r="CN241" s="32"/>
    </row>
    <row r="242" spans="1:92" ht="18">
      <c r="A242" s="109">
        <v>240</v>
      </c>
      <c r="B242" s="110" t="s">
        <v>241</v>
      </c>
      <c r="C242" s="111" t="s">
        <v>242</v>
      </c>
      <c r="D242" s="110" t="s">
        <v>158</v>
      </c>
      <c r="E242" s="149" t="s">
        <v>376</v>
      </c>
      <c r="F242" s="111" t="s">
        <v>220</v>
      </c>
      <c r="G242" s="26" t="s">
        <v>173</v>
      </c>
      <c r="H242" s="112" t="s">
        <v>304</v>
      </c>
      <c r="I242" s="13">
        <v>4291</v>
      </c>
      <c r="J242" s="14">
        <v>4293</v>
      </c>
      <c r="K242" s="120">
        <v>366.2</v>
      </c>
      <c r="L242" s="121">
        <v>81.03</v>
      </c>
      <c r="M242" s="121">
        <v>82.48</v>
      </c>
      <c r="N242" s="121">
        <v>70.099999999999994</v>
      </c>
      <c r="O242" s="32">
        <v>7.2</v>
      </c>
      <c r="P242" s="42" t="s">
        <v>420</v>
      </c>
      <c r="Q242" s="16">
        <v>30</v>
      </c>
      <c r="R242" s="16">
        <v>30</v>
      </c>
      <c r="S242" s="16">
        <v>30</v>
      </c>
      <c r="T242" s="16">
        <v>35</v>
      </c>
      <c r="U242" s="16">
        <v>35</v>
      </c>
      <c r="V242" s="16">
        <v>40</v>
      </c>
      <c r="W242" s="109">
        <v>200</v>
      </c>
      <c r="X242" s="16">
        <v>10550</v>
      </c>
      <c r="Y242" s="16">
        <v>17200</v>
      </c>
      <c r="Z242" s="16">
        <v>27600</v>
      </c>
      <c r="AA242" s="16">
        <v>41400</v>
      </c>
      <c r="AB242" s="16">
        <v>59800</v>
      </c>
      <c r="AC242" s="16">
        <v>88500</v>
      </c>
      <c r="AD242" s="16">
        <v>131000</v>
      </c>
      <c r="AE242" s="16">
        <v>193500</v>
      </c>
      <c r="AF242" s="16">
        <v>286500</v>
      </c>
      <c r="AG242" s="16">
        <v>414000</v>
      </c>
      <c r="AH242" s="17">
        <v>529000</v>
      </c>
      <c r="AI242" s="17">
        <v>609000</v>
      </c>
      <c r="AJ242" s="17">
        <v>654000</v>
      </c>
      <c r="AK242" s="17"/>
      <c r="AL242" s="113">
        <v>12248200</v>
      </c>
      <c r="AM242" s="95">
        <v>45000</v>
      </c>
      <c r="AN242" s="95">
        <v>7</v>
      </c>
      <c r="AO242" s="96">
        <v>90000</v>
      </c>
      <c r="AP242" s="96">
        <v>5</v>
      </c>
      <c r="AQ242" s="97">
        <v>270000</v>
      </c>
      <c r="AR242" s="134">
        <v>4</v>
      </c>
      <c r="AS242" s="135"/>
      <c r="AT242" s="135"/>
      <c r="AU242" s="113">
        <v>7380000</v>
      </c>
      <c r="AV242" s="113">
        <v>19628200</v>
      </c>
      <c r="AW242" s="113">
        <v>381</v>
      </c>
      <c r="AX242" s="113"/>
      <c r="AY242" s="113">
        <v>506</v>
      </c>
      <c r="AZ242" s="113">
        <v>18</v>
      </c>
      <c r="BA242" s="113" t="s">
        <v>709</v>
      </c>
      <c r="BB242" s="32"/>
      <c r="BC242" s="32"/>
      <c r="BD242" s="32"/>
      <c r="BE242" s="32">
        <v>1</v>
      </c>
      <c r="BF242" s="32"/>
      <c r="BG242" s="32"/>
      <c r="BH242" s="32"/>
      <c r="BI242" s="32"/>
      <c r="BJ242" s="32"/>
      <c r="BK242" s="32"/>
      <c r="BL242" s="32"/>
      <c r="BM242" s="32"/>
      <c r="BN242" s="32"/>
      <c r="BO242" s="32"/>
      <c r="BP242" s="32">
        <v>1</v>
      </c>
      <c r="BQ242" s="32"/>
      <c r="BR242" s="32"/>
      <c r="BS242" s="32" t="s">
        <v>650</v>
      </c>
      <c r="BT242" s="32"/>
      <c r="BU242" s="32">
        <v>1</v>
      </c>
      <c r="BV242" s="81" t="s">
        <v>1280</v>
      </c>
      <c r="BW242" s="113"/>
      <c r="BX242" s="113"/>
      <c r="BY242" s="113">
        <v>1</v>
      </c>
      <c r="BZ242" s="113">
        <v>9</v>
      </c>
      <c r="CA242" s="113"/>
      <c r="CB242" s="113"/>
      <c r="CC242" s="113"/>
      <c r="CD242" s="32"/>
      <c r="CE242" s="32"/>
      <c r="CF242" s="32"/>
      <c r="CG242" s="32"/>
      <c r="CH242" s="32"/>
      <c r="CI242" s="32"/>
      <c r="CJ242" s="32"/>
      <c r="CK242" s="32"/>
      <c r="CL242" s="32"/>
      <c r="CM242" s="32"/>
      <c r="CN242" s="32"/>
    </row>
    <row r="243" spans="1:92" ht="18">
      <c r="A243" s="109">
        <v>241</v>
      </c>
      <c r="B243" s="110" t="s">
        <v>1281</v>
      </c>
      <c r="C243" s="111" t="s">
        <v>664</v>
      </c>
      <c r="D243" s="110" t="s">
        <v>662</v>
      </c>
      <c r="E243" s="111" t="s">
        <v>663</v>
      </c>
      <c r="F243" s="111" t="s">
        <v>220</v>
      </c>
      <c r="G243" s="26" t="s">
        <v>173</v>
      </c>
      <c r="H243" s="112" t="s">
        <v>311</v>
      </c>
      <c r="I243" s="13">
        <v>4171</v>
      </c>
      <c r="J243" s="14">
        <v>4301</v>
      </c>
      <c r="K243" s="120">
        <v>353.8</v>
      </c>
      <c r="L243" s="121">
        <v>85.32</v>
      </c>
      <c r="M243" s="121">
        <v>74.39</v>
      </c>
      <c r="N243" s="121">
        <v>69</v>
      </c>
      <c r="O243" s="39"/>
      <c r="P243" s="42" t="s">
        <v>420</v>
      </c>
      <c r="Q243" s="37" t="s">
        <v>270</v>
      </c>
      <c r="R243" s="37">
        <v>30</v>
      </c>
      <c r="S243" s="37">
        <v>35</v>
      </c>
      <c r="T243" s="37">
        <v>45</v>
      </c>
      <c r="U243" s="37">
        <v>55</v>
      </c>
      <c r="V243" s="37">
        <v>85</v>
      </c>
      <c r="W243" s="109">
        <v>250</v>
      </c>
      <c r="X243" s="16">
        <v>10550</v>
      </c>
      <c r="Y243" s="16">
        <v>17200</v>
      </c>
      <c r="Z243" s="16">
        <v>27600</v>
      </c>
      <c r="AA243" s="16">
        <v>41400</v>
      </c>
      <c r="AB243" s="16">
        <v>59800</v>
      </c>
      <c r="AC243" s="16">
        <v>88500</v>
      </c>
      <c r="AD243" s="16">
        <v>131000</v>
      </c>
      <c r="AE243" s="16">
        <v>193500</v>
      </c>
      <c r="AF243" s="16">
        <v>286500</v>
      </c>
      <c r="AG243" s="16">
        <v>414000</v>
      </c>
      <c r="AH243" s="106">
        <v>529000</v>
      </c>
      <c r="AI243" s="106">
        <v>609000</v>
      </c>
      <c r="AJ243" s="106">
        <v>654000</v>
      </c>
      <c r="AK243" s="17"/>
      <c r="AL243" s="113">
        <v>12248200</v>
      </c>
      <c r="AM243" s="95">
        <v>45000</v>
      </c>
      <c r="AN243" s="95">
        <v>7</v>
      </c>
      <c r="AO243" s="96">
        <v>90000</v>
      </c>
      <c r="AP243" s="96">
        <v>5</v>
      </c>
      <c r="AQ243" s="97">
        <v>270000</v>
      </c>
      <c r="AR243" s="134">
        <v>4</v>
      </c>
      <c r="AS243" s="135"/>
      <c r="AT243" s="135"/>
      <c r="AU243" s="32">
        <v>7380000</v>
      </c>
      <c r="AV243" s="32">
        <v>19628200</v>
      </c>
      <c r="AW243" s="113">
        <v>368</v>
      </c>
      <c r="AX243" s="113">
        <v>378</v>
      </c>
      <c r="AY243" s="113">
        <v>498</v>
      </c>
      <c r="AZ243" s="113">
        <v>14</v>
      </c>
      <c r="BA243" s="113" t="s">
        <v>640</v>
      </c>
      <c r="BB243" s="32"/>
      <c r="BC243" s="32"/>
      <c r="BD243" s="32"/>
      <c r="BE243" s="32">
        <v>1</v>
      </c>
      <c r="BF243" s="32"/>
      <c r="BG243" s="32"/>
      <c r="BH243" s="32"/>
      <c r="BI243" s="32"/>
      <c r="BJ243" s="32"/>
      <c r="BK243" s="32"/>
      <c r="BL243" s="32"/>
      <c r="BM243" s="32">
        <v>1</v>
      </c>
      <c r="BN243" s="32"/>
      <c r="BO243" s="32">
        <v>1</v>
      </c>
      <c r="BP243" s="32"/>
      <c r="BQ243" s="32" t="s">
        <v>800</v>
      </c>
      <c r="BR243" s="32"/>
      <c r="BS243" s="32"/>
      <c r="BT243" s="32"/>
      <c r="BU243" s="32">
        <v>1</v>
      </c>
      <c r="BV243" s="81" t="s">
        <v>1282</v>
      </c>
      <c r="BW243" s="113"/>
      <c r="BX243" s="113"/>
      <c r="BY243" s="113"/>
      <c r="BZ243" s="113"/>
      <c r="CA243" s="113"/>
      <c r="CB243" s="113"/>
      <c r="CC243" s="113"/>
      <c r="CD243" s="32"/>
      <c r="CE243" s="32"/>
      <c r="CF243" s="32"/>
      <c r="CG243" s="32"/>
      <c r="CH243" s="32"/>
      <c r="CI243" s="32"/>
      <c r="CJ243" s="32"/>
      <c r="CK243" s="32"/>
      <c r="CL243" s="32"/>
      <c r="CM243" s="32"/>
      <c r="CN243" s="32"/>
    </row>
    <row r="244" spans="1:92" ht="18">
      <c r="A244" s="109">
        <v>242</v>
      </c>
      <c r="B244" s="110" t="s">
        <v>243</v>
      </c>
      <c r="C244" s="111" t="s">
        <v>244</v>
      </c>
      <c r="D244" s="110" t="s">
        <v>182</v>
      </c>
      <c r="E244" s="111" t="s">
        <v>377</v>
      </c>
      <c r="F244" s="111" t="s">
        <v>220</v>
      </c>
      <c r="G244" s="26" t="s">
        <v>173</v>
      </c>
      <c r="H244" s="112" t="s">
        <v>606</v>
      </c>
      <c r="I244" s="13">
        <v>4309</v>
      </c>
      <c r="J244" s="14">
        <v>4301</v>
      </c>
      <c r="K244" s="126">
        <v>377</v>
      </c>
      <c r="L244" s="127">
        <v>74.66</v>
      </c>
      <c r="M244" s="127">
        <v>66.61</v>
      </c>
      <c r="N244" s="127">
        <v>73.12</v>
      </c>
      <c r="O244" s="39"/>
      <c r="P244" s="42" t="s">
        <v>420</v>
      </c>
      <c r="Q244" s="16" t="s">
        <v>270</v>
      </c>
      <c r="R244" s="16">
        <v>30</v>
      </c>
      <c r="S244" s="16">
        <v>35</v>
      </c>
      <c r="T244" s="16">
        <v>45</v>
      </c>
      <c r="U244" s="16">
        <v>55</v>
      </c>
      <c r="V244" s="16">
        <v>85</v>
      </c>
      <c r="W244" s="109">
        <v>250</v>
      </c>
      <c r="X244" s="16">
        <v>10550</v>
      </c>
      <c r="Y244" s="16">
        <v>17200</v>
      </c>
      <c r="Z244" s="16">
        <v>27600</v>
      </c>
      <c r="AA244" s="16">
        <v>41400</v>
      </c>
      <c r="AB244" s="16">
        <v>59800</v>
      </c>
      <c r="AC244" s="16">
        <v>88500</v>
      </c>
      <c r="AD244" s="16">
        <v>131000</v>
      </c>
      <c r="AE244" s="16">
        <v>193500</v>
      </c>
      <c r="AF244" s="16">
        <v>286500</v>
      </c>
      <c r="AG244" s="16">
        <v>414000</v>
      </c>
      <c r="AH244" s="17">
        <v>529000</v>
      </c>
      <c r="AI244" s="17">
        <v>609000</v>
      </c>
      <c r="AJ244" s="17">
        <v>654000</v>
      </c>
      <c r="AK244" s="17"/>
      <c r="AL244" s="113">
        <v>12248200</v>
      </c>
      <c r="AM244" s="95">
        <v>45000</v>
      </c>
      <c r="AN244" s="95">
        <v>7</v>
      </c>
      <c r="AO244" s="96">
        <v>90000</v>
      </c>
      <c r="AP244" s="96">
        <v>5</v>
      </c>
      <c r="AQ244" s="97">
        <v>270000</v>
      </c>
      <c r="AR244" s="134">
        <v>4</v>
      </c>
      <c r="AS244" s="135"/>
      <c r="AT244" s="135"/>
      <c r="AU244" s="113">
        <v>7380000</v>
      </c>
      <c r="AV244" s="113">
        <v>19628200</v>
      </c>
      <c r="AW244" s="113">
        <v>392</v>
      </c>
      <c r="AX244" s="113"/>
      <c r="AY244" s="113">
        <v>525</v>
      </c>
      <c r="AZ244" s="113">
        <v>15</v>
      </c>
      <c r="BA244" s="113" t="s">
        <v>640</v>
      </c>
      <c r="BB244" s="32"/>
      <c r="BC244" s="32"/>
      <c r="BD244" s="32"/>
      <c r="BE244" s="32">
        <v>1</v>
      </c>
      <c r="BF244" s="32"/>
      <c r="BG244" s="32"/>
      <c r="BH244" s="32"/>
      <c r="BI244" s="32"/>
      <c r="BJ244" s="32"/>
      <c r="BK244" s="32"/>
      <c r="BL244" s="32"/>
      <c r="BM244" s="32">
        <v>1</v>
      </c>
      <c r="BN244" s="32"/>
      <c r="BO244" s="32">
        <v>1</v>
      </c>
      <c r="BP244" s="32">
        <v>1</v>
      </c>
      <c r="BQ244" s="84" t="s">
        <v>800</v>
      </c>
      <c r="BR244" s="32"/>
      <c r="BS244" s="32"/>
      <c r="BT244" s="32"/>
      <c r="BU244" s="32">
        <v>1</v>
      </c>
      <c r="BV244" s="81" t="s">
        <v>755</v>
      </c>
      <c r="BW244" s="77" t="s">
        <v>688</v>
      </c>
      <c r="BX244" s="77"/>
      <c r="BY244" s="77"/>
      <c r="BZ244" s="77"/>
      <c r="CA244" s="77"/>
      <c r="CB244" s="113"/>
      <c r="CC244" s="113"/>
      <c r="CD244" s="32"/>
      <c r="CE244" s="32"/>
      <c r="CF244" s="32"/>
      <c r="CG244" s="32"/>
      <c r="CH244" s="32"/>
      <c r="CI244" s="32"/>
      <c r="CJ244" s="32"/>
      <c r="CK244" s="32"/>
      <c r="CL244" s="32"/>
      <c r="CM244" s="32"/>
      <c r="CN244" s="32"/>
    </row>
    <row r="245" spans="1:92" ht="18">
      <c r="A245" s="109">
        <v>243</v>
      </c>
      <c r="B245" s="110" t="s">
        <v>407</v>
      </c>
      <c r="C245" s="111" t="s">
        <v>409</v>
      </c>
      <c r="D245" s="110" t="s">
        <v>158</v>
      </c>
      <c r="E245" s="111" t="s">
        <v>408</v>
      </c>
      <c r="F245" s="111" t="s">
        <v>220</v>
      </c>
      <c r="G245" s="26" t="s">
        <v>173</v>
      </c>
      <c r="H245" s="112" t="s">
        <v>654</v>
      </c>
      <c r="I245" s="13">
        <v>4305</v>
      </c>
      <c r="J245" s="14">
        <v>4313</v>
      </c>
      <c r="K245" s="126">
        <v>360.8</v>
      </c>
      <c r="L245" s="127">
        <v>83.23</v>
      </c>
      <c r="M245" s="127">
        <v>94.48</v>
      </c>
      <c r="N245" s="127">
        <v>70.069999999999993</v>
      </c>
      <c r="O245" s="17">
        <v>7.1</v>
      </c>
      <c r="P245" s="42" t="s">
        <v>420</v>
      </c>
      <c r="Q245" s="16">
        <v>40</v>
      </c>
      <c r="R245" s="37">
        <v>30</v>
      </c>
      <c r="S245" s="37">
        <v>35</v>
      </c>
      <c r="T245" s="37">
        <v>40</v>
      </c>
      <c r="U245" s="37">
        <v>50</v>
      </c>
      <c r="V245" s="37">
        <v>55</v>
      </c>
      <c r="W245" s="109">
        <v>250</v>
      </c>
      <c r="X245" s="103">
        <v>10550</v>
      </c>
      <c r="Y245" s="103">
        <v>17200</v>
      </c>
      <c r="Z245" s="103">
        <v>27600</v>
      </c>
      <c r="AA245" s="103">
        <v>41400</v>
      </c>
      <c r="AB245" s="103">
        <v>59800</v>
      </c>
      <c r="AC245" s="103">
        <v>88500</v>
      </c>
      <c r="AD245" s="103">
        <v>131000</v>
      </c>
      <c r="AE245" s="103">
        <v>193500</v>
      </c>
      <c r="AF245" s="103">
        <v>286500</v>
      </c>
      <c r="AG245" s="103">
        <v>414000</v>
      </c>
      <c r="AH245" s="100">
        <v>529000</v>
      </c>
      <c r="AI245" s="100">
        <v>609000</v>
      </c>
      <c r="AJ245" s="100">
        <v>654000</v>
      </c>
      <c r="AK245" s="100"/>
      <c r="AL245" s="113">
        <v>12248200</v>
      </c>
      <c r="AM245" s="95">
        <v>45000</v>
      </c>
      <c r="AN245" s="95">
        <v>7</v>
      </c>
      <c r="AO245" s="96">
        <v>90000</v>
      </c>
      <c r="AP245" s="96">
        <v>5</v>
      </c>
      <c r="AQ245" s="97">
        <v>270000</v>
      </c>
      <c r="AR245" s="134">
        <v>4</v>
      </c>
      <c r="AS245" s="135"/>
      <c r="AT245" s="135"/>
      <c r="AU245" s="113">
        <v>7380000</v>
      </c>
      <c r="AV245" s="113">
        <v>19628200</v>
      </c>
      <c r="AW245" s="113">
        <v>375</v>
      </c>
      <c r="AX245" s="113"/>
      <c r="AY245" s="113">
        <v>497</v>
      </c>
      <c r="AZ245" s="113"/>
      <c r="BA245" s="113" t="s">
        <v>639</v>
      </c>
      <c r="BB245" s="32"/>
      <c r="BC245" s="32"/>
      <c r="BD245" s="32"/>
      <c r="BE245" s="32"/>
      <c r="BF245" s="32"/>
      <c r="BG245" s="32"/>
      <c r="BH245" s="32"/>
      <c r="BI245" s="32"/>
      <c r="BJ245" s="32"/>
      <c r="BK245" s="32"/>
      <c r="BL245" s="32">
        <v>1</v>
      </c>
      <c r="BM245" s="32"/>
      <c r="BN245" s="32"/>
      <c r="BO245" s="32"/>
      <c r="BP245" s="32">
        <v>1</v>
      </c>
      <c r="BQ245" s="84"/>
      <c r="BR245" s="32"/>
      <c r="BS245" s="32"/>
      <c r="BT245" s="32">
        <v>1</v>
      </c>
      <c r="BU245" s="32"/>
      <c r="BV245" s="81" t="s">
        <v>754</v>
      </c>
      <c r="BW245" s="77"/>
      <c r="BX245" s="77"/>
      <c r="BY245" s="77"/>
      <c r="BZ245" s="77"/>
      <c r="CA245" s="77"/>
      <c r="CB245" s="113"/>
      <c r="CC245" s="113"/>
      <c r="CD245" s="32"/>
      <c r="CE245" s="32"/>
      <c r="CF245" s="32"/>
      <c r="CG245" s="32"/>
      <c r="CH245" s="32"/>
      <c r="CI245" s="32"/>
      <c r="CJ245" s="32"/>
      <c r="CK245" s="32"/>
      <c r="CL245" s="32"/>
      <c r="CM245" s="32"/>
      <c r="CN245" s="32"/>
    </row>
    <row r="246" spans="1:92" ht="18">
      <c r="A246" s="109">
        <v>244</v>
      </c>
      <c r="B246" s="110" t="s">
        <v>245</v>
      </c>
      <c r="C246" s="111" t="s">
        <v>598</v>
      </c>
      <c r="D246" s="110" t="s">
        <v>775</v>
      </c>
      <c r="E246" s="111" t="s">
        <v>378</v>
      </c>
      <c r="F246" s="111" t="s">
        <v>220</v>
      </c>
      <c r="G246" s="26" t="s">
        <v>173</v>
      </c>
      <c r="H246" s="112" t="s">
        <v>303</v>
      </c>
      <c r="I246" s="13">
        <v>4310</v>
      </c>
      <c r="J246" s="14">
        <v>4323</v>
      </c>
      <c r="K246" s="120">
        <v>371.7</v>
      </c>
      <c r="L246" s="121">
        <v>82.93</v>
      </c>
      <c r="M246" s="121">
        <v>67.81</v>
      </c>
      <c r="N246" s="121">
        <v>70.349999999999994</v>
      </c>
      <c r="O246" s="32">
        <v>7.15</v>
      </c>
      <c r="P246" s="42" t="s">
        <v>420</v>
      </c>
      <c r="Q246" s="16">
        <v>60</v>
      </c>
      <c r="R246" s="16">
        <v>15</v>
      </c>
      <c r="S246" s="16">
        <v>18</v>
      </c>
      <c r="T246" s="16">
        <v>25</v>
      </c>
      <c r="U246" s="16">
        <v>38</v>
      </c>
      <c r="V246" s="16">
        <v>48</v>
      </c>
      <c r="W246" s="109">
        <v>204</v>
      </c>
      <c r="X246" s="16">
        <v>10550</v>
      </c>
      <c r="Y246" s="16">
        <v>17200</v>
      </c>
      <c r="Z246" s="16">
        <v>27600</v>
      </c>
      <c r="AA246" s="16">
        <v>41400</v>
      </c>
      <c r="AB246" s="16">
        <v>59800</v>
      </c>
      <c r="AC246" s="16">
        <v>88500</v>
      </c>
      <c r="AD246" s="16">
        <v>131000</v>
      </c>
      <c r="AE246" s="16">
        <v>193500</v>
      </c>
      <c r="AF246" s="16">
        <v>286500</v>
      </c>
      <c r="AG246" s="16">
        <v>414000</v>
      </c>
      <c r="AH246" s="17">
        <v>529000</v>
      </c>
      <c r="AI246" s="17">
        <v>609000</v>
      </c>
      <c r="AJ246" s="17">
        <v>654000</v>
      </c>
      <c r="AK246" s="17"/>
      <c r="AL246" s="113">
        <v>12248200</v>
      </c>
      <c r="AM246" s="95">
        <v>45000</v>
      </c>
      <c r="AN246" s="95">
        <v>7</v>
      </c>
      <c r="AO246" s="96">
        <v>90000</v>
      </c>
      <c r="AP246" s="96">
        <v>5</v>
      </c>
      <c r="AQ246" s="97">
        <v>270000</v>
      </c>
      <c r="AR246" s="134">
        <v>4</v>
      </c>
      <c r="AS246" s="135"/>
      <c r="AT246" s="135"/>
      <c r="AU246" s="113">
        <v>7380000</v>
      </c>
      <c r="AV246" s="113">
        <v>19628200</v>
      </c>
      <c r="AW246" s="113">
        <v>386</v>
      </c>
      <c r="AX246" s="113"/>
      <c r="AY246" s="113">
        <v>515</v>
      </c>
      <c r="AZ246" s="113">
        <v>15</v>
      </c>
      <c r="BA246" s="113" t="s">
        <v>709</v>
      </c>
      <c r="BB246" s="32"/>
      <c r="BC246" s="32"/>
      <c r="BD246" s="32"/>
      <c r="BE246" s="32">
        <v>1</v>
      </c>
      <c r="BF246" s="32"/>
      <c r="BG246" s="32"/>
      <c r="BH246" s="32"/>
      <c r="BI246" s="32"/>
      <c r="BJ246" s="32"/>
      <c r="BK246" s="32"/>
      <c r="BL246" s="32"/>
      <c r="BM246" s="32"/>
      <c r="BN246" s="32"/>
      <c r="BO246" s="32"/>
      <c r="BP246" s="32"/>
      <c r="BQ246" s="32"/>
      <c r="BR246" s="32"/>
      <c r="BS246" s="32"/>
      <c r="BT246" s="32"/>
      <c r="BU246" s="32">
        <v>1</v>
      </c>
      <c r="BV246" s="81" t="s">
        <v>598</v>
      </c>
      <c r="BW246" s="113"/>
      <c r="BX246" s="113"/>
      <c r="BY246" s="113">
        <v>1</v>
      </c>
      <c r="BZ246" s="113">
        <v>9</v>
      </c>
      <c r="CA246" s="113"/>
      <c r="CB246" s="113"/>
      <c r="CC246" s="113"/>
      <c r="CD246" s="32"/>
      <c r="CE246" s="32"/>
      <c r="CF246" s="32"/>
      <c r="CG246" s="32"/>
      <c r="CH246" s="32"/>
      <c r="CI246" s="32"/>
      <c r="CJ246" s="32"/>
      <c r="CK246" s="32"/>
      <c r="CL246" s="32"/>
      <c r="CM246" s="32"/>
      <c r="CN246" s="32"/>
    </row>
    <row r="247" spans="1:92" ht="18">
      <c r="A247" s="109">
        <v>245</v>
      </c>
      <c r="B247" s="110" t="s">
        <v>1283</v>
      </c>
      <c r="C247" s="111" t="s">
        <v>700</v>
      </c>
      <c r="D247" s="110" t="s">
        <v>141</v>
      </c>
      <c r="E247" s="111" t="s">
        <v>699</v>
      </c>
      <c r="F247" s="111" t="s">
        <v>220</v>
      </c>
      <c r="G247" s="26" t="s">
        <v>173</v>
      </c>
      <c r="H247" s="112" t="s">
        <v>863</v>
      </c>
      <c r="I247" s="13">
        <v>4307</v>
      </c>
      <c r="J247" s="38">
        <v>4326</v>
      </c>
      <c r="K247" s="130">
        <v>371.3</v>
      </c>
      <c r="L247" s="131">
        <v>82.04</v>
      </c>
      <c r="M247" s="131">
        <v>72.709999999999994</v>
      </c>
      <c r="N247" s="131">
        <v>69.2</v>
      </c>
      <c r="O247" s="39"/>
      <c r="P247" s="42" t="s">
        <v>420</v>
      </c>
      <c r="Q247" s="37" t="s">
        <v>270</v>
      </c>
      <c r="R247" s="75">
        <v>30</v>
      </c>
      <c r="S247" s="75">
        <v>35</v>
      </c>
      <c r="T247" s="75">
        <v>45</v>
      </c>
      <c r="U247" s="75">
        <v>55</v>
      </c>
      <c r="V247" s="75">
        <v>85</v>
      </c>
      <c r="W247" s="109">
        <v>250</v>
      </c>
      <c r="X247" s="94"/>
      <c r="Y247" s="94"/>
      <c r="Z247" s="94"/>
      <c r="AA247" s="94"/>
      <c r="AB247" s="94"/>
      <c r="AC247" s="94"/>
      <c r="AD247" s="94"/>
      <c r="AE247" s="94"/>
      <c r="AF247" s="94"/>
      <c r="AG247" s="94"/>
      <c r="AH247" s="94"/>
      <c r="AI247" s="94"/>
      <c r="AJ247" s="94"/>
      <c r="AK247" s="32"/>
      <c r="AL247" s="113"/>
      <c r="AM247" s="95">
        <v>45000</v>
      </c>
      <c r="AN247" s="95">
        <v>7</v>
      </c>
      <c r="AO247" s="96">
        <v>90000</v>
      </c>
      <c r="AP247" s="96">
        <v>5</v>
      </c>
      <c r="AQ247" s="97">
        <v>270000</v>
      </c>
      <c r="AR247" s="134">
        <v>4</v>
      </c>
      <c r="AS247" s="135"/>
      <c r="AT247" s="135"/>
      <c r="AU247" s="32">
        <v>7380000</v>
      </c>
      <c r="AV247" s="32"/>
      <c r="AW247" s="113">
        <v>386</v>
      </c>
      <c r="AX247" s="113"/>
      <c r="AY247" s="113">
        <v>515</v>
      </c>
      <c r="AZ247" s="113"/>
      <c r="BA247" s="82" t="s">
        <v>640</v>
      </c>
      <c r="BB247" s="32"/>
      <c r="BC247" s="32"/>
      <c r="BD247" s="32"/>
      <c r="BE247" s="32"/>
      <c r="BF247" s="32"/>
      <c r="BG247" s="32"/>
      <c r="BH247" s="32"/>
      <c r="BI247" s="32"/>
      <c r="BJ247" s="32"/>
      <c r="BK247" s="32"/>
      <c r="BL247" s="32"/>
      <c r="BM247" s="32">
        <v>1</v>
      </c>
      <c r="BN247" s="32"/>
      <c r="BO247" s="32">
        <v>1</v>
      </c>
      <c r="BP247" s="32"/>
      <c r="BQ247" s="32"/>
      <c r="BR247" s="32"/>
      <c r="BS247" s="32" t="s">
        <v>650</v>
      </c>
      <c r="BT247" s="32"/>
      <c r="BU247" s="32"/>
      <c r="BV247" s="113" t="s">
        <v>802</v>
      </c>
      <c r="BW247" s="113"/>
      <c r="BX247" s="113"/>
      <c r="BY247" s="113"/>
      <c r="BZ247" s="113"/>
      <c r="CA247" s="113"/>
      <c r="CB247" s="113"/>
      <c r="CC247" s="113"/>
      <c r="CD247" s="32"/>
      <c r="CE247" s="32"/>
      <c r="CF247" s="32"/>
      <c r="CG247" s="32"/>
      <c r="CH247" s="32"/>
      <c r="CI247" s="32"/>
      <c r="CJ247" s="32"/>
      <c r="CK247" s="32"/>
      <c r="CL247" s="32"/>
      <c r="CM247" s="32"/>
      <c r="CN247" s="32"/>
    </row>
    <row r="248" spans="1:92" ht="18">
      <c r="A248" s="109">
        <v>246</v>
      </c>
      <c r="B248" s="110" t="s">
        <v>1284</v>
      </c>
      <c r="C248" s="111" t="s">
        <v>666</v>
      </c>
      <c r="D248" s="110" t="s">
        <v>659</v>
      </c>
      <c r="E248" s="111" t="s">
        <v>665</v>
      </c>
      <c r="F248" s="111" t="s">
        <v>220</v>
      </c>
      <c r="G248" s="26" t="s">
        <v>173</v>
      </c>
      <c r="H248" s="112" t="s">
        <v>311</v>
      </c>
      <c r="I248" s="13">
        <v>4348</v>
      </c>
      <c r="J248" s="14">
        <v>4334</v>
      </c>
      <c r="K248" s="120">
        <v>370.2</v>
      </c>
      <c r="L248" s="121">
        <v>79.02</v>
      </c>
      <c r="M248" s="121">
        <v>84.32</v>
      </c>
      <c r="N248" s="121">
        <v>54.56</v>
      </c>
      <c r="O248" s="39"/>
      <c r="P248" s="42" t="s">
        <v>420</v>
      </c>
      <c r="Q248" s="37" t="s">
        <v>270</v>
      </c>
      <c r="R248" s="16">
        <v>30</v>
      </c>
      <c r="S248" s="16">
        <v>35</v>
      </c>
      <c r="T248" s="16">
        <v>45</v>
      </c>
      <c r="U248" s="16">
        <v>55</v>
      </c>
      <c r="V248" s="16">
        <v>85</v>
      </c>
      <c r="W248" s="109">
        <v>250</v>
      </c>
      <c r="X248" s="103">
        <v>10550</v>
      </c>
      <c r="Y248" s="103">
        <v>17200</v>
      </c>
      <c r="Z248" s="103">
        <v>27600</v>
      </c>
      <c r="AA248" s="103">
        <v>41400</v>
      </c>
      <c r="AB248" s="103">
        <v>59800</v>
      </c>
      <c r="AC248" s="103">
        <v>88500</v>
      </c>
      <c r="AD248" s="103">
        <v>131000</v>
      </c>
      <c r="AE248" s="103">
        <v>193500</v>
      </c>
      <c r="AF248" s="103">
        <v>286500</v>
      </c>
      <c r="AG248" s="103">
        <v>414000</v>
      </c>
      <c r="AH248" s="100">
        <v>529000</v>
      </c>
      <c r="AI248" s="100">
        <v>609000</v>
      </c>
      <c r="AJ248" s="100">
        <v>654000</v>
      </c>
      <c r="AK248" s="100"/>
      <c r="AL248" s="113">
        <v>12248200</v>
      </c>
      <c r="AM248" s="95">
        <v>45000</v>
      </c>
      <c r="AN248" s="95">
        <v>7</v>
      </c>
      <c r="AO248" s="96">
        <v>90000</v>
      </c>
      <c r="AP248" s="96">
        <v>5</v>
      </c>
      <c r="AQ248" s="97">
        <v>270000</v>
      </c>
      <c r="AR248" s="134">
        <v>4</v>
      </c>
      <c r="AS248" s="135"/>
      <c r="AT248" s="135"/>
      <c r="AU248" s="113">
        <v>7380000</v>
      </c>
      <c r="AV248" s="113">
        <v>19628200</v>
      </c>
      <c r="AW248" s="113">
        <v>384</v>
      </c>
      <c r="AX248" s="113"/>
      <c r="AY248" s="113">
        <v>512</v>
      </c>
      <c r="AZ248" s="113">
        <v>14</v>
      </c>
      <c r="BA248" s="113" t="s">
        <v>639</v>
      </c>
      <c r="BB248" s="32"/>
      <c r="BC248" s="32"/>
      <c r="BD248" s="32"/>
      <c r="BE248" s="32">
        <v>1</v>
      </c>
      <c r="BF248" s="32"/>
      <c r="BG248" s="32"/>
      <c r="BH248" s="32"/>
      <c r="BI248" s="32"/>
      <c r="BJ248" s="32"/>
      <c r="BK248" s="32"/>
      <c r="BL248" s="32">
        <v>1</v>
      </c>
      <c r="BM248" s="32"/>
      <c r="BN248" s="32"/>
      <c r="BO248" s="32">
        <v>1</v>
      </c>
      <c r="BP248" s="32"/>
      <c r="BQ248" s="32" t="s">
        <v>800</v>
      </c>
      <c r="BR248" s="32"/>
      <c r="BS248" s="32"/>
      <c r="BT248" s="32">
        <v>1</v>
      </c>
      <c r="BU248" s="32"/>
      <c r="BV248" s="81" t="s">
        <v>80</v>
      </c>
      <c r="BW248" s="113"/>
      <c r="BX248" s="113"/>
      <c r="BY248" s="113">
        <v>1</v>
      </c>
      <c r="BZ248" s="113">
        <v>9</v>
      </c>
      <c r="CA248" s="113"/>
      <c r="CB248" s="113"/>
      <c r="CC248" s="113"/>
      <c r="CD248" s="32"/>
      <c r="CE248" s="32"/>
      <c r="CF248" s="32"/>
      <c r="CG248" s="32"/>
      <c r="CH248" s="32"/>
      <c r="CI248" s="32"/>
      <c r="CJ248" s="32"/>
      <c r="CK248" s="32"/>
      <c r="CL248" s="32"/>
      <c r="CM248" s="32"/>
      <c r="CN248" s="32"/>
    </row>
    <row r="249" spans="1:92" ht="18">
      <c r="A249" s="109">
        <v>247</v>
      </c>
      <c r="B249" s="110" t="s">
        <v>247</v>
      </c>
      <c r="C249" s="111" t="s">
        <v>248</v>
      </c>
      <c r="D249" s="110" t="s">
        <v>776</v>
      </c>
      <c r="E249" s="111" t="s">
        <v>379</v>
      </c>
      <c r="F249" s="111" t="s">
        <v>220</v>
      </c>
      <c r="G249" s="26" t="s">
        <v>173</v>
      </c>
      <c r="H249" s="112" t="s">
        <v>296</v>
      </c>
      <c r="I249" s="13">
        <v>4344</v>
      </c>
      <c r="J249" s="14">
        <v>4344</v>
      </c>
      <c r="K249" s="120">
        <v>450.7</v>
      </c>
      <c r="L249" s="121">
        <v>79.98</v>
      </c>
      <c r="M249" s="121">
        <v>48.49</v>
      </c>
      <c r="N249" s="121">
        <v>44.79</v>
      </c>
      <c r="O249" s="32">
        <v>4.266</v>
      </c>
      <c r="P249" s="42" t="s">
        <v>420</v>
      </c>
      <c r="Q249" s="16">
        <v>60</v>
      </c>
      <c r="R249" s="16">
        <v>15</v>
      </c>
      <c r="S249" s="16">
        <v>18</v>
      </c>
      <c r="T249" s="16">
        <v>25</v>
      </c>
      <c r="U249" s="16">
        <v>38</v>
      </c>
      <c r="V249" s="16">
        <v>48</v>
      </c>
      <c r="W249" s="109">
        <v>204</v>
      </c>
      <c r="X249" s="16">
        <v>10550</v>
      </c>
      <c r="Y249" s="16">
        <v>17200</v>
      </c>
      <c r="Z249" s="16">
        <v>27600</v>
      </c>
      <c r="AA249" s="16">
        <v>41400</v>
      </c>
      <c r="AB249" s="16">
        <v>59800</v>
      </c>
      <c r="AC249" s="16">
        <v>88500</v>
      </c>
      <c r="AD249" s="16">
        <v>131000</v>
      </c>
      <c r="AE249" s="16">
        <v>193500</v>
      </c>
      <c r="AF249" s="16">
        <v>286500</v>
      </c>
      <c r="AG249" s="16">
        <v>414000</v>
      </c>
      <c r="AH249" s="17">
        <v>529000</v>
      </c>
      <c r="AI249" s="17">
        <v>609000</v>
      </c>
      <c r="AJ249" s="17">
        <v>654000</v>
      </c>
      <c r="AK249" s="17"/>
      <c r="AL249" s="113">
        <v>12248200</v>
      </c>
      <c r="AM249" s="95">
        <v>45000</v>
      </c>
      <c r="AN249" s="95">
        <v>7</v>
      </c>
      <c r="AO249" s="96">
        <v>90000</v>
      </c>
      <c r="AP249" s="96">
        <v>5</v>
      </c>
      <c r="AQ249" s="97">
        <v>270000</v>
      </c>
      <c r="AR249" s="134">
        <v>4</v>
      </c>
      <c r="AS249" s="135"/>
      <c r="AT249" s="135"/>
      <c r="AU249" s="113">
        <v>7380000</v>
      </c>
      <c r="AV249" s="113">
        <v>19628200</v>
      </c>
      <c r="AW249" s="113">
        <v>475</v>
      </c>
      <c r="AX249" s="113"/>
      <c r="AY249" s="113">
        <v>582</v>
      </c>
      <c r="AZ249" s="113"/>
      <c r="BA249" s="113" t="s">
        <v>604</v>
      </c>
      <c r="BB249" s="32"/>
      <c r="BC249" s="32"/>
      <c r="BD249" s="32"/>
      <c r="BE249" s="32"/>
      <c r="BF249" s="32">
        <v>1</v>
      </c>
      <c r="BG249" s="32"/>
      <c r="BH249" s="32"/>
      <c r="BI249" s="32"/>
      <c r="BJ249" s="32"/>
      <c r="BK249" s="32"/>
      <c r="BL249" s="32"/>
      <c r="BM249" s="32"/>
      <c r="BN249" s="32"/>
      <c r="BO249" s="32"/>
      <c r="BP249" s="32"/>
      <c r="BQ249" s="32" t="s">
        <v>799</v>
      </c>
      <c r="BR249" s="32"/>
      <c r="BS249" s="32"/>
      <c r="BT249" s="32"/>
      <c r="BU249" s="32"/>
      <c r="BV249" s="81" t="s">
        <v>248</v>
      </c>
      <c r="BW249" s="113"/>
      <c r="BX249" s="113"/>
      <c r="BY249" s="113"/>
      <c r="BZ249" s="113"/>
      <c r="CA249" s="113"/>
      <c r="CB249" s="113"/>
      <c r="CC249" s="113"/>
    </row>
    <row r="250" spans="1:92" ht="18">
      <c r="A250" s="109">
        <v>248</v>
      </c>
      <c r="B250" s="110" t="s">
        <v>1285</v>
      </c>
      <c r="C250" s="111" t="s">
        <v>976</v>
      </c>
      <c r="D250" s="110" t="s">
        <v>1286</v>
      </c>
      <c r="E250" s="111" t="s">
        <v>977</v>
      </c>
      <c r="F250" s="111" t="s">
        <v>220</v>
      </c>
      <c r="G250" s="26" t="s">
        <v>173</v>
      </c>
      <c r="H250" s="112" t="s">
        <v>967</v>
      </c>
      <c r="I250" s="13">
        <v>4373</v>
      </c>
      <c r="J250" s="14">
        <v>4385</v>
      </c>
      <c r="K250" s="120">
        <v>383.7</v>
      </c>
      <c r="L250" s="121">
        <v>81.2</v>
      </c>
      <c r="M250" s="121">
        <v>59.72</v>
      </c>
      <c r="N250" s="121">
        <v>69.97</v>
      </c>
      <c r="O250" s="32">
        <v>6.6</v>
      </c>
      <c r="P250" s="42" t="s">
        <v>420</v>
      </c>
      <c r="Q250" s="75">
        <v>40</v>
      </c>
      <c r="R250" s="75">
        <v>45</v>
      </c>
      <c r="S250" s="75">
        <v>55</v>
      </c>
      <c r="T250" s="75">
        <v>48</v>
      </c>
      <c r="U250" s="75">
        <v>56</v>
      </c>
      <c r="V250" s="75">
        <v>56</v>
      </c>
      <c r="W250" s="109">
        <v>300</v>
      </c>
      <c r="X250" s="96">
        <v>20000</v>
      </c>
      <c r="Y250" s="96">
        <v>35000</v>
      </c>
      <c r="Z250" s="96">
        <v>50000</v>
      </c>
      <c r="AA250" s="96">
        <v>65000</v>
      </c>
      <c r="AB250" s="96">
        <v>110000</v>
      </c>
      <c r="AC250" s="96">
        <v>180000</v>
      </c>
      <c r="AD250" s="96">
        <v>270000</v>
      </c>
      <c r="AE250" s="96">
        <v>390000</v>
      </c>
      <c r="AF250" s="94"/>
      <c r="AG250" s="94"/>
      <c r="AH250" s="94"/>
      <c r="AI250" s="94"/>
      <c r="AJ250" s="94"/>
      <c r="AK250" s="32"/>
      <c r="AL250" s="113">
        <v>4480000</v>
      </c>
      <c r="AM250" s="95">
        <v>90000</v>
      </c>
      <c r="AN250" s="95">
        <v>7</v>
      </c>
      <c r="AO250" s="96">
        <v>180000</v>
      </c>
      <c r="AP250" s="96">
        <v>5</v>
      </c>
      <c r="AQ250" s="97">
        <v>540000</v>
      </c>
      <c r="AR250" s="134">
        <v>4</v>
      </c>
      <c r="AS250" s="135"/>
      <c r="AT250" s="135"/>
      <c r="AU250" s="32">
        <v>14760000</v>
      </c>
      <c r="AV250" s="113"/>
      <c r="AW250" s="113">
        <v>399</v>
      </c>
      <c r="AX250" s="113"/>
      <c r="AY250" s="113">
        <v>536</v>
      </c>
      <c r="AZ250" s="113"/>
      <c r="BA250" s="113" t="s">
        <v>639</v>
      </c>
      <c r="BB250" s="32"/>
      <c r="BC250" s="32"/>
      <c r="BD250" s="32"/>
      <c r="BE250" s="32"/>
      <c r="BF250" s="32"/>
      <c r="BG250" s="32"/>
      <c r="BH250" s="32"/>
      <c r="BI250" s="32"/>
      <c r="BJ250" s="32"/>
      <c r="BK250" s="32"/>
      <c r="BL250" s="32">
        <v>1</v>
      </c>
      <c r="BM250" s="32"/>
      <c r="BN250" s="32"/>
      <c r="BO250" s="32"/>
      <c r="BP250" s="32"/>
      <c r="BQ250" s="32"/>
      <c r="BR250" s="32"/>
      <c r="BS250" s="32"/>
      <c r="BT250" s="32"/>
      <c r="BU250" s="32"/>
      <c r="BV250" s="81"/>
      <c r="BW250" s="113"/>
      <c r="BX250" s="113"/>
      <c r="BY250" s="113"/>
      <c r="BZ250" s="113"/>
      <c r="CA250" s="113"/>
      <c r="CB250" s="113"/>
      <c r="CC250" s="113"/>
    </row>
    <row r="251" spans="1:92" ht="18">
      <c r="A251" s="109">
        <v>249</v>
      </c>
      <c r="B251" s="110" t="s">
        <v>1287</v>
      </c>
      <c r="C251" s="111" t="s">
        <v>1003</v>
      </c>
      <c r="D251" s="110" t="s">
        <v>1288</v>
      </c>
      <c r="E251" s="111" t="s">
        <v>1004</v>
      </c>
      <c r="F251" s="111" t="s">
        <v>220</v>
      </c>
      <c r="G251" s="26" t="s">
        <v>173</v>
      </c>
      <c r="H251" s="112" t="s">
        <v>992</v>
      </c>
      <c r="I251" s="13">
        <v>4398</v>
      </c>
      <c r="J251" s="14">
        <v>4398</v>
      </c>
      <c r="K251" s="120">
        <v>391.3</v>
      </c>
      <c r="L251" s="121">
        <v>85.7</v>
      </c>
      <c r="M251" s="121">
        <v>56.68</v>
      </c>
      <c r="N251" s="121">
        <v>47.35</v>
      </c>
      <c r="O251" s="15"/>
      <c r="P251" s="42" t="s">
        <v>420</v>
      </c>
      <c r="Q251" s="37" t="s">
        <v>270</v>
      </c>
      <c r="R251" s="75">
        <v>45</v>
      </c>
      <c r="S251" s="16">
        <v>56</v>
      </c>
      <c r="T251" s="16">
        <v>65</v>
      </c>
      <c r="U251" s="16">
        <v>66</v>
      </c>
      <c r="V251" s="16">
        <v>68</v>
      </c>
      <c r="W251" s="109">
        <v>300</v>
      </c>
      <c r="X251" s="94">
        <v>20000</v>
      </c>
      <c r="Y251" s="94">
        <v>35000</v>
      </c>
      <c r="Z251" s="94">
        <v>50000</v>
      </c>
      <c r="AA251" s="96">
        <v>65000</v>
      </c>
      <c r="AB251" s="96">
        <v>110000</v>
      </c>
      <c r="AC251" s="96">
        <v>180000</v>
      </c>
      <c r="AD251" s="96">
        <v>270000</v>
      </c>
      <c r="AE251" s="96">
        <v>390000</v>
      </c>
      <c r="AF251" s="96">
        <v>505000</v>
      </c>
      <c r="AG251" s="96">
        <v>610000</v>
      </c>
      <c r="AH251" s="105">
        <v>680000</v>
      </c>
      <c r="AI251" s="105">
        <v>712000</v>
      </c>
      <c r="AJ251" s="94"/>
      <c r="AK251" s="32"/>
      <c r="AL251" s="113"/>
      <c r="AM251" s="95">
        <v>67500</v>
      </c>
      <c r="AN251" s="95">
        <v>7</v>
      </c>
      <c r="AO251" s="96">
        <v>135000</v>
      </c>
      <c r="AP251" s="96">
        <v>5</v>
      </c>
      <c r="AQ251" s="97">
        <v>405000</v>
      </c>
      <c r="AR251" s="134">
        <v>4</v>
      </c>
      <c r="AS251" s="135"/>
      <c r="AT251" s="135"/>
      <c r="AU251" s="113"/>
      <c r="AV251" s="113"/>
      <c r="AW251" s="113">
        <v>407</v>
      </c>
      <c r="AX251" s="113"/>
      <c r="AY251" s="113">
        <v>549</v>
      </c>
      <c r="AZ251" s="113"/>
      <c r="BA251" s="113" t="s">
        <v>640</v>
      </c>
      <c r="BB251" s="32"/>
      <c r="BC251" s="32"/>
      <c r="BD251" s="32"/>
      <c r="BE251" s="32"/>
      <c r="BF251" s="32"/>
      <c r="BG251" s="32"/>
      <c r="BH251" s="32"/>
      <c r="BI251" s="32"/>
      <c r="BJ251" s="32"/>
      <c r="BK251" s="32"/>
      <c r="BL251" s="32"/>
      <c r="BM251" s="32">
        <v>1</v>
      </c>
      <c r="BN251" s="32"/>
      <c r="BO251" s="32">
        <v>1</v>
      </c>
      <c r="BP251" s="32"/>
      <c r="BQ251" s="32"/>
      <c r="BR251" s="32"/>
      <c r="BS251" s="32"/>
      <c r="BT251" s="32"/>
      <c r="BU251" s="32"/>
      <c r="BV251" s="81" t="s">
        <v>1005</v>
      </c>
      <c r="BW251" s="113"/>
      <c r="BX251" s="113"/>
      <c r="BY251" s="113"/>
      <c r="BZ251" s="113"/>
      <c r="CA251" s="113"/>
      <c r="CB251" s="113"/>
      <c r="CC251" s="113"/>
    </row>
    <row r="252" spans="1:92" ht="18">
      <c r="A252" s="109">
        <v>250</v>
      </c>
      <c r="B252" s="110" t="s">
        <v>249</v>
      </c>
      <c r="C252" s="111" t="s">
        <v>599</v>
      </c>
      <c r="D252" s="110" t="s">
        <v>141</v>
      </c>
      <c r="E252" s="111" t="s">
        <v>380</v>
      </c>
      <c r="F252" s="111" t="s">
        <v>220</v>
      </c>
      <c r="G252" s="26" t="s">
        <v>173</v>
      </c>
      <c r="H252" s="112" t="s">
        <v>303</v>
      </c>
      <c r="I252" s="13">
        <v>4411</v>
      </c>
      <c r="J252" s="14">
        <v>4400</v>
      </c>
      <c r="K252" s="120">
        <v>394.3</v>
      </c>
      <c r="L252" s="121">
        <v>82.77</v>
      </c>
      <c r="M252" s="121">
        <v>52.84</v>
      </c>
      <c r="N252" s="121">
        <v>69.290000000000006</v>
      </c>
      <c r="O252" s="32">
        <v>6.55</v>
      </c>
      <c r="P252" s="42" t="s">
        <v>420</v>
      </c>
      <c r="Q252" s="16">
        <v>60</v>
      </c>
      <c r="R252" s="16">
        <v>15</v>
      </c>
      <c r="S252" s="16">
        <v>18</v>
      </c>
      <c r="T252" s="16">
        <v>25</v>
      </c>
      <c r="U252" s="16">
        <v>38</v>
      </c>
      <c r="V252" s="16">
        <v>48</v>
      </c>
      <c r="W252" s="109">
        <v>204</v>
      </c>
      <c r="X252" s="94"/>
      <c r="Y252" s="94"/>
      <c r="Z252" s="94"/>
      <c r="AA252" s="94"/>
      <c r="AB252" s="94"/>
      <c r="AC252" s="94"/>
      <c r="AD252" s="94"/>
      <c r="AE252" s="94"/>
      <c r="AF252" s="94"/>
      <c r="AG252" s="94"/>
      <c r="AH252" s="94"/>
      <c r="AI252" s="94"/>
      <c r="AJ252" s="94"/>
      <c r="AK252" s="32"/>
      <c r="AL252" s="113"/>
      <c r="AM252" s="95">
        <v>60000</v>
      </c>
      <c r="AN252" s="95">
        <v>7</v>
      </c>
      <c r="AO252" s="96">
        <v>120000</v>
      </c>
      <c r="AP252" s="96">
        <v>5</v>
      </c>
      <c r="AQ252" s="97">
        <v>360000</v>
      </c>
      <c r="AR252" s="134">
        <v>4</v>
      </c>
      <c r="AS252" s="135"/>
      <c r="AT252" s="135"/>
      <c r="AU252" s="113">
        <v>9840000</v>
      </c>
      <c r="AV252" s="113"/>
      <c r="AW252" s="113">
        <v>410</v>
      </c>
      <c r="AX252" s="113"/>
      <c r="AY252" s="113">
        <v>551</v>
      </c>
      <c r="AZ252" s="113">
        <v>19</v>
      </c>
      <c r="BA252" s="113" t="s">
        <v>709</v>
      </c>
      <c r="BB252" s="32"/>
      <c r="BC252" s="32"/>
      <c r="BD252" s="32"/>
      <c r="BE252" s="32">
        <v>1</v>
      </c>
      <c r="BF252" s="32"/>
      <c r="BG252" s="32">
        <v>1</v>
      </c>
      <c r="BH252" s="32"/>
      <c r="BI252" s="32"/>
      <c r="BJ252" s="32"/>
      <c r="BK252" s="32"/>
      <c r="BL252" s="32"/>
      <c r="BM252" s="32"/>
      <c r="BN252" s="32"/>
      <c r="BO252" s="32"/>
      <c r="BP252" s="32">
        <v>1</v>
      </c>
      <c r="BQ252" s="32" t="s">
        <v>895</v>
      </c>
      <c r="BR252" s="32"/>
      <c r="BS252" s="32"/>
      <c r="BT252" s="32"/>
      <c r="BU252" s="32">
        <v>1</v>
      </c>
      <c r="BV252" s="81" t="s">
        <v>1289</v>
      </c>
      <c r="BW252" s="113"/>
      <c r="BX252" s="113"/>
      <c r="BY252" s="113">
        <v>1</v>
      </c>
      <c r="BZ252" s="113">
        <v>9</v>
      </c>
      <c r="CA252" s="113"/>
      <c r="CB252" s="113"/>
      <c r="CC252" s="113"/>
    </row>
    <row r="253" spans="1:92" ht="18">
      <c r="A253" s="109">
        <v>251</v>
      </c>
      <c r="B253" s="110" t="s">
        <v>251</v>
      </c>
      <c r="C253" s="111" t="s">
        <v>600</v>
      </c>
      <c r="D253" s="110" t="s">
        <v>182</v>
      </c>
      <c r="E253" s="111" t="s">
        <v>381</v>
      </c>
      <c r="F253" s="111" t="s">
        <v>220</v>
      </c>
      <c r="G253" s="26" t="s">
        <v>173</v>
      </c>
      <c r="H253" s="112" t="s">
        <v>304</v>
      </c>
      <c r="I253" s="13">
        <v>4406</v>
      </c>
      <c r="J253" s="14">
        <v>4407</v>
      </c>
      <c r="K253" s="120">
        <v>358.3</v>
      </c>
      <c r="L253" s="121">
        <v>82.91</v>
      </c>
      <c r="M253" s="121">
        <v>101.81</v>
      </c>
      <c r="N253" s="121">
        <v>78.25</v>
      </c>
      <c r="O253" s="32">
        <v>9.1489999999999991</v>
      </c>
      <c r="P253" s="42" t="s">
        <v>420</v>
      </c>
      <c r="Q253" s="16">
        <v>30</v>
      </c>
      <c r="R253" s="16">
        <v>30</v>
      </c>
      <c r="S253" s="16">
        <v>30</v>
      </c>
      <c r="T253" s="16">
        <v>35</v>
      </c>
      <c r="U253" s="16">
        <v>35</v>
      </c>
      <c r="V253" s="16">
        <v>40</v>
      </c>
      <c r="W253" s="109">
        <v>200</v>
      </c>
      <c r="X253" s="94">
        <v>13400</v>
      </c>
      <c r="Y253" s="94">
        <v>21800</v>
      </c>
      <c r="Z253" s="94">
        <v>34900</v>
      </c>
      <c r="AA253" s="94">
        <v>52300</v>
      </c>
      <c r="AB253" s="94">
        <v>75600</v>
      </c>
      <c r="AC253" s="94">
        <v>112000</v>
      </c>
      <c r="AD253" s="94">
        <v>165500</v>
      </c>
      <c r="AE253" s="94">
        <v>245000</v>
      </c>
      <c r="AF253" s="105">
        <v>362500</v>
      </c>
      <c r="AG253" s="105">
        <v>523000</v>
      </c>
      <c r="AH253" s="105">
        <v>669000</v>
      </c>
      <c r="AI253" s="105">
        <v>771000</v>
      </c>
      <c r="AJ253" s="94">
        <v>828000</v>
      </c>
      <c r="AK253" s="32"/>
      <c r="AL253" s="113">
        <v>15496000</v>
      </c>
      <c r="AM253" s="95">
        <v>60000</v>
      </c>
      <c r="AN253" s="95">
        <v>7</v>
      </c>
      <c r="AO253" s="96">
        <v>120000</v>
      </c>
      <c r="AP253" s="96">
        <v>5</v>
      </c>
      <c r="AQ253" s="97">
        <v>360000</v>
      </c>
      <c r="AR253" s="134">
        <v>4</v>
      </c>
      <c r="AS253" s="135"/>
      <c r="AT253" s="135"/>
      <c r="AU253" s="113">
        <v>9840000</v>
      </c>
      <c r="AV253" s="113">
        <v>25336000</v>
      </c>
      <c r="AW253" s="113">
        <v>373</v>
      </c>
      <c r="AX253" s="113"/>
      <c r="AY253" s="113">
        <v>492</v>
      </c>
      <c r="AZ253" s="113"/>
      <c r="BA253" s="113" t="s">
        <v>709</v>
      </c>
      <c r="BB253" s="32"/>
      <c r="BC253" s="32"/>
      <c r="BD253" s="32"/>
      <c r="BE253" s="32"/>
      <c r="BF253" s="32"/>
      <c r="BG253" s="32"/>
      <c r="BH253" s="32"/>
      <c r="BI253" s="32"/>
      <c r="BJ253" s="32"/>
      <c r="BK253" s="32"/>
      <c r="BL253" s="32"/>
      <c r="BM253" s="32"/>
      <c r="BN253" s="32"/>
      <c r="BO253" s="32"/>
      <c r="BP253" s="32">
        <v>1</v>
      </c>
      <c r="BQ253" s="32" t="s">
        <v>799</v>
      </c>
      <c r="BR253" s="32"/>
      <c r="BS253" s="32"/>
      <c r="BT253" s="32"/>
      <c r="BU253" s="32"/>
      <c r="BV253" s="81" t="s">
        <v>1290</v>
      </c>
      <c r="BW253" s="113"/>
      <c r="BX253" s="113"/>
      <c r="BY253" s="113">
        <v>1</v>
      </c>
      <c r="BZ253" s="113">
        <v>9</v>
      </c>
      <c r="CA253" s="113"/>
      <c r="CB253" s="113"/>
      <c r="CC253" s="113"/>
    </row>
    <row r="254" spans="1:92" ht="18">
      <c r="A254" s="109">
        <v>252</v>
      </c>
      <c r="B254" s="110" t="s">
        <v>1291</v>
      </c>
      <c r="C254" s="111" t="s">
        <v>702</v>
      </c>
      <c r="D254" s="110" t="s">
        <v>538</v>
      </c>
      <c r="E254" s="111" t="s">
        <v>701</v>
      </c>
      <c r="F254" s="111" t="s">
        <v>220</v>
      </c>
      <c r="G254" s="26" t="s">
        <v>173</v>
      </c>
      <c r="H254" s="112" t="s">
        <v>863</v>
      </c>
      <c r="I254" s="13">
        <v>4406</v>
      </c>
      <c r="J254" s="14">
        <v>4411</v>
      </c>
      <c r="K254" s="120">
        <v>419.1</v>
      </c>
      <c r="L254" s="121">
        <v>81.08</v>
      </c>
      <c r="M254" s="121">
        <v>49.17</v>
      </c>
      <c r="N254" s="121">
        <v>50.7</v>
      </c>
      <c r="O254" s="15"/>
      <c r="P254" s="42" t="s">
        <v>420</v>
      </c>
      <c r="Q254" s="16">
        <v>85</v>
      </c>
      <c r="R254" s="75">
        <v>25</v>
      </c>
      <c r="S254" s="75">
        <v>29</v>
      </c>
      <c r="T254" s="75">
        <v>38</v>
      </c>
      <c r="U254" s="75">
        <v>54</v>
      </c>
      <c r="V254" s="75">
        <v>69</v>
      </c>
      <c r="W254" s="109">
        <v>300</v>
      </c>
      <c r="X254" s="94">
        <v>13400</v>
      </c>
      <c r="Y254" s="94">
        <v>21800</v>
      </c>
      <c r="Z254" s="94">
        <v>34900</v>
      </c>
      <c r="AA254" s="105">
        <v>52300</v>
      </c>
      <c r="AB254" s="105">
        <v>75600</v>
      </c>
      <c r="AC254" s="94">
        <v>112000</v>
      </c>
      <c r="AD254" s="94">
        <v>165500</v>
      </c>
      <c r="AE254" s="94">
        <v>245000</v>
      </c>
      <c r="AF254" s="94">
        <v>362500</v>
      </c>
      <c r="AG254" s="94">
        <v>523000</v>
      </c>
      <c r="AH254" s="94">
        <v>669000</v>
      </c>
      <c r="AI254" s="94">
        <v>771000</v>
      </c>
      <c r="AJ254" s="94">
        <v>828000</v>
      </c>
      <c r="AK254" s="32"/>
      <c r="AL254" s="113">
        <v>15496000</v>
      </c>
      <c r="AM254" s="95">
        <v>60000</v>
      </c>
      <c r="AN254" s="95">
        <v>7</v>
      </c>
      <c r="AO254" s="96">
        <v>120000</v>
      </c>
      <c r="AP254" s="96">
        <v>5</v>
      </c>
      <c r="AQ254" s="97">
        <v>360000</v>
      </c>
      <c r="AR254" s="134">
        <v>4</v>
      </c>
      <c r="AS254" s="135"/>
      <c r="AT254" s="135"/>
      <c r="AU254" s="32">
        <v>9840000</v>
      </c>
      <c r="AV254" s="32">
        <v>25336000</v>
      </c>
      <c r="AW254" s="113">
        <v>442</v>
      </c>
      <c r="AX254" s="113"/>
      <c r="AY254" s="113">
        <v>568</v>
      </c>
      <c r="AZ254" s="113"/>
      <c r="BA254" s="82" t="s">
        <v>639</v>
      </c>
      <c r="BB254" s="32"/>
      <c r="BC254" s="32"/>
      <c r="BD254" s="32"/>
      <c r="BE254" s="32"/>
      <c r="BF254" s="32"/>
      <c r="BG254" s="32"/>
      <c r="BH254" s="32"/>
      <c r="BI254" s="32"/>
      <c r="BJ254" s="32"/>
      <c r="BK254" s="32"/>
      <c r="BL254" s="32">
        <v>1</v>
      </c>
      <c r="BM254" s="32"/>
      <c r="BN254" s="32"/>
      <c r="BO254" s="32"/>
      <c r="BP254" s="32"/>
      <c r="BQ254" s="32" t="s">
        <v>800</v>
      </c>
      <c r="BR254" s="32"/>
      <c r="BS254" s="32" t="s">
        <v>650</v>
      </c>
      <c r="BT254" s="32">
        <v>1</v>
      </c>
      <c r="BU254" s="32"/>
      <c r="BV254" s="113" t="s">
        <v>1292</v>
      </c>
      <c r="BW254" s="113"/>
      <c r="BX254" s="113"/>
      <c r="BY254" s="113"/>
      <c r="BZ254" s="113"/>
      <c r="CA254" s="113"/>
      <c r="CB254" s="113"/>
      <c r="CC254" s="113"/>
    </row>
    <row r="255" spans="1:92" ht="18">
      <c r="A255" s="109">
        <v>253</v>
      </c>
      <c r="B255" s="110" t="s">
        <v>253</v>
      </c>
      <c r="C255" s="111" t="s">
        <v>601</v>
      </c>
      <c r="D255" s="110" t="s">
        <v>93</v>
      </c>
      <c r="E255" s="111" t="s">
        <v>382</v>
      </c>
      <c r="F255" s="111" t="s">
        <v>220</v>
      </c>
      <c r="G255" s="26" t="s">
        <v>173</v>
      </c>
      <c r="H255" s="112" t="s">
        <v>300</v>
      </c>
      <c r="I255" s="13">
        <v>4276</v>
      </c>
      <c r="J255" s="14">
        <v>4432</v>
      </c>
      <c r="K255" s="120">
        <v>368.1</v>
      </c>
      <c r="L255" s="121">
        <v>81.14</v>
      </c>
      <c r="M255" s="121">
        <v>65.02</v>
      </c>
      <c r="N255" s="121">
        <v>63.31</v>
      </c>
      <c r="O255" s="32">
        <v>6.22</v>
      </c>
      <c r="P255" s="42" t="s">
        <v>420</v>
      </c>
      <c r="Q255" s="16">
        <v>30</v>
      </c>
      <c r="R255" s="16">
        <v>30</v>
      </c>
      <c r="S255" s="16">
        <v>30</v>
      </c>
      <c r="T255" s="25">
        <v>35</v>
      </c>
      <c r="U255" s="25">
        <v>35</v>
      </c>
      <c r="V255" s="25">
        <v>40</v>
      </c>
      <c r="W255" s="109">
        <v>200</v>
      </c>
      <c r="X255" s="94">
        <v>13400</v>
      </c>
      <c r="Y255" s="94">
        <v>21800</v>
      </c>
      <c r="Z255" s="94">
        <v>34900</v>
      </c>
      <c r="AA255" s="94">
        <v>52300</v>
      </c>
      <c r="AB255" s="94">
        <v>75600</v>
      </c>
      <c r="AC255" s="94">
        <v>112000</v>
      </c>
      <c r="AD255" s="96">
        <v>165500</v>
      </c>
      <c r="AE255" s="94">
        <v>245000</v>
      </c>
      <c r="AF255" s="94">
        <v>362500</v>
      </c>
      <c r="AG255" s="94">
        <v>523000</v>
      </c>
      <c r="AH255" s="94">
        <v>669000</v>
      </c>
      <c r="AI255" s="94">
        <v>771000</v>
      </c>
      <c r="AJ255" s="94">
        <v>828000</v>
      </c>
      <c r="AK255" s="32"/>
      <c r="AL255" s="113">
        <v>15496000</v>
      </c>
      <c r="AM255" s="95">
        <v>60000</v>
      </c>
      <c r="AN255" s="95">
        <v>7</v>
      </c>
      <c r="AO255" s="96">
        <v>120000</v>
      </c>
      <c r="AP255" s="96">
        <v>5</v>
      </c>
      <c r="AQ255" s="97">
        <v>360000</v>
      </c>
      <c r="AR255" s="134">
        <v>4</v>
      </c>
      <c r="AS255" s="135"/>
      <c r="AT255" s="135"/>
      <c r="AU255" s="113">
        <v>9840000</v>
      </c>
      <c r="AV255" s="113">
        <v>25336000</v>
      </c>
      <c r="AW255" s="113">
        <v>383</v>
      </c>
      <c r="AX255" s="113"/>
      <c r="AY255" s="113">
        <v>509</v>
      </c>
      <c r="AZ255" s="113">
        <v>13</v>
      </c>
      <c r="BA255" s="113" t="s">
        <v>639</v>
      </c>
      <c r="BB255" s="32"/>
      <c r="BC255" s="32"/>
      <c r="BD255" s="32">
        <v>1</v>
      </c>
      <c r="BE255" s="32"/>
      <c r="BF255" s="32"/>
      <c r="BG255" s="32"/>
      <c r="BH255" s="32"/>
      <c r="BI255" s="32"/>
      <c r="BJ255" s="32"/>
      <c r="BK255" s="32"/>
      <c r="BL255" s="32">
        <v>1</v>
      </c>
      <c r="BM255" s="32"/>
      <c r="BN255" s="32"/>
      <c r="BO255" s="32"/>
      <c r="BP255" s="32">
        <v>1</v>
      </c>
      <c r="BQ255" s="32" t="s">
        <v>799</v>
      </c>
      <c r="BR255" s="32"/>
      <c r="BS255" s="32"/>
      <c r="BT255" s="32">
        <v>1</v>
      </c>
      <c r="BU255" s="32"/>
      <c r="BV255" s="81" t="s">
        <v>1293</v>
      </c>
      <c r="BW255" s="113"/>
      <c r="BX255" s="113"/>
      <c r="BY255" s="113"/>
      <c r="BZ255" s="113"/>
      <c r="CA255" s="113"/>
      <c r="CB255" s="113"/>
      <c r="CC255" s="113"/>
    </row>
    <row r="256" spans="1:92" ht="18">
      <c r="A256" s="109">
        <v>254</v>
      </c>
      <c r="B256" s="110" t="s">
        <v>1294</v>
      </c>
      <c r="C256" s="111" t="s">
        <v>851</v>
      </c>
      <c r="D256" s="110" t="s">
        <v>850</v>
      </c>
      <c r="E256" s="111" t="s">
        <v>851</v>
      </c>
      <c r="F256" s="111" t="s">
        <v>220</v>
      </c>
      <c r="G256" s="26" t="s">
        <v>173</v>
      </c>
      <c r="H256" s="112" t="s">
        <v>915</v>
      </c>
      <c r="I256" s="13">
        <v>4435</v>
      </c>
      <c r="J256" s="14">
        <v>4442</v>
      </c>
      <c r="K256" s="120">
        <v>389.9</v>
      </c>
      <c r="L256" s="121">
        <v>81.28</v>
      </c>
      <c r="M256" s="121">
        <v>59.91</v>
      </c>
      <c r="N256" s="121">
        <v>72.19</v>
      </c>
      <c r="O256" s="15"/>
      <c r="P256" s="42" t="s">
        <v>420</v>
      </c>
      <c r="Q256" s="16">
        <v>40</v>
      </c>
      <c r="R256" s="16">
        <v>45</v>
      </c>
      <c r="S256" s="16">
        <v>55</v>
      </c>
      <c r="T256" s="16">
        <v>48</v>
      </c>
      <c r="U256" s="16">
        <v>56</v>
      </c>
      <c r="V256" s="16">
        <v>56</v>
      </c>
      <c r="W256" s="109">
        <v>300</v>
      </c>
      <c r="X256" s="94"/>
      <c r="Y256" s="94"/>
      <c r="Z256" s="94"/>
      <c r="AA256" s="94"/>
      <c r="AB256" s="94"/>
      <c r="AC256" s="94"/>
      <c r="AD256" s="94"/>
      <c r="AE256" s="94"/>
      <c r="AF256" s="94"/>
      <c r="AG256" s="94"/>
      <c r="AH256" s="94"/>
      <c r="AI256" s="94"/>
      <c r="AJ256" s="94"/>
      <c r="AK256" s="32"/>
      <c r="AL256" s="113"/>
      <c r="AM256" s="95">
        <v>60000</v>
      </c>
      <c r="AN256" s="95">
        <v>7</v>
      </c>
      <c r="AO256" s="96">
        <v>120000</v>
      </c>
      <c r="AP256" s="96">
        <v>5</v>
      </c>
      <c r="AQ256" s="97">
        <v>360000</v>
      </c>
      <c r="AR256" s="134">
        <v>4</v>
      </c>
      <c r="AS256" s="135"/>
      <c r="AT256" s="135"/>
      <c r="AU256" s="32"/>
      <c r="AV256" s="32"/>
      <c r="AW256" s="113">
        <v>405</v>
      </c>
      <c r="AX256" s="113"/>
      <c r="AY256" s="113">
        <v>547</v>
      </c>
      <c r="AZ256" s="113"/>
      <c r="BA256" s="113" t="s">
        <v>639</v>
      </c>
      <c r="BB256" s="32"/>
      <c r="BC256" s="32"/>
      <c r="BD256" s="32"/>
      <c r="BE256" s="32"/>
      <c r="BF256" s="32"/>
      <c r="BG256" s="32"/>
      <c r="BH256" s="32"/>
      <c r="BI256" s="32"/>
      <c r="BJ256" s="32"/>
      <c r="BK256" s="32"/>
      <c r="BL256" s="32">
        <v>1</v>
      </c>
      <c r="BM256" s="32"/>
      <c r="BN256" s="32"/>
      <c r="BO256" s="32"/>
      <c r="BP256" s="32"/>
      <c r="BQ256" s="84" t="s">
        <v>800</v>
      </c>
      <c r="BR256" s="32"/>
      <c r="BS256" s="32"/>
      <c r="BT256" s="32">
        <v>1</v>
      </c>
      <c r="BU256" s="32"/>
      <c r="BV256" s="81"/>
      <c r="BW256" s="113"/>
      <c r="BX256" s="113"/>
      <c r="BY256" s="113">
        <v>1</v>
      </c>
      <c r="BZ256" s="113">
        <v>9</v>
      </c>
      <c r="CA256" s="113"/>
      <c r="CB256" s="113"/>
      <c r="CC256" s="113"/>
    </row>
    <row r="257" spans="1:81" ht="18">
      <c r="A257" s="109">
        <v>255</v>
      </c>
      <c r="B257" s="110" t="s">
        <v>1516</v>
      </c>
      <c r="C257" s="111" t="s">
        <v>1517</v>
      </c>
      <c r="D257" s="110" t="s">
        <v>765</v>
      </c>
      <c r="E257" s="111" t="s">
        <v>1518</v>
      </c>
      <c r="F257" s="111" t="s">
        <v>220</v>
      </c>
      <c r="G257" s="26" t="s">
        <v>173</v>
      </c>
      <c r="H257" s="112" t="s">
        <v>1491</v>
      </c>
      <c r="I257" s="13"/>
      <c r="J257" s="14">
        <v>4473</v>
      </c>
      <c r="K257" s="120">
        <v>422.9</v>
      </c>
      <c r="L257" s="121">
        <v>77.14</v>
      </c>
      <c r="M257" s="121">
        <v>55.74</v>
      </c>
      <c r="N257" s="121">
        <v>51.7</v>
      </c>
      <c r="O257" s="32"/>
      <c r="P257" s="42" t="s">
        <v>420</v>
      </c>
      <c r="Q257" s="16">
        <v>35</v>
      </c>
      <c r="R257" s="16">
        <v>40</v>
      </c>
      <c r="S257" s="16">
        <v>45</v>
      </c>
      <c r="T257" s="16">
        <v>50</v>
      </c>
      <c r="U257" s="16">
        <v>60</v>
      </c>
      <c r="V257" s="16">
        <v>70</v>
      </c>
      <c r="W257" s="109">
        <v>300</v>
      </c>
      <c r="X257" s="105">
        <v>22000</v>
      </c>
      <c r="Y257" s="105">
        <v>36000</v>
      </c>
      <c r="Z257" s="105">
        <v>56000</v>
      </c>
      <c r="AA257" s="105">
        <v>85000</v>
      </c>
      <c r="AB257" s="105">
        <v>122000</v>
      </c>
      <c r="AC257" s="105">
        <v>180000</v>
      </c>
      <c r="AD257" s="108">
        <v>267000</v>
      </c>
      <c r="AE257" s="108">
        <v>395000</v>
      </c>
      <c r="AF257" s="106">
        <v>585000</v>
      </c>
      <c r="AG257" s="106">
        <v>844000</v>
      </c>
      <c r="AH257" s="108">
        <v>1079000</v>
      </c>
      <c r="AI257" s="108">
        <v>1243000</v>
      </c>
      <c r="AJ257" s="94"/>
      <c r="AK257" s="32"/>
      <c r="AL257" s="113"/>
      <c r="AM257" s="95">
        <v>66000</v>
      </c>
      <c r="AN257" s="95">
        <v>7</v>
      </c>
      <c r="AO257" s="96">
        <v>132000</v>
      </c>
      <c r="AP257" s="96">
        <v>5</v>
      </c>
      <c r="AQ257" s="97">
        <v>396000</v>
      </c>
      <c r="AR257" s="134">
        <v>4</v>
      </c>
      <c r="AS257" s="135"/>
      <c r="AT257" s="135"/>
      <c r="AU257" s="113"/>
      <c r="AV257" s="113"/>
      <c r="AW257" s="113"/>
      <c r="AX257" s="113"/>
      <c r="AY257" s="113"/>
      <c r="AZ257" s="113"/>
      <c r="BA257" s="113" t="s">
        <v>605</v>
      </c>
      <c r="BB257" s="32"/>
      <c r="BC257" s="32"/>
      <c r="BD257" s="32"/>
      <c r="BE257" s="32"/>
      <c r="BF257" s="32"/>
      <c r="BG257" s="32"/>
      <c r="BH257" s="32"/>
      <c r="BI257" s="32"/>
      <c r="BJ257" s="32"/>
      <c r="BK257" s="32"/>
      <c r="BL257" s="32"/>
      <c r="BM257" s="32"/>
      <c r="BN257" s="32"/>
      <c r="BO257" s="32"/>
      <c r="BP257" s="32"/>
      <c r="BQ257" s="32"/>
      <c r="BR257" s="32"/>
      <c r="BS257" s="32"/>
      <c r="BT257" s="32"/>
      <c r="BU257" s="32"/>
      <c r="BV257" s="81"/>
      <c r="BW257" s="113"/>
      <c r="BX257" s="113"/>
      <c r="BY257" s="113"/>
      <c r="BZ257" s="113"/>
      <c r="CA257" s="113"/>
      <c r="CB257" s="113"/>
      <c r="CC257" s="113"/>
    </row>
    <row r="258" spans="1:81" ht="18">
      <c r="A258" s="109">
        <v>256</v>
      </c>
      <c r="B258" s="110" t="s">
        <v>255</v>
      </c>
      <c r="C258" s="111" t="s">
        <v>256</v>
      </c>
      <c r="D258" s="110" t="s">
        <v>1270</v>
      </c>
      <c r="E258" s="111" t="s">
        <v>383</v>
      </c>
      <c r="F258" s="111" t="s">
        <v>220</v>
      </c>
      <c r="G258" s="26" t="s">
        <v>173</v>
      </c>
      <c r="H258" s="112" t="s">
        <v>296</v>
      </c>
      <c r="I258" s="13">
        <v>4479</v>
      </c>
      <c r="J258" s="14">
        <v>4479</v>
      </c>
      <c r="K258" s="120">
        <v>416.9</v>
      </c>
      <c r="L258" s="121">
        <v>82.19</v>
      </c>
      <c r="M258" s="121">
        <v>43.24</v>
      </c>
      <c r="N258" s="121">
        <v>68.599999999999994</v>
      </c>
      <c r="O258" s="32">
        <v>6.1</v>
      </c>
      <c r="P258" s="42" t="s">
        <v>420</v>
      </c>
      <c r="Q258" s="16">
        <v>60</v>
      </c>
      <c r="R258" s="16">
        <v>15</v>
      </c>
      <c r="S258" s="16">
        <v>18</v>
      </c>
      <c r="T258" s="16">
        <v>25</v>
      </c>
      <c r="U258" s="16">
        <v>38</v>
      </c>
      <c r="V258" s="16">
        <v>48</v>
      </c>
      <c r="W258" s="109">
        <v>204</v>
      </c>
      <c r="X258" s="94">
        <v>13400</v>
      </c>
      <c r="Y258" s="94">
        <v>21800</v>
      </c>
      <c r="Z258" s="94">
        <v>34900</v>
      </c>
      <c r="AA258" s="94">
        <v>52300</v>
      </c>
      <c r="AB258" s="94">
        <v>75600</v>
      </c>
      <c r="AC258" s="94">
        <v>112000</v>
      </c>
      <c r="AD258" s="94">
        <v>165500</v>
      </c>
      <c r="AE258" s="94">
        <v>245000</v>
      </c>
      <c r="AF258" s="94">
        <v>362500</v>
      </c>
      <c r="AG258" s="94">
        <v>523000</v>
      </c>
      <c r="AH258" s="94">
        <v>669000</v>
      </c>
      <c r="AI258" s="94">
        <v>771000</v>
      </c>
      <c r="AJ258" s="94">
        <v>828000</v>
      </c>
      <c r="AK258" s="32"/>
      <c r="AL258" s="113">
        <v>15496000</v>
      </c>
      <c r="AM258" s="95">
        <v>60000</v>
      </c>
      <c r="AN258" s="95">
        <v>7</v>
      </c>
      <c r="AO258" s="96">
        <v>120000</v>
      </c>
      <c r="AP258" s="96">
        <v>5</v>
      </c>
      <c r="AQ258" s="97">
        <v>360000</v>
      </c>
      <c r="AR258" s="134">
        <v>4</v>
      </c>
      <c r="AS258" s="135"/>
      <c r="AT258" s="135"/>
      <c r="AU258" s="113">
        <v>9840000</v>
      </c>
      <c r="AV258" s="113">
        <v>25336000</v>
      </c>
      <c r="AW258" s="113">
        <v>438</v>
      </c>
      <c r="AX258" s="113"/>
      <c r="AY258" s="113">
        <v>566</v>
      </c>
      <c r="AZ258" s="113"/>
      <c r="BA258" s="113" t="s">
        <v>711</v>
      </c>
      <c r="BB258" s="32"/>
      <c r="BC258" s="32"/>
      <c r="BD258" s="32"/>
      <c r="BE258" s="32"/>
      <c r="BF258" s="32"/>
      <c r="BG258" s="32"/>
      <c r="BH258" s="32"/>
      <c r="BI258" s="32"/>
      <c r="BJ258" s="32">
        <v>1</v>
      </c>
      <c r="BK258" s="32"/>
      <c r="BL258" s="32"/>
      <c r="BM258" s="32"/>
      <c r="BN258" s="32"/>
      <c r="BO258" s="32"/>
      <c r="BP258" s="32"/>
      <c r="BQ258" s="32" t="s">
        <v>828</v>
      </c>
      <c r="BR258" s="32"/>
      <c r="BS258" s="32"/>
      <c r="BT258" s="32"/>
      <c r="BU258" s="32"/>
      <c r="BV258" s="81" t="s">
        <v>1295</v>
      </c>
      <c r="BW258" s="113"/>
      <c r="BX258" s="113"/>
      <c r="BY258" s="113">
        <v>1</v>
      </c>
      <c r="BZ258" s="113">
        <v>9</v>
      </c>
      <c r="CA258" s="113"/>
      <c r="CB258" s="113"/>
      <c r="CC258" s="113"/>
    </row>
    <row r="259" spans="1:81" ht="18">
      <c r="A259" s="109">
        <v>257</v>
      </c>
      <c r="B259" s="110" t="s">
        <v>1296</v>
      </c>
      <c r="C259" s="111" t="s">
        <v>669</v>
      </c>
      <c r="D259" s="110" t="s">
        <v>1129</v>
      </c>
      <c r="E259" s="111" t="s">
        <v>668</v>
      </c>
      <c r="F259" s="111" t="s">
        <v>220</v>
      </c>
      <c r="G259" s="26" t="s">
        <v>173</v>
      </c>
      <c r="H259" s="112" t="s">
        <v>311</v>
      </c>
      <c r="I259" s="13">
        <v>4488</v>
      </c>
      <c r="J259" s="14">
        <v>4487</v>
      </c>
      <c r="K259" s="120">
        <v>378.1</v>
      </c>
      <c r="L259" s="121">
        <v>80.260000000000005</v>
      </c>
      <c r="M259" s="121">
        <v>77.87</v>
      </c>
      <c r="N259" s="121">
        <v>76.72</v>
      </c>
      <c r="O259" s="15"/>
      <c r="P259" s="42" t="s">
        <v>420</v>
      </c>
      <c r="Q259" s="16">
        <v>40</v>
      </c>
      <c r="R259" s="37">
        <v>45</v>
      </c>
      <c r="S259" s="75">
        <v>55</v>
      </c>
      <c r="T259" s="75">
        <v>48</v>
      </c>
      <c r="U259" s="75">
        <v>56</v>
      </c>
      <c r="V259" s="75">
        <v>56</v>
      </c>
      <c r="W259" s="109">
        <v>300</v>
      </c>
      <c r="X259" s="96">
        <v>13400</v>
      </c>
      <c r="Y259" s="94">
        <v>21800</v>
      </c>
      <c r="Z259" s="94">
        <v>34900</v>
      </c>
      <c r="AA259" s="94">
        <v>52300</v>
      </c>
      <c r="AB259" s="94">
        <v>75600</v>
      </c>
      <c r="AC259" s="94">
        <v>112000</v>
      </c>
      <c r="AD259" s="94">
        <v>165500</v>
      </c>
      <c r="AE259" s="94">
        <v>245000</v>
      </c>
      <c r="AF259" s="94">
        <v>362500</v>
      </c>
      <c r="AG259" s="94">
        <v>523000</v>
      </c>
      <c r="AH259" s="94">
        <v>669000</v>
      </c>
      <c r="AI259" s="94">
        <v>771000</v>
      </c>
      <c r="AJ259" s="94">
        <v>828000</v>
      </c>
      <c r="AK259" s="32"/>
      <c r="AL259" s="113">
        <v>15496000</v>
      </c>
      <c r="AM259" s="95">
        <v>60000</v>
      </c>
      <c r="AN259" s="95">
        <v>7</v>
      </c>
      <c r="AO259" s="96">
        <v>120000</v>
      </c>
      <c r="AP259" s="96">
        <v>5</v>
      </c>
      <c r="AQ259" s="97">
        <v>360000</v>
      </c>
      <c r="AR259" s="134">
        <v>4</v>
      </c>
      <c r="AS259" s="135"/>
      <c r="AT259" s="135"/>
      <c r="AU259" s="113">
        <v>9840000</v>
      </c>
      <c r="AV259" s="113">
        <v>25336000</v>
      </c>
      <c r="AW259" s="113">
        <v>393</v>
      </c>
      <c r="AX259" s="113"/>
      <c r="AY259" s="113">
        <v>527</v>
      </c>
      <c r="AZ259" s="113"/>
      <c r="BA259" s="113" t="s">
        <v>639</v>
      </c>
      <c r="BB259" s="32"/>
      <c r="BC259" s="32"/>
      <c r="BD259" s="32"/>
      <c r="BE259" s="32"/>
      <c r="BF259" s="32"/>
      <c r="BG259" s="32"/>
      <c r="BH259" s="32"/>
      <c r="BI259" s="32"/>
      <c r="BJ259" s="32">
        <v>1</v>
      </c>
      <c r="BK259" s="32"/>
      <c r="BL259" s="32">
        <v>1</v>
      </c>
      <c r="BM259" s="32"/>
      <c r="BN259" s="32"/>
      <c r="BO259" s="32"/>
      <c r="BP259" s="32"/>
      <c r="BQ259" s="32" t="s">
        <v>799</v>
      </c>
      <c r="BR259" s="32"/>
      <c r="BS259" s="32"/>
      <c r="BT259" s="32">
        <v>1</v>
      </c>
      <c r="BU259" s="32"/>
      <c r="BV259" s="81" t="s">
        <v>748</v>
      </c>
      <c r="BW259" s="113"/>
      <c r="BX259" s="113"/>
      <c r="BY259" s="113"/>
      <c r="BZ259" s="113"/>
      <c r="CA259" s="113"/>
      <c r="CB259" s="113"/>
      <c r="CC259" s="113"/>
    </row>
    <row r="260" spans="1:81" ht="18">
      <c r="A260" s="109">
        <v>258</v>
      </c>
      <c r="B260" s="110" t="s">
        <v>1297</v>
      </c>
      <c r="C260" s="111" t="s">
        <v>792</v>
      </c>
      <c r="D260" s="110" t="s">
        <v>780</v>
      </c>
      <c r="E260" s="111" t="s">
        <v>791</v>
      </c>
      <c r="F260" s="111" t="s">
        <v>220</v>
      </c>
      <c r="G260" s="26" t="s">
        <v>173</v>
      </c>
      <c r="H260" s="112" t="s">
        <v>857</v>
      </c>
      <c r="I260" s="13">
        <v>4480</v>
      </c>
      <c r="J260" s="38">
        <v>4490</v>
      </c>
      <c r="K260" s="130">
        <v>368.7</v>
      </c>
      <c r="L260" s="131">
        <v>86.45</v>
      </c>
      <c r="M260" s="131">
        <v>84.35</v>
      </c>
      <c r="N260" s="131">
        <v>54.75</v>
      </c>
      <c r="O260" s="39"/>
      <c r="P260" s="42" t="s">
        <v>420</v>
      </c>
      <c r="Q260" s="75">
        <v>40</v>
      </c>
      <c r="R260" s="75">
        <v>45</v>
      </c>
      <c r="S260" s="75">
        <v>55</v>
      </c>
      <c r="T260" s="75">
        <v>48</v>
      </c>
      <c r="U260" s="75">
        <v>56</v>
      </c>
      <c r="V260" s="75">
        <v>56</v>
      </c>
      <c r="W260" s="109">
        <v>300</v>
      </c>
      <c r="X260" s="94">
        <v>13400</v>
      </c>
      <c r="Y260" s="94">
        <v>21800</v>
      </c>
      <c r="Z260" s="94">
        <v>34900</v>
      </c>
      <c r="AA260" s="96">
        <v>52300</v>
      </c>
      <c r="AB260" s="94">
        <v>75600</v>
      </c>
      <c r="AC260" s="94">
        <v>112000</v>
      </c>
      <c r="AD260" s="94">
        <v>165500</v>
      </c>
      <c r="AE260" s="94">
        <v>245000</v>
      </c>
      <c r="AF260" s="94">
        <v>362500</v>
      </c>
      <c r="AG260" s="94">
        <v>523000</v>
      </c>
      <c r="AH260" s="94">
        <v>669000</v>
      </c>
      <c r="AI260" s="94">
        <v>771000</v>
      </c>
      <c r="AJ260" s="94">
        <v>828000</v>
      </c>
      <c r="AK260" s="32"/>
      <c r="AL260" s="113">
        <v>15496000</v>
      </c>
      <c r="AM260" s="95">
        <v>60000</v>
      </c>
      <c r="AN260" s="95">
        <v>7</v>
      </c>
      <c r="AO260" s="96">
        <v>120000</v>
      </c>
      <c r="AP260" s="96">
        <v>5</v>
      </c>
      <c r="AQ260" s="97">
        <v>360000</v>
      </c>
      <c r="AR260" s="134">
        <v>4</v>
      </c>
      <c r="AS260" s="135"/>
      <c r="AT260" s="135"/>
      <c r="AU260" s="32">
        <v>9840000</v>
      </c>
      <c r="AV260" s="32">
        <v>25336000</v>
      </c>
      <c r="AW260" s="113">
        <v>383</v>
      </c>
      <c r="AX260" s="113"/>
      <c r="AY260" s="113">
        <v>510</v>
      </c>
      <c r="AZ260" s="113"/>
      <c r="BA260" s="113" t="s">
        <v>639</v>
      </c>
      <c r="BB260" s="32"/>
      <c r="BC260" s="32"/>
      <c r="BD260" s="32"/>
      <c r="BE260" s="32"/>
      <c r="BF260" s="32"/>
      <c r="BG260" s="32"/>
      <c r="BH260" s="32"/>
      <c r="BI260" s="32"/>
      <c r="BJ260" s="32"/>
      <c r="BK260" s="32"/>
      <c r="BL260" s="32">
        <v>1</v>
      </c>
      <c r="BM260" s="32"/>
      <c r="BN260" s="32"/>
      <c r="BO260" s="32"/>
      <c r="BP260" s="32"/>
      <c r="BQ260" s="32" t="s">
        <v>800</v>
      </c>
      <c r="BR260" s="32"/>
      <c r="BS260" s="32"/>
      <c r="BT260" s="32">
        <v>1</v>
      </c>
      <c r="BU260" s="32"/>
      <c r="BV260" s="113"/>
      <c r="BW260" s="113"/>
      <c r="BX260" s="113"/>
      <c r="BY260" s="113">
        <v>1</v>
      </c>
      <c r="BZ260" s="113">
        <v>9</v>
      </c>
      <c r="CA260" s="113"/>
      <c r="CB260" s="113"/>
      <c r="CC260" s="113"/>
    </row>
    <row r="261" spans="1:81" ht="18">
      <c r="A261" s="109">
        <v>259</v>
      </c>
      <c r="B261" s="110" t="s">
        <v>257</v>
      </c>
      <c r="C261" s="111" t="s">
        <v>258</v>
      </c>
      <c r="D261" s="110" t="s">
        <v>662</v>
      </c>
      <c r="E261" s="111" t="s">
        <v>384</v>
      </c>
      <c r="F261" s="111" t="s">
        <v>220</v>
      </c>
      <c r="G261" s="26" t="s">
        <v>173</v>
      </c>
      <c r="H261" s="112" t="s">
        <v>299</v>
      </c>
      <c r="I261" s="13">
        <v>4514</v>
      </c>
      <c r="J261" s="14">
        <v>4521</v>
      </c>
      <c r="K261" s="120">
        <v>418.2</v>
      </c>
      <c r="L261" s="121">
        <v>81.290000000000006</v>
      </c>
      <c r="M261" s="121">
        <v>46.66</v>
      </c>
      <c r="N261" s="121">
        <v>63.43</v>
      </c>
      <c r="O261" s="32">
        <v>5.5670000000000002</v>
      </c>
      <c r="P261" s="42" t="s">
        <v>420</v>
      </c>
      <c r="Q261" s="16">
        <v>30</v>
      </c>
      <c r="R261" s="16">
        <v>13</v>
      </c>
      <c r="S261" s="16">
        <v>21</v>
      </c>
      <c r="T261" s="16">
        <v>32</v>
      </c>
      <c r="U261" s="107">
        <v>46</v>
      </c>
      <c r="V261" s="16">
        <v>58</v>
      </c>
      <c r="W261" s="109">
        <v>200</v>
      </c>
      <c r="X261" s="94">
        <v>13400</v>
      </c>
      <c r="Y261" s="94">
        <v>21800</v>
      </c>
      <c r="Z261" s="94">
        <v>34900</v>
      </c>
      <c r="AA261" s="94">
        <v>52300</v>
      </c>
      <c r="AB261" s="94">
        <v>75600</v>
      </c>
      <c r="AC261" s="94">
        <v>112000</v>
      </c>
      <c r="AD261" s="94">
        <v>165500</v>
      </c>
      <c r="AE261" s="94">
        <v>245000</v>
      </c>
      <c r="AF261" s="96">
        <v>362500</v>
      </c>
      <c r="AG261" s="96">
        <v>523000</v>
      </c>
      <c r="AH261" s="96">
        <v>669000</v>
      </c>
      <c r="AI261" s="96">
        <v>771000</v>
      </c>
      <c r="AJ261" s="94">
        <v>828000</v>
      </c>
      <c r="AK261" s="32"/>
      <c r="AL261" s="113">
        <v>15496000</v>
      </c>
      <c r="AM261" s="95">
        <v>60000</v>
      </c>
      <c r="AN261" s="95">
        <v>7</v>
      </c>
      <c r="AO261" s="96">
        <v>120000</v>
      </c>
      <c r="AP261" s="96">
        <v>5</v>
      </c>
      <c r="AQ261" s="97">
        <v>360000</v>
      </c>
      <c r="AR261" s="134">
        <v>4</v>
      </c>
      <c r="AS261" s="135"/>
      <c r="AT261" s="135"/>
      <c r="AU261" s="113">
        <v>9840000</v>
      </c>
      <c r="AV261" s="113">
        <v>25336000</v>
      </c>
      <c r="AW261" s="113">
        <v>443</v>
      </c>
      <c r="AX261" s="113"/>
      <c r="AY261" s="113">
        <v>568</v>
      </c>
      <c r="AZ261" s="113"/>
      <c r="BA261" s="113" t="s">
        <v>639</v>
      </c>
      <c r="BB261" s="32"/>
      <c r="BC261" s="32"/>
      <c r="BD261" s="32"/>
      <c r="BE261" s="32"/>
      <c r="BF261" s="32"/>
      <c r="BG261" s="32"/>
      <c r="BH261" s="32"/>
      <c r="BI261" s="32"/>
      <c r="BJ261" s="32">
        <v>1</v>
      </c>
      <c r="BK261" s="32"/>
      <c r="BL261" s="32">
        <v>1</v>
      </c>
      <c r="BM261" s="32"/>
      <c r="BN261" s="32"/>
      <c r="BO261" s="32"/>
      <c r="BP261" s="32"/>
      <c r="BQ261" s="32" t="s">
        <v>653</v>
      </c>
      <c r="BR261" s="32"/>
      <c r="BS261" s="32"/>
      <c r="BT261" s="32"/>
      <c r="BU261" s="32"/>
      <c r="BV261" s="81" t="s">
        <v>758</v>
      </c>
      <c r="BW261" s="113"/>
      <c r="BX261" s="113"/>
      <c r="BY261" s="113">
        <v>1</v>
      </c>
      <c r="BZ261" s="113">
        <v>9</v>
      </c>
      <c r="CA261" s="113"/>
      <c r="CB261" s="113"/>
      <c r="CC261" s="113"/>
    </row>
    <row r="262" spans="1:81" ht="18">
      <c r="A262" s="109">
        <v>260</v>
      </c>
      <c r="B262" s="110" t="s">
        <v>1298</v>
      </c>
      <c r="C262" s="111" t="s">
        <v>1055</v>
      </c>
      <c r="D262" s="110" t="s">
        <v>780</v>
      </c>
      <c r="E262" s="111" t="s">
        <v>1056</v>
      </c>
      <c r="F262" s="111" t="s">
        <v>220</v>
      </c>
      <c r="G262" s="26" t="s">
        <v>173</v>
      </c>
      <c r="H262" s="112" t="s">
        <v>1049</v>
      </c>
      <c r="I262" s="13"/>
      <c r="J262" s="14">
        <v>4528</v>
      </c>
      <c r="K262" s="126">
        <v>376.3</v>
      </c>
      <c r="L262" s="127">
        <v>84.53</v>
      </c>
      <c r="M262" s="127">
        <v>79.09</v>
      </c>
      <c r="N262" s="127">
        <v>69.86</v>
      </c>
      <c r="O262" s="36"/>
      <c r="P262" s="42" t="s">
        <v>420</v>
      </c>
      <c r="Q262" s="16">
        <v>40</v>
      </c>
      <c r="R262" s="37">
        <v>45</v>
      </c>
      <c r="S262" s="75">
        <v>55</v>
      </c>
      <c r="T262" s="75">
        <v>48</v>
      </c>
      <c r="U262" s="75">
        <v>56</v>
      </c>
      <c r="V262" s="75">
        <v>56</v>
      </c>
      <c r="W262" s="109">
        <v>300</v>
      </c>
      <c r="X262" s="96">
        <v>20000</v>
      </c>
      <c r="Y262" s="96">
        <v>35000</v>
      </c>
      <c r="Z262" s="96">
        <v>50000</v>
      </c>
      <c r="AA262" s="94">
        <v>80000</v>
      </c>
      <c r="AB262" s="94">
        <v>115000</v>
      </c>
      <c r="AC262" s="94">
        <v>170000</v>
      </c>
      <c r="AD262" s="94">
        <v>260000</v>
      </c>
      <c r="AE262" s="94">
        <v>375000</v>
      </c>
      <c r="AF262" s="94">
        <v>585000</v>
      </c>
      <c r="AG262" s="94">
        <v>800000</v>
      </c>
      <c r="AH262" s="94">
        <v>940000</v>
      </c>
      <c r="AI262" s="94">
        <v>1020000</v>
      </c>
      <c r="AJ262" s="94">
        <v>1050000</v>
      </c>
      <c r="AK262" s="32"/>
      <c r="AL262" s="113">
        <v>22000000</v>
      </c>
      <c r="AM262" s="95">
        <v>90000</v>
      </c>
      <c r="AN262" s="95">
        <v>7</v>
      </c>
      <c r="AO262" s="96">
        <v>180000</v>
      </c>
      <c r="AP262" s="96">
        <v>5</v>
      </c>
      <c r="AQ262" s="97">
        <v>540000</v>
      </c>
      <c r="AR262" s="134">
        <v>4</v>
      </c>
      <c r="AS262" s="135"/>
      <c r="AT262" s="135"/>
      <c r="AU262" s="113">
        <v>14760000</v>
      </c>
      <c r="AV262" s="113">
        <v>36760000</v>
      </c>
      <c r="AW262" s="113">
        <v>391</v>
      </c>
      <c r="AX262" s="113"/>
      <c r="AY262" s="113">
        <v>523</v>
      </c>
      <c r="AZ262" s="113"/>
      <c r="BA262" s="113" t="s">
        <v>639</v>
      </c>
      <c r="BB262" s="32"/>
      <c r="BC262" s="32"/>
      <c r="BD262" s="32"/>
      <c r="BE262" s="32"/>
      <c r="BF262" s="32"/>
      <c r="BG262" s="32"/>
      <c r="BH262" s="32"/>
      <c r="BI262" s="32"/>
      <c r="BJ262" s="32"/>
      <c r="BK262" s="32"/>
      <c r="BL262" s="32">
        <v>1</v>
      </c>
      <c r="BM262" s="32"/>
      <c r="BN262" s="32"/>
      <c r="BO262" s="32"/>
      <c r="BP262" s="32"/>
      <c r="BQ262" s="32"/>
      <c r="BR262" s="32"/>
      <c r="BS262" s="32"/>
      <c r="BT262" s="32"/>
      <c r="BU262" s="32"/>
      <c r="BV262" s="81"/>
      <c r="BW262" s="77"/>
      <c r="BX262" s="77"/>
      <c r="BY262" s="113">
        <v>1</v>
      </c>
      <c r="BZ262" s="113">
        <v>9</v>
      </c>
      <c r="CA262" s="113"/>
      <c r="CB262" s="113"/>
      <c r="CC262" s="113"/>
    </row>
    <row r="263" spans="1:81" ht="18">
      <c r="A263" s="109">
        <v>261</v>
      </c>
      <c r="B263" s="110" t="s">
        <v>410</v>
      </c>
      <c r="C263" s="111" t="s">
        <v>412</v>
      </c>
      <c r="D263" s="110" t="s">
        <v>158</v>
      </c>
      <c r="E263" s="111" t="s">
        <v>411</v>
      </c>
      <c r="F263" s="111" t="s">
        <v>220</v>
      </c>
      <c r="G263" s="26" t="s">
        <v>173</v>
      </c>
      <c r="H263" s="112" t="s">
        <v>654</v>
      </c>
      <c r="I263" s="13">
        <v>4395</v>
      </c>
      <c r="J263" s="14">
        <v>4550</v>
      </c>
      <c r="K263" s="126">
        <v>360.1</v>
      </c>
      <c r="L263" s="127">
        <v>86.83</v>
      </c>
      <c r="M263" s="127">
        <v>93.5</v>
      </c>
      <c r="N263" s="127">
        <v>69.88</v>
      </c>
      <c r="O263" s="17">
        <v>7.73</v>
      </c>
      <c r="P263" s="42" t="s">
        <v>420</v>
      </c>
      <c r="Q263" s="16">
        <v>40</v>
      </c>
      <c r="R263" s="37">
        <v>45</v>
      </c>
      <c r="S263" s="75">
        <v>55</v>
      </c>
      <c r="T263" s="75">
        <v>48</v>
      </c>
      <c r="U263" s="75">
        <v>56</v>
      </c>
      <c r="V263" s="75">
        <v>56</v>
      </c>
      <c r="W263" s="109">
        <v>300</v>
      </c>
      <c r="X263" s="96">
        <v>13400</v>
      </c>
      <c r="Y263" s="96">
        <v>21800</v>
      </c>
      <c r="Z263" s="96">
        <v>34900</v>
      </c>
      <c r="AA263" s="96">
        <v>52300</v>
      </c>
      <c r="AB263" s="94">
        <v>75600</v>
      </c>
      <c r="AC263" s="94">
        <v>112000</v>
      </c>
      <c r="AD263" s="94">
        <v>165500</v>
      </c>
      <c r="AE263" s="94">
        <v>245000</v>
      </c>
      <c r="AF263" s="94">
        <v>362500</v>
      </c>
      <c r="AG263" s="94">
        <v>523000</v>
      </c>
      <c r="AH263" s="94">
        <v>669000</v>
      </c>
      <c r="AI263" s="94">
        <v>771000</v>
      </c>
      <c r="AJ263" s="94">
        <v>828000</v>
      </c>
      <c r="AK263" s="32"/>
      <c r="AL263" s="113">
        <v>15496000</v>
      </c>
      <c r="AM263" s="95">
        <v>60000</v>
      </c>
      <c r="AN263" s="95">
        <v>7</v>
      </c>
      <c r="AO263" s="96">
        <v>120000</v>
      </c>
      <c r="AP263" s="96">
        <v>5</v>
      </c>
      <c r="AQ263" s="97">
        <v>360000</v>
      </c>
      <c r="AR263" s="134">
        <v>4</v>
      </c>
      <c r="AS263" s="135"/>
      <c r="AT263" s="135"/>
      <c r="AU263" s="113">
        <v>9840000</v>
      </c>
      <c r="AV263" s="113">
        <v>25336000</v>
      </c>
      <c r="AW263" s="113">
        <v>374</v>
      </c>
      <c r="AX263" s="113">
        <v>384</v>
      </c>
      <c r="AY263" s="113">
        <v>509</v>
      </c>
      <c r="AZ263" s="113"/>
      <c r="BA263" s="113" t="s">
        <v>639</v>
      </c>
      <c r="BB263" s="32"/>
      <c r="BC263" s="32"/>
      <c r="BD263" s="32"/>
      <c r="BE263" s="32"/>
      <c r="BF263" s="32"/>
      <c r="BG263" s="32"/>
      <c r="BH263" s="32"/>
      <c r="BI263" s="32"/>
      <c r="BJ263" s="32">
        <v>1</v>
      </c>
      <c r="BK263" s="32"/>
      <c r="BL263" s="32">
        <v>1</v>
      </c>
      <c r="BM263" s="32"/>
      <c r="BN263" s="32"/>
      <c r="BO263" s="32"/>
      <c r="BP263" s="32">
        <v>1</v>
      </c>
      <c r="BQ263" s="32" t="s">
        <v>799</v>
      </c>
      <c r="BR263" s="32"/>
      <c r="BS263" s="32"/>
      <c r="BT263" s="32">
        <v>1</v>
      </c>
      <c r="BU263" s="32"/>
      <c r="BV263" s="81" t="s">
        <v>1299</v>
      </c>
      <c r="BW263" s="77"/>
      <c r="BX263" s="77"/>
      <c r="BY263" s="113">
        <v>1</v>
      </c>
      <c r="BZ263" s="113">
        <v>9</v>
      </c>
      <c r="CA263" s="113"/>
      <c r="CB263" s="113"/>
      <c r="CC263" s="113"/>
    </row>
    <row r="264" spans="1:81" ht="18">
      <c r="A264" s="109">
        <v>262</v>
      </c>
      <c r="B264" s="110" t="s">
        <v>259</v>
      </c>
      <c r="C264" s="111" t="s">
        <v>260</v>
      </c>
      <c r="D264" s="110" t="s">
        <v>1300</v>
      </c>
      <c r="E264" s="111" t="s">
        <v>386</v>
      </c>
      <c r="F264" s="111" t="s">
        <v>220</v>
      </c>
      <c r="G264" s="26" t="s">
        <v>173</v>
      </c>
      <c r="H264" s="112" t="s">
        <v>801</v>
      </c>
      <c r="I264" s="13">
        <v>4550</v>
      </c>
      <c r="J264" s="14">
        <v>4551</v>
      </c>
      <c r="K264" s="130">
        <v>368.3</v>
      </c>
      <c r="L264" s="131">
        <v>88.48</v>
      </c>
      <c r="M264" s="131">
        <v>80.42</v>
      </c>
      <c r="N264" s="131">
        <v>78.22</v>
      </c>
      <c r="O264" s="75">
        <v>8.6300000000000008</v>
      </c>
      <c r="P264" s="42" t="s">
        <v>420</v>
      </c>
      <c r="Q264" s="75">
        <v>60</v>
      </c>
      <c r="R264" s="75">
        <v>25</v>
      </c>
      <c r="S264" s="75">
        <v>35</v>
      </c>
      <c r="T264" s="75">
        <v>46</v>
      </c>
      <c r="U264" s="75">
        <v>58</v>
      </c>
      <c r="V264" s="75">
        <v>76</v>
      </c>
      <c r="W264" s="109">
        <v>300</v>
      </c>
      <c r="X264" s="94">
        <v>13400</v>
      </c>
      <c r="Y264" s="94">
        <v>21800</v>
      </c>
      <c r="Z264" s="94">
        <v>34900</v>
      </c>
      <c r="AA264" s="94">
        <v>52300</v>
      </c>
      <c r="AB264" s="94">
        <v>75600</v>
      </c>
      <c r="AC264" s="94">
        <v>112000</v>
      </c>
      <c r="AD264" s="94">
        <v>165500</v>
      </c>
      <c r="AE264" s="94">
        <v>245000</v>
      </c>
      <c r="AF264" s="94">
        <v>362500</v>
      </c>
      <c r="AG264" s="94">
        <v>523000</v>
      </c>
      <c r="AH264" s="94">
        <v>669000</v>
      </c>
      <c r="AI264" s="94">
        <v>771000</v>
      </c>
      <c r="AJ264" s="94">
        <v>828000</v>
      </c>
      <c r="AK264" s="32"/>
      <c r="AL264" s="113">
        <v>15496000</v>
      </c>
      <c r="AM264" s="95">
        <v>60000</v>
      </c>
      <c r="AN264" s="95">
        <v>7</v>
      </c>
      <c r="AO264" s="96">
        <v>120000</v>
      </c>
      <c r="AP264" s="96">
        <v>5</v>
      </c>
      <c r="AQ264" s="97">
        <v>360000</v>
      </c>
      <c r="AR264" s="134">
        <v>4</v>
      </c>
      <c r="AS264" s="135"/>
      <c r="AT264" s="135"/>
      <c r="AU264" s="32">
        <v>9840000</v>
      </c>
      <c r="AV264" s="32">
        <v>25336000</v>
      </c>
      <c r="AW264" s="113">
        <v>382</v>
      </c>
      <c r="AX264" s="113"/>
      <c r="AY264" s="113">
        <v>509</v>
      </c>
      <c r="AZ264" s="113"/>
      <c r="BA264" s="113" t="s">
        <v>639</v>
      </c>
      <c r="BB264" s="32"/>
      <c r="BC264" s="32"/>
      <c r="BD264" s="32"/>
      <c r="BE264" s="32"/>
      <c r="BF264" s="32"/>
      <c r="BG264" s="32"/>
      <c r="BH264" s="32"/>
      <c r="BI264" s="32"/>
      <c r="BJ264" s="32"/>
      <c r="BK264" s="32"/>
      <c r="BL264" s="32">
        <v>1</v>
      </c>
      <c r="BM264" s="32"/>
      <c r="BN264" s="32"/>
      <c r="BO264" s="32"/>
      <c r="BP264" s="32">
        <v>1</v>
      </c>
      <c r="BQ264" s="32" t="s">
        <v>828</v>
      </c>
      <c r="BR264" s="32"/>
      <c r="BS264" s="32"/>
      <c r="BT264" s="32">
        <v>1</v>
      </c>
      <c r="BU264" s="32"/>
      <c r="BV264" s="81" t="s">
        <v>1301</v>
      </c>
      <c r="BW264" s="113"/>
      <c r="BX264" s="113"/>
      <c r="BY264" s="113"/>
      <c r="BZ264" s="113"/>
      <c r="CA264" s="113"/>
      <c r="CB264" s="113"/>
      <c r="CC264" s="113"/>
    </row>
    <row r="265" spans="1:81" ht="18">
      <c r="A265" s="109">
        <v>263</v>
      </c>
      <c r="B265" s="110" t="s">
        <v>1486</v>
      </c>
      <c r="C265" s="111" t="s">
        <v>1467</v>
      </c>
      <c r="D265" s="110" t="s">
        <v>773</v>
      </c>
      <c r="E265" s="111" t="s">
        <v>1468</v>
      </c>
      <c r="F265" s="111" t="s">
        <v>220</v>
      </c>
      <c r="G265" s="26" t="s">
        <v>173</v>
      </c>
      <c r="H265" s="112" t="s">
        <v>1443</v>
      </c>
      <c r="I265" s="13"/>
      <c r="J265" s="14">
        <v>4556</v>
      </c>
      <c r="K265" s="130">
        <v>366.4</v>
      </c>
      <c r="L265" s="131">
        <v>87.23</v>
      </c>
      <c r="M265" s="131">
        <v>75.05</v>
      </c>
      <c r="N265" s="131">
        <v>72.62</v>
      </c>
      <c r="O265" s="39"/>
      <c r="P265" s="42" t="s">
        <v>420</v>
      </c>
      <c r="Q265" s="37" t="s">
        <v>270</v>
      </c>
      <c r="R265" s="75">
        <v>38</v>
      </c>
      <c r="S265" s="75">
        <v>48</v>
      </c>
      <c r="T265" s="75">
        <v>58</v>
      </c>
      <c r="U265" s="75">
        <v>68</v>
      </c>
      <c r="V265" s="75">
        <v>88</v>
      </c>
      <c r="W265" s="109">
        <v>300</v>
      </c>
      <c r="X265" s="96">
        <v>20000</v>
      </c>
      <c r="Y265" s="96">
        <v>35000</v>
      </c>
      <c r="Z265" s="96">
        <v>50000</v>
      </c>
      <c r="AA265" s="96">
        <v>80000</v>
      </c>
      <c r="AB265" s="96">
        <v>115000</v>
      </c>
      <c r="AC265" s="96">
        <v>170000</v>
      </c>
      <c r="AD265" s="94">
        <v>260000</v>
      </c>
      <c r="AE265" s="94">
        <v>375000</v>
      </c>
      <c r="AF265" s="94">
        <v>585000</v>
      </c>
      <c r="AG265" s="94">
        <v>800000</v>
      </c>
      <c r="AH265" s="94">
        <v>940000</v>
      </c>
      <c r="AI265" s="94">
        <v>1020000</v>
      </c>
      <c r="AJ265" s="94">
        <v>1050000</v>
      </c>
      <c r="AK265" s="32"/>
      <c r="AL265" s="113">
        <v>22000000</v>
      </c>
      <c r="AM265" s="95">
        <v>90000</v>
      </c>
      <c r="AN265" s="95">
        <v>7</v>
      </c>
      <c r="AO265" s="96">
        <v>180000</v>
      </c>
      <c r="AP265" s="96">
        <v>5</v>
      </c>
      <c r="AQ265" s="97">
        <v>540000</v>
      </c>
      <c r="AR265" s="134">
        <v>4</v>
      </c>
      <c r="AS265" s="135"/>
      <c r="AT265" s="135"/>
      <c r="AU265" s="32">
        <v>14760000</v>
      </c>
      <c r="AV265" s="32">
        <v>36760000</v>
      </c>
      <c r="AW265" s="113">
        <v>381</v>
      </c>
      <c r="AX265" s="113"/>
      <c r="AY265" s="113">
        <v>506</v>
      </c>
      <c r="AZ265" s="113"/>
      <c r="BA265" s="113" t="s">
        <v>1000</v>
      </c>
      <c r="BB265" s="32"/>
      <c r="BC265" s="32"/>
      <c r="BD265" s="32"/>
      <c r="BE265" s="32"/>
      <c r="BF265" s="32"/>
      <c r="BG265" s="32"/>
      <c r="BH265" s="32"/>
      <c r="BI265" s="32"/>
      <c r="BJ265" s="32"/>
      <c r="BK265" s="32"/>
      <c r="BL265" s="32"/>
      <c r="BM265" s="32"/>
      <c r="BN265" s="32"/>
      <c r="BO265" s="32">
        <v>1</v>
      </c>
      <c r="BP265" s="32"/>
      <c r="BQ265" s="32"/>
      <c r="BR265" s="32"/>
      <c r="BS265" s="32"/>
      <c r="BT265" s="32"/>
      <c r="BU265" s="32"/>
      <c r="BV265" s="81" t="s">
        <v>1469</v>
      </c>
      <c r="BW265" s="113"/>
      <c r="BX265" s="113"/>
      <c r="BY265" s="113"/>
      <c r="BZ265" s="113"/>
      <c r="CA265" s="113"/>
      <c r="CB265" s="113"/>
      <c r="CC265" s="113"/>
    </row>
    <row r="266" spans="1:81" ht="18">
      <c r="A266" s="109">
        <v>264</v>
      </c>
      <c r="B266" s="110" t="s">
        <v>1302</v>
      </c>
      <c r="C266" s="111" t="s">
        <v>622</v>
      </c>
      <c r="D266" s="110" t="s">
        <v>620</v>
      </c>
      <c r="E266" s="111" t="s">
        <v>621</v>
      </c>
      <c r="F266" s="111" t="s">
        <v>220</v>
      </c>
      <c r="G266" s="26" t="s">
        <v>173</v>
      </c>
      <c r="H266" s="112" t="s">
        <v>801</v>
      </c>
      <c r="I266" s="13">
        <v>4545</v>
      </c>
      <c r="J266" s="14">
        <v>4564</v>
      </c>
      <c r="K266" s="130">
        <v>378.5</v>
      </c>
      <c r="L266" s="131">
        <v>80.260000000000005</v>
      </c>
      <c r="M266" s="131">
        <v>72.44</v>
      </c>
      <c r="N266" s="131">
        <v>71.290000000000006</v>
      </c>
      <c r="O266" s="39"/>
      <c r="P266" s="42" t="s">
        <v>420</v>
      </c>
      <c r="Q266" s="75">
        <v>85</v>
      </c>
      <c r="R266" s="75">
        <v>25</v>
      </c>
      <c r="S266" s="75">
        <v>29</v>
      </c>
      <c r="T266" s="75">
        <v>38</v>
      </c>
      <c r="U266" s="75">
        <v>54</v>
      </c>
      <c r="V266" s="75">
        <v>69</v>
      </c>
      <c r="W266" s="109">
        <v>300</v>
      </c>
      <c r="X266" s="94">
        <v>13400</v>
      </c>
      <c r="Y266" s="94">
        <v>21800</v>
      </c>
      <c r="Z266" s="94">
        <v>34900</v>
      </c>
      <c r="AA266" s="94">
        <v>52300</v>
      </c>
      <c r="AB266" s="94">
        <v>75600</v>
      </c>
      <c r="AC266" s="94">
        <v>112000</v>
      </c>
      <c r="AD266" s="94">
        <v>165500</v>
      </c>
      <c r="AE266" s="94">
        <v>245000</v>
      </c>
      <c r="AF266" s="94">
        <v>362500</v>
      </c>
      <c r="AG266" s="94">
        <v>523000</v>
      </c>
      <c r="AH266" s="94">
        <v>669000</v>
      </c>
      <c r="AI266" s="94">
        <v>771000</v>
      </c>
      <c r="AJ266" s="94">
        <v>828000</v>
      </c>
      <c r="AK266" s="32"/>
      <c r="AL266" s="113">
        <v>15496000</v>
      </c>
      <c r="AM266" s="95">
        <v>60000</v>
      </c>
      <c r="AN266" s="95">
        <v>7</v>
      </c>
      <c r="AO266" s="96">
        <v>120000</v>
      </c>
      <c r="AP266" s="96">
        <v>5</v>
      </c>
      <c r="AQ266" s="97">
        <v>360000</v>
      </c>
      <c r="AR266" s="134">
        <v>4</v>
      </c>
      <c r="AS266" s="135"/>
      <c r="AT266" s="135"/>
      <c r="AU266" s="113">
        <v>9840000</v>
      </c>
      <c r="AV266" s="113">
        <v>25336000</v>
      </c>
      <c r="AW266" s="113">
        <v>393</v>
      </c>
      <c r="AX266" s="113"/>
      <c r="AY266" s="113">
        <v>526</v>
      </c>
      <c r="AZ266" s="113"/>
      <c r="BA266" s="113" t="s">
        <v>639</v>
      </c>
      <c r="BB266" s="32"/>
      <c r="BC266" s="32"/>
      <c r="BD266" s="32"/>
      <c r="BE266" s="32"/>
      <c r="BF266" s="32"/>
      <c r="BG266" s="32"/>
      <c r="BH266" s="32"/>
      <c r="BI266" s="32"/>
      <c r="BJ266" s="32"/>
      <c r="BK266" s="32"/>
      <c r="BL266" s="32">
        <v>1</v>
      </c>
      <c r="BM266" s="32"/>
      <c r="BN266" s="32"/>
      <c r="BO266" s="32"/>
      <c r="BP266" s="32">
        <v>1</v>
      </c>
      <c r="BQ266" s="32" t="s">
        <v>800</v>
      </c>
      <c r="BR266" s="32"/>
      <c r="BS266" s="32"/>
      <c r="BT266" s="32">
        <v>1</v>
      </c>
      <c r="BU266" s="32"/>
      <c r="BV266" s="81" t="s">
        <v>1303</v>
      </c>
      <c r="BW266" s="113"/>
      <c r="BX266" s="113"/>
      <c r="BY266" s="113">
        <v>1</v>
      </c>
      <c r="BZ266" s="113">
        <v>9</v>
      </c>
      <c r="CA266" s="113"/>
      <c r="CB266" s="113"/>
      <c r="CC266" s="113"/>
    </row>
    <row r="267" spans="1:81" ht="18">
      <c r="A267" s="109">
        <v>265</v>
      </c>
      <c r="B267" s="110" t="s">
        <v>1304</v>
      </c>
      <c r="C267" s="111" t="s">
        <v>820</v>
      </c>
      <c r="D267" s="110" t="s">
        <v>819</v>
      </c>
      <c r="E267" s="111" t="s">
        <v>899</v>
      </c>
      <c r="F267" s="111" t="s">
        <v>220</v>
      </c>
      <c r="G267" s="26" t="s">
        <v>173</v>
      </c>
      <c r="H267" s="112" t="s">
        <v>878</v>
      </c>
      <c r="I267" s="13">
        <v>4566</v>
      </c>
      <c r="J267" s="14">
        <v>4564</v>
      </c>
      <c r="K267" s="120">
        <v>383.4</v>
      </c>
      <c r="L267" s="121">
        <v>85.79</v>
      </c>
      <c r="M267" s="121">
        <v>67.31</v>
      </c>
      <c r="N267" s="121">
        <v>65.58</v>
      </c>
      <c r="O267" s="39"/>
      <c r="P267" s="42" t="s">
        <v>420</v>
      </c>
      <c r="Q267" s="17">
        <v>40</v>
      </c>
      <c r="R267" s="75">
        <v>45</v>
      </c>
      <c r="S267" s="75">
        <v>55</v>
      </c>
      <c r="T267" s="75">
        <v>48</v>
      </c>
      <c r="U267" s="75">
        <v>56</v>
      </c>
      <c r="V267" s="75">
        <v>56</v>
      </c>
      <c r="W267" s="109">
        <v>300</v>
      </c>
      <c r="X267" s="96">
        <v>13400</v>
      </c>
      <c r="Y267" s="96">
        <v>21800</v>
      </c>
      <c r="Z267" s="96">
        <v>34900</v>
      </c>
      <c r="AA267" s="94">
        <v>52300</v>
      </c>
      <c r="AB267" s="94">
        <v>75600</v>
      </c>
      <c r="AC267" s="94">
        <v>112000</v>
      </c>
      <c r="AD267" s="94">
        <v>165500</v>
      </c>
      <c r="AE267" s="94">
        <v>245000</v>
      </c>
      <c r="AF267" s="94">
        <v>362500</v>
      </c>
      <c r="AG267" s="94">
        <v>523000</v>
      </c>
      <c r="AH267" s="94">
        <v>669000</v>
      </c>
      <c r="AI267" s="94">
        <v>771000</v>
      </c>
      <c r="AJ267" s="94">
        <v>828000</v>
      </c>
      <c r="AK267" s="32"/>
      <c r="AL267" s="113">
        <v>15496000</v>
      </c>
      <c r="AM267" s="95">
        <v>60000</v>
      </c>
      <c r="AN267" s="95">
        <v>7</v>
      </c>
      <c r="AO267" s="96">
        <v>120000</v>
      </c>
      <c r="AP267" s="96">
        <v>5</v>
      </c>
      <c r="AQ267" s="97">
        <v>360000</v>
      </c>
      <c r="AR267" s="134">
        <v>4</v>
      </c>
      <c r="AS267" s="135"/>
      <c r="AT267" s="135"/>
      <c r="AU267" s="113">
        <v>9840000</v>
      </c>
      <c r="AV267" s="113">
        <v>25336000</v>
      </c>
      <c r="AW267" s="113">
        <v>398</v>
      </c>
      <c r="AX267" s="113"/>
      <c r="AY267" s="113">
        <v>536</v>
      </c>
      <c r="AZ267" s="113"/>
      <c r="BA267" s="82" t="s">
        <v>639</v>
      </c>
      <c r="BB267" s="32"/>
      <c r="BC267" s="32"/>
      <c r="BD267" s="32"/>
      <c r="BE267" s="32"/>
      <c r="BF267" s="32"/>
      <c r="BG267" s="32"/>
      <c r="BH267" s="32"/>
      <c r="BI267" s="32"/>
      <c r="BJ267" s="32"/>
      <c r="BK267" s="32"/>
      <c r="BL267" s="32">
        <v>1</v>
      </c>
      <c r="BM267" s="32"/>
      <c r="BN267" s="32"/>
      <c r="BO267" s="32"/>
      <c r="BP267" s="32">
        <v>1</v>
      </c>
      <c r="BQ267" s="32"/>
      <c r="BR267" s="32"/>
      <c r="BS267" s="32"/>
      <c r="BT267" s="32">
        <v>1</v>
      </c>
      <c r="BU267" s="32"/>
      <c r="BV267" s="113" t="s">
        <v>820</v>
      </c>
      <c r="BW267" s="77"/>
      <c r="BX267" s="77"/>
      <c r="BY267" s="113">
        <v>1</v>
      </c>
      <c r="BZ267" s="113">
        <v>9</v>
      </c>
      <c r="CA267" s="113"/>
      <c r="CB267" s="113"/>
      <c r="CC267" s="113"/>
    </row>
    <row r="268" spans="1:81" ht="18">
      <c r="A268" s="109">
        <v>266</v>
      </c>
      <c r="B268" s="110" t="s">
        <v>1305</v>
      </c>
      <c r="C268" s="111" t="s">
        <v>877</v>
      </c>
      <c r="D268" s="110" t="s">
        <v>141</v>
      </c>
      <c r="E268" s="111" t="s">
        <v>876</v>
      </c>
      <c r="F268" s="111" t="s">
        <v>220</v>
      </c>
      <c r="G268" s="26" t="s">
        <v>173</v>
      </c>
      <c r="H268" s="112" t="s">
        <v>932</v>
      </c>
      <c r="I268" s="13">
        <v>4559</v>
      </c>
      <c r="J268" s="38">
        <v>4571</v>
      </c>
      <c r="K268" s="130">
        <v>373.7</v>
      </c>
      <c r="L268" s="131">
        <v>82.53</v>
      </c>
      <c r="M268" s="131">
        <v>86.93</v>
      </c>
      <c r="N268" s="131">
        <v>73.040000000000006</v>
      </c>
      <c r="O268" s="39"/>
      <c r="P268" s="42" t="s">
        <v>420</v>
      </c>
      <c r="Q268" s="27" t="s">
        <v>270</v>
      </c>
      <c r="R268" s="75">
        <v>38</v>
      </c>
      <c r="S268" s="75">
        <v>48</v>
      </c>
      <c r="T268" s="75">
        <v>58</v>
      </c>
      <c r="U268" s="75">
        <v>68</v>
      </c>
      <c r="V268" s="75">
        <v>88</v>
      </c>
      <c r="W268" s="109">
        <v>300</v>
      </c>
      <c r="X268" s="94"/>
      <c r="Y268" s="94"/>
      <c r="Z268" s="94"/>
      <c r="AA268" s="94"/>
      <c r="AB268" s="94"/>
      <c r="AC268" s="94"/>
      <c r="AD268" s="94">
        <v>182000</v>
      </c>
      <c r="AE268" s="94">
        <v>269500</v>
      </c>
      <c r="AF268" s="94">
        <v>399000</v>
      </c>
      <c r="AG268" s="94">
        <v>576000</v>
      </c>
      <c r="AH268" s="94">
        <v>736000</v>
      </c>
      <c r="AI268" s="94">
        <v>848000</v>
      </c>
      <c r="AJ268" s="94">
        <v>912000</v>
      </c>
      <c r="AK268" s="32"/>
      <c r="AL268" s="113"/>
      <c r="AM268" s="95">
        <v>78000</v>
      </c>
      <c r="AN268" s="95">
        <v>7</v>
      </c>
      <c r="AO268" s="96">
        <v>156000</v>
      </c>
      <c r="AP268" s="96">
        <v>5</v>
      </c>
      <c r="AQ268" s="97">
        <v>468000</v>
      </c>
      <c r="AR268" s="134">
        <v>4</v>
      </c>
      <c r="AS268" s="135"/>
      <c r="AT268" s="135"/>
      <c r="AU268" s="113"/>
      <c r="AV268" s="113"/>
      <c r="AW268" s="113">
        <v>388</v>
      </c>
      <c r="AX268" s="113"/>
      <c r="AY268" s="113">
        <v>519</v>
      </c>
      <c r="AZ268" s="113"/>
      <c r="BA268" s="82" t="s">
        <v>639</v>
      </c>
      <c r="BB268" s="32"/>
      <c r="BC268" s="32"/>
      <c r="BD268" s="32"/>
      <c r="BE268" s="32"/>
      <c r="BF268" s="32"/>
      <c r="BG268" s="32"/>
      <c r="BH268" s="32"/>
      <c r="BI268" s="32"/>
      <c r="BJ268" s="32"/>
      <c r="BK268" s="32"/>
      <c r="BL268" s="32">
        <v>1</v>
      </c>
      <c r="BM268" s="32"/>
      <c r="BN268" s="32"/>
      <c r="BO268" s="32">
        <v>1</v>
      </c>
      <c r="BP268" s="32">
        <v>1</v>
      </c>
      <c r="BQ268" s="32"/>
      <c r="BR268" s="32"/>
      <c r="BS268" s="32"/>
      <c r="BT268" s="32">
        <v>1</v>
      </c>
      <c r="BU268" s="32"/>
      <c r="BV268" s="113" t="s">
        <v>802</v>
      </c>
      <c r="BW268" s="113"/>
      <c r="BX268" s="113"/>
      <c r="BY268" s="113">
        <v>1</v>
      </c>
      <c r="BZ268" s="113">
        <v>9</v>
      </c>
      <c r="CA268" s="113"/>
      <c r="CB268" s="113"/>
      <c r="CC268" s="113"/>
    </row>
    <row r="269" spans="1:81" ht="18">
      <c r="A269" s="109">
        <v>267</v>
      </c>
      <c r="B269" s="110" t="s">
        <v>1306</v>
      </c>
      <c r="C269" s="111" t="s">
        <v>549</v>
      </c>
      <c r="D269" s="110" t="s">
        <v>777</v>
      </c>
      <c r="E269" s="111" t="s">
        <v>548</v>
      </c>
      <c r="F269" s="111" t="s">
        <v>220</v>
      </c>
      <c r="G269" s="26" t="s">
        <v>173</v>
      </c>
      <c r="H269" s="112" t="s">
        <v>606</v>
      </c>
      <c r="I269" s="13">
        <v>3194</v>
      </c>
      <c r="J269" s="14">
        <v>4571</v>
      </c>
      <c r="K269" s="120">
        <v>372.8</v>
      </c>
      <c r="L269" s="121">
        <v>82.96</v>
      </c>
      <c r="M269" s="121">
        <v>77.72</v>
      </c>
      <c r="N269" s="121">
        <v>76.17</v>
      </c>
      <c r="O269" s="39"/>
      <c r="P269" s="42" t="s">
        <v>420</v>
      </c>
      <c r="Q269" s="16">
        <v>40</v>
      </c>
      <c r="R269" s="16">
        <v>30</v>
      </c>
      <c r="S269" s="16">
        <v>35</v>
      </c>
      <c r="T269" s="16">
        <v>40</v>
      </c>
      <c r="U269" s="16">
        <v>50</v>
      </c>
      <c r="V269" s="16">
        <v>55</v>
      </c>
      <c r="W269" s="109">
        <v>250</v>
      </c>
      <c r="X269" s="96">
        <v>13400</v>
      </c>
      <c r="Y269" s="96">
        <v>21800</v>
      </c>
      <c r="Z269" s="96">
        <v>34900</v>
      </c>
      <c r="AA269" s="94">
        <v>52300</v>
      </c>
      <c r="AB269" s="94">
        <v>75600</v>
      </c>
      <c r="AC269" s="94">
        <v>112000</v>
      </c>
      <c r="AD269" s="94">
        <v>165500</v>
      </c>
      <c r="AE269" s="94">
        <v>245000</v>
      </c>
      <c r="AF269" s="94">
        <v>362500</v>
      </c>
      <c r="AG269" s="94">
        <v>523000</v>
      </c>
      <c r="AH269" s="94">
        <v>669000</v>
      </c>
      <c r="AI269" s="94">
        <v>771000</v>
      </c>
      <c r="AJ269" s="94">
        <v>828000</v>
      </c>
      <c r="AK269" s="32"/>
      <c r="AL269" s="113">
        <v>15496000</v>
      </c>
      <c r="AM269" s="95">
        <v>60000</v>
      </c>
      <c r="AN269" s="95">
        <v>7</v>
      </c>
      <c r="AO269" s="96">
        <v>120000</v>
      </c>
      <c r="AP269" s="96">
        <v>5</v>
      </c>
      <c r="AQ269" s="97">
        <v>360000</v>
      </c>
      <c r="AR269" s="134">
        <v>4</v>
      </c>
      <c r="AS269" s="135"/>
      <c r="AT269" s="135"/>
      <c r="AU269" s="113">
        <v>9840000</v>
      </c>
      <c r="AV269" s="113">
        <v>25336000</v>
      </c>
      <c r="AW269" s="113">
        <v>388</v>
      </c>
      <c r="AX269" s="113"/>
      <c r="AY269" s="113">
        <v>530</v>
      </c>
      <c r="AZ269" s="113"/>
      <c r="BA269" s="113" t="s">
        <v>605</v>
      </c>
      <c r="BB269" s="32"/>
      <c r="BC269" s="32"/>
      <c r="BD269" s="32"/>
      <c r="BE269" s="32"/>
      <c r="BF269" s="32"/>
      <c r="BG269" s="32"/>
      <c r="BH269" s="32">
        <v>1</v>
      </c>
      <c r="BI269" s="32">
        <v>1</v>
      </c>
      <c r="BJ269" s="32">
        <v>1</v>
      </c>
      <c r="BK269" s="32"/>
      <c r="BL269" s="32"/>
      <c r="BM269" s="32"/>
      <c r="BN269" s="32"/>
      <c r="BO269" s="32"/>
      <c r="BP269" s="32">
        <v>1</v>
      </c>
      <c r="BQ269" s="32" t="s">
        <v>828</v>
      </c>
      <c r="BR269" s="32"/>
      <c r="BS269" s="32"/>
      <c r="BT269" s="32">
        <v>1</v>
      </c>
      <c r="BU269" s="32"/>
      <c r="BV269" s="81" t="s">
        <v>759</v>
      </c>
      <c r="BW269" s="77"/>
      <c r="BX269" s="77"/>
      <c r="BY269" s="77"/>
      <c r="BZ269" s="77"/>
      <c r="CA269" s="77"/>
      <c r="CB269" s="113"/>
      <c r="CC269" s="113"/>
    </row>
    <row r="270" spans="1:81" ht="18">
      <c r="A270" s="109">
        <v>268</v>
      </c>
      <c r="B270" s="110" t="s">
        <v>1480</v>
      </c>
      <c r="C270" s="149" t="s">
        <v>1433</v>
      </c>
      <c r="D270" s="110" t="s">
        <v>810</v>
      </c>
      <c r="E270" s="111" t="s">
        <v>1434</v>
      </c>
      <c r="F270" s="111" t="s">
        <v>220</v>
      </c>
      <c r="G270" s="26" t="s">
        <v>173</v>
      </c>
      <c r="H270" s="112" t="s">
        <v>1425</v>
      </c>
      <c r="I270" s="13"/>
      <c r="J270" s="14">
        <v>4577</v>
      </c>
      <c r="K270" s="120">
        <v>397.5</v>
      </c>
      <c r="L270" s="121">
        <v>84.85</v>
      </c>
      <c r="M270" s="121">
        <v>60.77</v>
      </c>
      <c r="N270" s="121">
        <v>56.61</v>
      </c>
      <c r="O270" s="39"/>
      <c r="P270" s="42" t="s">
        <v>420</v>
      </c>
      <c r="Q270" s="37" t="s">
        <v>270</v>
      </c>
      <c r="R270" s="75">
        <v>45</v>
      </c>
      <c r="S270" s="16">
        <v>56</v>
      </c>
      <c r="T270" s="75">
        <v>65</v>
      </c>
      <c r="U270" s="75">
        <v>66</v>
      </c>
      <c r="V270" s="75">
        <v>68</v>
      </c>
      <c r="W270" s="109">
        <v>300</v>
      </c>
      <c r="X270" s="94"/>
      <c r="Y270" s="94"/>
      <c r="Z270" s="94"/>
      <c r="AA270" s="94"/>
      <c r="AB270" s="94"/>
      <c r="AC270" s="94"/>
      <c r="AD270" s="94"/>
      <c r="AE270" s="94"/>
      <c r="AF270" s="94"/>
      <c r="AG270" s="94"/>
      <c r="AH270" s="94"/>
      <c r="AI270" s="94"/>
      <c r="AJ270" s="94"/>
      <c r="AK270" s="32"/>
      <c r="AL270" s="113"/>
      <c r="AM270" s="95"/>
      <c r="AN270" s="95">
        <v>7</v>
      </c>
      <c r="AO270" s="96"/>
      <c r="AP270" s="96">
        <v>5</v>
      </c>
      <c r="AQ270" s="97"/>
      <c r="AR270" s="134">
        <v>4</v>
      </c>
      <c r="AS270" s="135"/>
      <c r="AT270" s="135"/>
      <c r="AU270" s="113"/>
      <c r="AV270" s="113"/>
      <c r="AW270" s="113">
        <v>413</v>
      </c>
      <c r="AX270" s="113"/>
      <c r="AY270" s="113">
        <v>565</v>
      </c>
      <c r="AZ270" s="113"/>
      <c r="BA270" s="82" t="s">
        <v>1099</v>
      </c>
      <c r="BB270" s="32"/>
      <c r="BC270" s="32"/>
      <c r="BD270" s="32"/>
      <c r="BE270" s="32"/>
      <c r="BF270" s="32"/>
      <c r="BG270" s="32"/>
      <c r="BH270" s="32"/>
      <c r="BI270" s="32"/>
      <c r="BJ270" s="32"/>
      <c r="BK270" s="32"/>
      <c r="BL270" s="32"/>
      <c r="BM270" s="32"/>
      <c r="BN270" s="32"/>
      <c r="BO270" s="32"/>
      <c r="BP270" s="32"/>
      <c r="BQ270" s="32"/>
      <c r="BR270" s="32"/>
      <c r="BS270" s="32"/>
      <c r="BT270" s="32"/>
      <c r="BU270" s="32"/>
      <c r="BV270" s="81" t="s">
        <v>812</v>
      </c>
      <c r="BW270" s="77"/>
      <c r="BX270" s="77"/>
      <c r="BY270" s="113"/>
      <c r="BZ270" s="113"/>
      <c r="CA270" s="113"/>
      <c r="CB270" s="113"/>
      <c r="CC270" s="113"/>
    </row>
    <row r="271" spans="1:81" ht="18">
      <c r="A271" s="109">
        <v>269</v>
      </c>
      <c r="B271" s="110" t="s">
        <v>1606</v>
      </c>
      <c r="C271" s="111" t="s">
        <v>1607</v>
      </c>
      <c r="D271" s="110" t="s">
        <v>1559</v>
      </c>
      <c r="E271" s="148" t="s">
        <v>1608</v>
      </c>
      <c r="F271" s="111" t="s">
        <v>220</v>
      </c>
      <c r="G271" s="26" t="s">
        <v>173</v>
      </c>
      <c r="H271" s="112" t="s">
        <v>1561</v>
      </c>
      <c r="I271" s="13"/>
      <c r="J271" s="14">
        <v>4579</v>
      </c>
      <c r="K271" s="126">
        <v>404.5</v>
      </c>
      <c r="L271" s="127">
        <v>75.17</v>
      </c>
      <c r="M271" s="127">
        <v>55.76</v>
      </c>
      <c r="N271" s="127">
        <v>58.53</v>
      </c>
      <c r="O271" s="39"/>
      <c r="P271" s="42" t="s">
        <v>420</v>
      </c>
      <c r="Q271" s="37" t="s">
        <v>270</v>
      </c>
      <c r="R271" s="75">
        <v>45</v>
      </c>
      <c r="S271" s="75">
        <v>56</v>
      </c>
      <c r="T271" s="75">
        <v>65</v>
      </c>
      <c r="U271" s="17">
        <v>66</v>
      </c>
      <c r="V271" s="17">
        <v>68</v>
      </c>
      <c r="W271" s="109">
        <v>300</v>
      </c>
      <c r="X271" s="94"/>
      <c r="Y271" s="94"/>
      <c r="Z271" s="94"/>
      <c r="AA271" s="94"/>
      <c r="AB271" s="94"/>
      <c r="AC271" s="94"/>
      <c r="AD271" s="94"/>
      <c r="AE271" s="94"/>
      <c r="AF271" s="94"/>
      <c r="AG271" s="94"/>
      <c r="AH271" s="94"/>
      <c r="AI271" s="94"/>
      <c r="AJ271" s="94"/>
      <c r="AK271" s="32"/>
      <c r="AL271" s="113"/>
      <c r="AM271" s="95"/>
      <c r="AN271" s="95"/>
      <c r="AO271" s="96"/>
      <c r="AP271" s="96"/>
      <c r="AQ271" s="97"/>
      <c r="AR271" s="134"/>
      <c r="AS271" s="135"/>
      <c r="AT271" s="135"/>
      <c r="AU271" s="113"/>
      <c r="AV271" s="113"/>
      <c r="AW271" s="113"/>
      <c r="AX271" s="113"/>
      <c r="AY271" s="113"/>
      <c r="AZ271" s="113"/>
      <c r="BA271" s="113" t="s">
        <v>639</v>
      </c>
      <c r="BB271" s="32"/>
      <c r="BC271" s="32"/>
      <c r="BD271" s="32"/>
      <c r="BE271" s="32"/>
      <c r="BF271" s="32"/>
      <c r="BG271" s="32"/>
      <c r="BH271" s="32"/>
      <c r="BI271" s="32"/>
      <c r="BJ271" s="32"/>
      <c r="BK271" s="32"/>
      <c r="BL271" s="32"/>
      <c r="BM271" s="32"/>
      <c r="BN271" s="32"/>
      <c r="BO271" s="32"/>
      <c r="BP271" s="32"/>
      <c r="BQ271" s="32"/>
      <c r="BR271" s="32"/>
      <c r="BS271" s="32"/>
      <c r="BT271" s="32"/>
      <c r="BU271" s="32"/>
      <c r="BV271" s="81" t="s">
        <v>1562</v>
      </c>
      <c r="BW271" s="77"/>
      <c r="BX271" s="77"/>
      <c r="BY271" s="113"/>
      <c r="BZ271" s="113"/>
      <c r="CA271" s="113"/>
      <c r="CB271" s="113"/>
      <c r="CC271" s="113"/>
    </row>
    <row r="272" spans="1:81" ht="18">
      <c r="A272" s="109">
        <v>270</v>
      </c>
      <c r="B272" s="110" t="s">
        <v>291</v>
      </c>
      <c r="C272" s="111" t="s">
        <v>416</v>
      </c>
      <c r="D272" s="110" t="s">
        <v>182</v>
      </c>
      <c r="E272" s="111" t="s">
        <v>387</v>
      </c>
      <c r="F272" s="111" t="s">
        <v>220</v>
      </c>
      <c r="G272" s="26" t="s">
        <v>173</v>
      </c>
      <c r="H272" s="112" t="s">
        <v>606</v>
      </c>
      <c r="I272" s="13">
        <v>4593</v>
      </c>
      <c r="J272" s="14">
        <v>4590</v>
      </c>
      <c r="K272" s="120">
        <v>416.7</v>
      </c>
      <c r="L272" s="121">
        <v>81.11</v>
      </c>
      <c r="M272" s="121">
        <v>56.63</v>
      </c>
      <c r="N272" s="121">
        <v>74.19</v>
      </c>
      <c r="O272" s="39"/>
      <c r="P272" s="42" t="s">
        <v>420</v>
      </c>
      <c r="Q272" s="16">
        <v>40</v>
      </c>
      <c r="R272" s="16">
        <v>30</v>
      </c>
      <c r="S272" s="16">
        <v>35</v>
      </c>
      <c r="T272" s="16">
        <v>40</v>
      </c>
      <c r="U272" s="16">
        <v>50</v>
      </c>
      <c r="V272" s="16">
        <v>55</v>
      </c>
      <c r="W272" s="109">
        <v>250</v>
      </c>
      <c r="X272" s="94">
        <v>13400</v>
      </c>
      <c r="Y272" s="94">
        <v>21800</v>
      </c>
      <c r="Z272" s="94">
        <v>34900</v>
      </c>
      <c r="AA272" s="94">
        <v>52300</v>
      </c>
      <c r="AB272" s="94">
        <v>75600</v>
      </c>
      <c r="AC272" s="94">
        <v>112000</v>
      </c>
      <c r="AD272" s="94">
        <v>165500</v>
      </c>
      <c r="AE272" s="94">
        <v>245000</v>
      </c>
      <c r="AF272" s="94">
        <v>362500</v>
      </c>
      <c r="AG272" s="94">
        <v>523000</v>
      </c>
      <c r="AH272" s="94">
        <v>669000</v>
      </c>
      <c r="AI272" s="94">
        <v>771000</v>
      </c>
      <c r="AJ272" s="94">
        <v>828000</v>
      </c>
      <c r="AK272" s="32"/>
      <c r="AL272" s="113">
        <v>15496000</v>
      </c>
      <c r="AM272" s="95">
        <v>60000</v>
      </c>
      <c r="AN272" s="95">
        <v>7</v>
      </c>
      <c r="AO272" s="96">
        <v>120000</v>
      </c>
      <c r="AP272" s="96">
        <v>5</v>
      </c>
      <c r="AQ272" s="97">
        <v>360000</v>
      </c>
      <c r="AR272" s="134">
        <v>4</v>
      </c>
      <c r="AS272" s="135"/>
      <c r="AT272" s="135"/>
      <c r="AU272" s="113">
        <v>9840000</v>
      </c>
      <c r="AV272" s="113">
        <v>25336000</v>
      </c>
      <c r="AW272" s="113">
        <v>438</v>
      </c>
      <c r="AX272" s="113"/>
      <c r="AY272" s="113">
        <v>566</v>
      </c>
      <c r="AZ272" s="113"/>
      <c r="BA272" s="113" t="s">
        <v>639</v>
      </c>
      <c r="BB272" s="32"/>
      <c r="BC272" s="32"/>
      <c r="BD272" s="32"/>
      <c r="BE272" s="32">
        <v>1</v>
      </c>
      <c r="BF272" s="32"/>
      <c r="BG272" s="32"/>
      <c r="BH272" s="32"/>
      <c r="BI272" s="32"/>
      <c r="BJ272" s="32"/>
      <c r="BK272" s="32"/>
      <c r="BL272" s="32">
        <v>1</v>
      </c>
      <c r="BM272" s="32"/>
      <c r="BN272" s="32"/>
      <c r="BO272" s="32"/>
      <c r="BP272" s="32">
        <v>1</v>
      </c>
      <c r="BQ272" s="32" t="s">
        <v>828</v>
      </c>
      <c r="BR272" s="32"/>
      <c r="BS272" s="32"/>
      <c r="BT272" s="32">
        <v>1</v>
      </c>
      <c r="BU272" s="32">
        <v>1</v>
      </c>
      <c r="BV272" s="81" t="s">
        <v>1307</v>
      </c>
      <c r="BW272" s="77"/>
      <c r="BX272" s="77"/>
      <c r="BY272" s="113">
        <v>1</v>
      </c>
      <c r="BZ272" s="113">
        <v>9</v>
      </c>
      <c r="CA272" s="113"/>
      <c r="CB272" s="113"/>
      <c r="CC272" s="113"/>
    </row>
    <row r="273" spans="1:81" ht="18">
      <c r="A273" s="109">
        <v>271</v>
      </c>
      <c r="B273" s="110" t="s">
        <v>1308</v>
      </c>
      <c r="C273" s="111" t="s">
        <v>978</v>
      </c>
      <c r="D273" s="110" t="s">
        <v>1309</v>
      </c>
      <c r="E273" s="111" t="s">
        <v>979</v>
      </c>
      <c r="F273" s="111" t="s">
        <v>220</v>
      </c>
      <c r="G273" s="26" t="s">
        <v>173</v>
      </c>
      <c r="H273" s="112" t="s">
        <v>967</v>
      </c>
      <c r="I273" s="14">
        <v>4602</v>
      </c>
      <c r="J273" s="14">
        <v>4602</v>
      </c>
      <c r="K273" s="120">
        <v>423</v>
      </c>
      <c r="L273" s="121">
        <v>86.06</v>
      </c>
      <c r="M273" s="121">
        <v>42.83</v>
      </c>
      <c r="N273" s="121">
        <v>51.7</v>
      </c>
      <c r="O273" s="39"/>
      <c r="P273" s="42" t="s">
        <v>420</v>
      </c>
      <c r="Q273" s="75">
        <v>60</v>
      </c>
      <c r="R273" s="75">
        <v>35</v>
      </c>
      <c r="S273" s="75">
        <v>40</v>
      </c>
      <c r="T273" s="75">
        <v>50</v>
      </c>
      <c r="U273" s="75">
        <v>55</v>
      </c>
      <c r="V273" s="75">
        <v>60</v>
      </c>
      <c r="W273" s="109">
        <v>300</v>
      </c>
      <c r="X273" s="96">
        <v>20000</v>
      </c>
      <c r="Y273" s="96">
        <v>35000</v>
      </c>
      <c r="Z273" s="96">
        <v>50000</v>
      </c>
      <c r="AA273" s="32">
        <v>80000</v>
      </c>
      <c r="AB273" s="32">
        <v>115000</v>
      </c>
      <c r="AC273" s="32">
        <v>170000</v>
      </c>
      <c r="AD273" s="106">
        <v>260000</v>
      </c>
      <c r="AE273" s="106">
        <v>375000</v>
      </c>
      <c r="AF273" s="106">
        <v>585000</v>
      </c>
      <c r="AG273" s="106">
        <v>800000</v>
      </c>
      <c r="AH273" s="106">
        <v>940000</v>
      </c>
      <c r="AI273" s="106">
        <v>102000</v>
      </c>
      <c r="AJ273" s="106">
        <v>1050000</v>
      </c>
      <c r="AK273" s="32"/>
      <c r="AL273" s="113">
        <v>18328000</v>
      </c>
      <c r="AM273" s="95">
        <v>96000</v>
      </c>
      <c r="AN273" s="95">
        <v>7</v>
      </c>
      <c r="AO273" s="96">
        <v>192000</v>
      </c>
      <c r="AP273" s="96">
        <v>5</v>
      </c>
      <c r="AQ273" s="97">
        <v>576000</v>
      </c>
      <c r="AR273" s="134">
        <v>4</v>
      </c>
      <c r="AS273" s="135"/>
      <c r="AT273" s="135"/>
      <c r="AU273" s="113">
        <v>15744000</v>
      </c>
      <c r="AV273" s="113">
        <v>34072000</v>
      </c>
      <c r="AW273" s="113">
        <v>445</v>
      </c>
      <c r="AX273" s="113"/>
      <c r="AY273" s="113">
        <v>569</v>
      </c>
      <c r="AZ273" s="113"/>
      <c r="BA273" s="113" t="s">
        <v>980</v>
      </c>
      <c r="BB273" s="32"/>
      <c r="BC273" s="32"/>
      <c r="BD273" s="32"/>
      <c r="BE273" s="32">
        <v>1</v>
      </c>
      <c r="BF273" s="32"/>
      <c r="BG273" s="32"/>
      <c r="BH273" s="32"/>
      <c r="BI273" s="32"/>
      <c r="BJ273" s="32"/>
      <c r="BK273" s="32"/>
      <c r="BL273" s="32">
        <v>1</v>
      </c>
      <c r="BM273" s="32"/>
      <c r="BN273" s="32"/>
      <c r="BO273" s="32"/>
      <c r="BP273" s="32"/>
      <c r="BQ273" s="32"/>
      <c r="BR273" s="32"/>
      <c r="BS273" s="32"/>
      <c r="BT273" s="32"/>
      <c r="BU273" s="32">
        <v>1</v>
      </c>
      <c r="BV273" s="81" t="s">
        <v>1310</v>
      </c>
      <c r="BW273" s="113"/>
      <c r="BX273" s="113"/>
      <c r="BY273" s="113">
        <v>1</v>
      </c>
      <c r="BZ273" s="113">
        <v>9</v>
      </c>
      <c r="CA273" s="113"/>
      <c r="CB273" s="113"/>
      <c r="CC273" s="113"/>
    </row>
    <row r="274" spans="1:81" ht="18">
      <c r="A274" s="109">
        <v>272</v>
      </c>
      <c r="B274" s="110" t="s">
        <v>1311</v>
      </c>
      <c r="C274" s="111" t="s">
        <v>540</v>
      </c>
      <c r="D274" s="110" t="s">
        <v>538</v>
      </c>
      <c r="E274" s="111" t="s">
        <v>539</v>
      </c>
      <c r="F274" s="111" t="s">
        <v>220</v>
      </c>
      <c r="G274" s="26" t="s">
        <v>173</v>
      </c>
      <c r="H274" s="112" t="s">
        <v>670</v>
      </c>
      <c r="I274" s="13">
        <v>4773</v>
      </c>
      <c r="J274" s="14">
        <v>4607</v>
      </c>
      <c r="K274" s="120">
        <v>389.5</v>
      </c>
      <c r="L274" s="121">
        <v>85.66</v>
      </c>
      <c r="M274" s="121">
        <v>61.5</v>
      </c>
      <c r="N274" s="121">
        <v>74.02</v>
      </c>
      <c r="O274" s="39"/>
      <c r="P274" s="42" t="s">
        <v>420</v>
      </c>
      <c r="Q274" s="75">
        <v>40</v>
      </c>
      <c r="R274" s="75">
        <v>45</v>
      </c>
      <c r="S274" s="75">
        <v>55</v>
      </c>
      <c r="T274" s="75">
        <v>48</v>
      </c>
      <c r="U274" s="75">
        <v>56</v>
      </c>
      <c r="V274" s="75">
        <v>56</v>
      </c>
      <c r="W274" s="109">
        <v>300</v>
      </c>
      <c r="X274" s="16">
        <v>17250</v>
      </c>
      <c r="Y274" s="16">
        <v>28100</v>
      </c>
      <c r="Z274" s="16">
        <v>45000</v>
      </c>
      <c r="AA274" s="16">
        <v>67500</v>
      </c>
      <c r="AB274" s="16">
        <v>97600</v>
      </c>
      <c r="AC274" s="16">
        <v>144500</v>
      </c>
      <c r="AD274" s="16">
        <v>213500</v>
      </c>
      <c r="AE274" s="16">
        <v>316500</v>
      </c>
      <c r="AF274" s="17">
        <v>468000</v>
      </c>
      <c r="AG274" s="17">
        <v>675000</v>
      </c>
      <c r="AH274" s="17">
        <v>863000</v>
      </c>
      <c r="AI274" s="17">
        <v>994000</v>
      </c>
      <c r="AJ274" s="17">
        <v>1070000</v>
      </c>
      <c r="AK274" s="17"/>
      <c r="AL274" s="113">
        <v>19999800</v>
      </c>
      <c r="AM274" s="95">
        <v>80000</v>
      </c>
      <c r="AN274" s="95">
        <v>7</v>
      </c>
      <c r="AO274" s="96">
        <v>160000</v>
      </c>
      <c r="AP274" s="96">
        <v>5</v>
      </c>
      <c r="AQ274" s="97">
        <v>480000</v>
      </c>
      <c r="AR274" s="134">
        <v>4</v>
      </c>
      <c r="AS274" s="135"/>
      <c r="AT274" s="135"/>
      <c r="AU274" s="113">
        <v>13120000</v>
      </c>
      <c r="AV274" s="113">
        <v>33119800</v>
      </c>
      <c r="AW274" s="113">
        <v>405</v>
      </c>
      <c r="AX274" s="113"/>
      <c r="AY274" s="113">
        <v>546</v>
      </c>
      <c r="AZ274" s="113"/>
      <c r="BA274" s="113" t="s">
        <v>639</v>
      </c>
      <c r="BB274" s="32"/>
      <c r="BC274" s="32"/>
      <c r="BD274" s="32"/>
      <c r="BE274" s="32"/>
      <c r="BF274" s="32"/>
      <c r="BG274" s="32"/>
      <c r="BH274" s="32"/>
      <c r="BI274" s="32"/>
      <c r="BJ274" s="32"/>
      <c r="BK274" s="32"/>
      <c r="BL274" s="32">
        <v>1</v>
      </c>
      <c r="BM274" s="32"/>
      <c r="BN274" s="32"/>
      <c r="BO274" s="32"/>
      <c r="BP274" s="32">
        <v>1</v>
      </c>
      <c r="BQ274" s="32" t="s">
        <v>828</v>
      </c>
      <c r="BR274" s="32"/>
      <c r="BS274" s="32"/>
      <c r="BT274" s="32">
        <v>1</v>
      </c>
      <c r="BU274" s="32"/>
      <c r="BV274" s="81" t="s">
        <v>1312</v>
      </c>
      <c r="BW274" s="113"/>
      <c r="BX274" s="113"/>
      <c r="BY274" s="113"/>
      <c r="BZ274" s="113"/>
      <c r="CA274" s="113"/>
      <c r="CB274" s="113"/>
      <c r="CC274" s="113"/>
    </row>
    <row r="275" spans="1:81" ht="18">
      <c r="A275" s="109">
        <v>273</v>
      </c>
      <c r="B275" s="110" t="s">
        <v>261</v>
      </c>
      <c r="C275" s="111" t="s">
        <v>602</v>
      </c>
      <c r="D275" s="110" t="s">
        <v>262</v>
      </c>
      <c r="E275" s="111" t="s">
        <v>263</v>
      </c>
      <c r="F275" s="111" t="s">
        <v>220</v>
      </c>
      <c r="G275" s="26" t="s">
        <v>173</v>
      </c>
      <c r="H275" s="112" t="s">
        <v>305</v>
      </c>
      <c r="I275" s="13">
        <v>4616</v>
      </c>
      <c r="J275" s="14">
        <v>4616</v>
      </c>
      <c r="K275" s="120">
        <v>457.1</v>
      </c>
      <c r="L275" s="121">
        <v>80.88</v>
      </c>
      <c r="M275" s="121">
        <v>48.75</v>
      </c>
      <c r="N275" s="121">
        <v>52.48</v>
      </c>
      <c r="O275" s="32">
        <v>4.6159999999999997</v>
      </c>
      <c r="P275" s="42" t="s">
        <v>420</v>
      </c>
      <c r="Q275" s="16">
        <v>60</v>
      </c>
      <c r="R275" s="16">
        <v>15</v>
      </c>
      <c r="S275" s="16">
        <v>18</v>
      </c>
      <c r="T275" s="16">
        <v>25</v>
      </c>
      <c r="U275" s="16">
        <v>38</v>
      </c>
      <c r="V275" s="16">
        <v>48</v>
      </c>
      <c r="W275" s="109">
        <v>204</v>
      </c>
      <c r="X275" s="16">
        <v>17250</v>
      </c>
      <c r="Y275" s="16">
        <v>28100</v>
      </c>
      <c r="Z275" s="16">
        <v>45000</v>
      </c>
      <c r="AA275" s="16">
        <v>67500</v>
      </c>
      <c r="AB275" s="16">
        <v>97600</v>
      </c>
      <c r="AC275" s="16">
        <v>144500</v>
      </c>
      <c r="AD275" s="16">
        <v>213500</v>
      </c>
      <c r="AE275" s="16">
        <v>316500</v>
      </c>
      <c r="AF275" s="17">
        <v>468000</v>
      </c>
      <c r="AG275" s="17">
        <v>675000</v>
      </c>
      <c r="AH275" s="17">
        <v>863000</v>
      </c>
      <c r="AI275" s="17">
        <v>994000</v>
      </c>
      <c r="AJ275" s="17">
        <v>1070000</v>
      </c>
      <c r="AK275" s="17"/>
      <c r="AL275" s="113">
        <v>19999800</v>
      </c>
      <c r="AM275" s="95">
        <v>80000</v>
      </c>
      <c r="AN275" s="95">
        <v>7</v>
      </c>
      <c r="AO275" s="96">
        <v>160000</v>
      </c>
      <c r="AP275" s="96">
        <v>5</v>
      </c>
      <c r="AQ275" s="97">
        <v>480000</v>
      </c>
      <c r="AR275" s="134">
        <v>4</v>
      </c>
      <c r="AS275" s="135"/>
      <c r="AT275" s="135"/>
      <c r="AU275" s="113">
        <v>13120000</v>
      </c>
      <c r="AV275" s="113">
        <v>33119800</v>
      </c>
      <c r="AW275" s="113">
        <v>481</v>
      </c>
      <c r="AX275" s="113"/>
      <c r="AY275" s="113">
        <v>585</v>
      </c>
      <c r="AZ275" s="113">
        <v>19</v>
      </c>
      <c r="BA275" s="113" t="s">
        <v>639</v>
      </c>
      <c r="BB275" s="32"/>
      <c r="BC275" s="32"/>
      <c r="BD275" s="32"/>
      <c r="BE275" s="32">
        <v>1</v>
      </c>
      <c r="BF275" s="32"/>
      <c r="BG275" s="32"/>
      <c r="BH275" s="32"/>
      <c r="BI275" s="32"/>
      <c r="BJ275" s="32"/>
      <c r="BK275" s="32"/>
      <c r="BL275" s="32">
        <v>1</v>
      </c>
      <c r="BM275" s="32"/>
      <c r="BN275" s="32"/>
      <c r="BO275" s="32"/>
      <c r="BP275" s="32">
        <v>1</v>
      </c>
      <c r="BQ275" s="32" t="s">
        <v>799</v>
      </c>
      <c r="BR275" s="32"/>
      <c r="BS275" s="32"/>
      <c r="BT275" s="32"/>
      <c r="BU275" s="32">
        <v>1</v>
      </c>
      <c r="BV275" s="81" t="s">
        <v>1313</v>
      </c>
      <c r="BW275" s="113"/>
      <c r="BX275" s="113"/>
      <c r="BY275" s="113">
        <v>1</v>
      </c>
      <c r="BZ275" s="113">
        <v>9</v>
      </c>
      <c r="CA275" s="113"/>
      <c r="CB275" s="113"/>
      <c r="CC275" s="113"/>
    </row>
    <row r="276" spans="1:81" ht="18">
      <c r="A276" s="109">
        <v>274</v>
      </c>
      <c r="B276" s="110" t="s">
        <v>1609</v>
      </c>
      <c r="C276" s="111" t="s">
        <v>1610</v>
      </c>
      <c r="D276" s="110" t="s">
        <v>99</v>
      </c>
      <c r="E276" s="111" t="s">
        <v>1611</v>
      </c>
      <c r="F276" s="111" t="s">
        <v>220</v>
      </c>
      <c r="G276" s="26" t="s">
        <v>173</v>
      </c>
      <c r="H276" s="112" t="s">
        <v>1561</v>
      </c>
      <c r="I276" s="13"/>
      <c r="J276" s="14">
        <v>4621</v>
      </c>
      <c r="K276" s="126">
        <v>360.6</v>
      </c>
      <c r="L276" s="127">
        <v>87.44</v>
      </c>
      <c r="M276" s="127">
        <v>91.48</v>
      </c>
      <c r="N276" s="127">
        <v>71.56</v>
      </c>
      <c r="O276" s="39"/>
      <c r="P276" s="42" t="s">
        <v>420</v>
      </c>
      <c r="Q276" s="37" t="s">
        <v>270</v>
      </c>
      <c r="R276" s="75">
        <v>38</v>
      </c>
      <c r="S276" s="75">
        <v>48</v>
      </c>
      <c r="T276" s="75">
        <v>58</v>
      </c>
      <c r="U276" s="75">
        <v>68</v>
      </c>
      <c r="V276" s="75">
        <v>88</v>
      </c>
      <c r="W276" s="109">
        <v>300</v>
      </c>
      <c r="X276" s="100"/>
      <c r="Y276" s="100"/>
      <c r="Z276" s="100"/>
      <c r="AA276" s="32"/>
      <c r="AB276" s="32"/>
      <c r="AC276" s="32"/>
      <c r="AD276" s="32"/>
      <c r="AE276" s="32"/>
      <c r="AF276" s="32"/>
      <c r="AG276" s="32"/>
      <c r="AH276" s="32"/>
      <c r="AI276" s="32"/>
      <c r="AJ276" s="32"/>
      <c r="AK276" s="32"/>
      <c r="AL276" s="113"/>
      <c r="AM276" s="95"/>
      <c r="AN276" s="95"/>
      <c r="AO276" s="96"/>
      <c r="AP276" s="96"/>
      <c r="AQ276" s="97"/>
      <c r="AR276" s="134"/>
      <c r="AS276" s="135"/>
      <c r="AT276" s="135"/>
      <c r="AU276" s="113"/>
      <c r="AV276" s="113"/>
      <c r="AW276" s="113"/>
      <c r="AX276" s="113"/>
      <c r="AY276" s="113"/>
      <c r="AZ276" s="113"/>
      <c r="BA276" s="82" t="s">
        <v>1000</v>
      </c>
      <c r="BB276" s="32"/>
      <c r="BC276" s="32"/>
      <c r="BD276" s="32"/>
      <c r="BE276" s="32"/>
      <c r="BF276" s="32"/>
      <c r="BG276" s="32"/>
      <c r="BH276" s="32"/>
      <c r="BI276" s="32"/>
      <c r="BJ276" s="32"/>
      <c r="BK276" s="32"/>
      <c r="BL276" s="32"/>
      <c r="BM276" s="32"/>
      <c r="BN276" s="32"/>
      <c r="BO276" s="32"/>
      <c r="BP276" s="32"/>
      <c r="BQ276" s="32"/>
      <c r="BR276" s="32"/>
      <c r="BS276" s="32"/>
      <c r="BT276" s="32"/>
      <c r="BU276" s="32"/>
      <c r="BV276" s="81" t="s">
        <v>747</v>
      </c>
      <c r="BW276" s="113"/>
      <c r="BX276" s="113"/>
      <c r="BY276" s="113"/>
      <c r="BZ276" s="113"/>
      <c r="CA276" s="113"/>
      <c r="CB276" s="113"/>
      <c r="CC276" s="113"/>
    </row>
    <row r="277" spans="1:81" ht="18">
      <c r="A277" s="109">
        <v>275</v>
      </c>
      <c r="B277" s="110" t="s">
        <v>1314</v>
      </c>
      <c r="C277" s="111" t="s">
        <v>1039</v>
      </c>
      <c r="D277" s="110" t="s">
        <v>806</v>
      </c>
      <c r="E277" s="111" t="s">
        <v>1040</v>
      </c>
      <c r="F277" s="111" t="s">
        <v>220</v>
      </c>
      <c r="G277" s="26" t="s">
        <v>173</v>
      </c>
      <c r="H277" s="112" t="s">
        <v>1031</v>
      </c>
      <c r="I277" s="13"/>
      <c r="J277" s="14">
        <v>4629</v>
      </c>
      <c r="K277" s="130">
        <v>429.9</v>
      </c>
      <c r="L277" s="131">
        <v>69.5</v>
      </c>
      <c r="M277" s="131">
        <v>68.97</v>
      </c>
      <c r="N277" s="131">
        <v>77.31</v>
      </c>
      <c r="O277" s="39"/>
      <c r="P277" s="42" t="s">
        <v>420</v>
      </c>
      <c r="Q277" s="75">
        <v>40</v>
      </c>
      <c r="R277" s="75">
        <v>45</v>
      </c>
      <c r="S277" s="75">
        <v>55</v>
      </c>
      <c r="T277" s="75">
        <v>48</v>
      </c>
      <c r="U277" s="75">
        <v>56</v>
      </c>
      <c r="V277" s="75">
        <v>56</v>
      </c>
      <c r="W277" s="109">
        <v>300</v>
      </c>
      <c r="X277" s="100">
        <v>20000</v>
      </c>
      <c r="Y277" s="100">
        <v>35000</v>
      </c>
      <c r="Z277" s="100">
        <v>50000</v>
      </c>
      <c r="AA277" s="32">
        <v>80000</v>
      </c>
      <c r="AB277" s="32">
        <v>115000</v>
      </c>
      <c r="AC277" s="32">
        <v>170000</v>
      </c>
      <c r="AD277" s="32">
        <v>260000</v>
      </c>
      <c r="AE277" s="32">
        <v>375000</v>
      </c>
      <c r="AF277" s="32">
        <v>585000</v>
      </c>
      <c r="AG277" s="32">
        <v>800000</v>
      </c>
      <c r="AH277" s="32">
        <v>940000</v>
      </c>
      <c r="AI277" s="32">
        <v>102000</v>
      </c>
      <c r="AJ277" s="32">
        <v>1050000</v>
      </c>
      <c r="AK277" s="32"/>
      <c r="AL277" s="113">
        <v>18328000</v>
      </c>
      <c r="AM277" s="95">
        <v>80000</v>
      </c>
      <c r="AN277" s="95">
        <v>7</v>
      </c>
      <c r="AO277" s="96">
        <v>160000</v>
      </c>
      <c r="AP277" s="96">
        <v>5</v>
      </c>
      <c r="AQ277" s="97">
        <v>480000</v>
      </c>
      <c r="AR277" s="134">
        <v>4</v>
      </c>
      <c r="AS277" s="135"/>
      <c r="AT277" s="135"/>
      <c r="AU277" s="113">
        <v>13120000</v>
      </c>
      <c r="AV277" s="113">
        <v>31448000</v>
      </c>
      <c r="AW277" s="113">
        <v>452</v>
      </c>
      <c r="AX277" s="113"/>
      <c r="AY277" s="113">
        <v>572</v>
      </c>
      <c r="AZ277" s="113"/>
      <c r="BA277" s="113" t="s">
        <v>639</v>
      </c>
      <c r="BB277" s="32"/>
      <c r="BC277" s="32"/>
      <c r="BD277" s="32"/>
      <c r="BE277" s="32"/>
      <c r="BF277" s="32"/>
      <c r="BG277" s="32"/>
      <c r="BH277" s="32"/>
      <c r="BI277" s="32"/>
      <c r="BJ277" s="32"/>
      <c r="BK277" s="32"/>
      <c r="BL277" s="32">
        <v>1</v>
      </c>
      <c r="BM277" s="32"/>
      <c r="BN277" s="32"/>
      <c r="BO277" s="32"/>
      <c r="BP277" s="32"/>
      <c r="BQ277" s="32"/>
      <c r="BR277" s="32"/>
      <c r="BS277" s="32"/>
      <c r="BT277" s="32"/>
      <c r="BU277" s="32"/>
      <c r="BV277" s="81" t="s">
        <v>809</v>
      </c>
      <c r="BW277" s="113"/>
      <c r="BX277" s="113"/>
      <c r="BY277" s="113"/>
      <c r="BZ277" s="113"/>
      <c r="CA277" s="113"/>
      <c r="CB277" s="113"/>
      <c r="CC277" s="113"/>
    </row>
    <row r="278" spans="1:81" ht="18">
      <c r="A278" s="109">
        <v>276</v>
      </c>
      <c r="B278" s="110" t="s">
        <v>1415</v>
      </c>
      <c r="C278" s="111" t="s">
        <v>957</v>
      </c>
      <c r="D278" s="110" t="s">
        <v>1270</v>
      </c>
      <c r="E278" s="111" t="s">
        <v>956</v>
      </c>
      <c r="F278" s="111" t="s">
        <v>220</v>
      </c>
      <c r="G278" s="26" t="s">
        <v>173</v>
      </c>
      <c r="H278" s="112" t="s">
        <v>943</v>
      </c>
      <c r="I278" s="13">
        <v>4636</v>
      </c>
      <c r="J278" s="14">
        <v>4636</v>
      </c>
      <c r="K278" s="130">
        <v>407.5</v>
      </c>
      <c r="L278" s="131">
        <v>80.48</v>
      </c>
      <c r="M278" s="131">
        <v>53.75</v>
      </c>
      <c r="N278" s="131">
        <v>65.900000000000006</v>
      </c>
      <c r="O278" s="39"/>
      <c r="P278" s="42" t="s">
        <v>420</v>
      </c>
      <c r="Q278" s="75">
        <v>40</v>
      </c>
      <c r="R278" s="75">
        <v>45</v>
      </c>
      <c r="S278" s="75">
        <v>55</v>
      </c>
      <c r="T278" s="75">
        <v>48</v>
      </c>
      <c r="U278" s="75">
        <v>56</v>
      </c>
      <c r="V278" s="75">
        <v>56</v>
      </c>
      <c r="W278" s="109">
        <v>300</v>
      </c>
      <c r="X278" s="94">
        <v>60000</v>
      </c>
      <c r="Y278" s="94">
        <v>75000</v>
      </c>
      <c r="Z278" s="94">
        <v>105000</v>
      </c>
      <c r="AA278" s="94">
        <v>150000</v>
      </c>
      <c r="AB278" s="94">
        <v>210000</v>
      </c>
      <c r="AC278" s="94">
        <v>285000</v>
      </c>
      <c r="AD278" s="94">
        <v>390000</v>
      </c>
      <c r="AE278" s="94">
        <v>510000</v>
      </c>
      <c r="AF278" s="94">
        <v>660000</v>
      </c>
      <c r="AG278" s="94">
        <v>795000</v>
      </c>
      <c r="AH278" s="94">
        <v>870000</v>
      </c>
      <c r="AI278" s="94">
        <v>930000</v>
      </c>
      <c r="AJ278" s="94">
        <v>960000</v>
      </c>
      <c r="AK278" s="32"/>
      <c r="AL278" s="113">
        <v>24000000</v>
      </c>
      <c r="AM278" s="95">
        <v>96000</v>
      </c>
      <c r="AN278" s="95">
        <v>7</v>
      </c>
      <c r="AO278" s="96">
        <v>192000</v>
      </c>
      <c r="AP278" s="96">
        <v>5</v>
      </c>
      <c r="AQ278" s="97">
        <v>576000</v>
      </c>
      <c r="AR278" s="134">
        <v>4</v>
      </c>
      <c r="AS278" s="135"/>
      <c r="AT278" s="135"/>
      <c r="AU278" s="32">
        <v>15744000</v>
      </c>
      <c r="AV278" s="32">
        <v>39744000</v>
      </c>
      <c r="AW278" s="113">
        <v>425</v>
      </c>
      <c r="AX278" s="113"/>
      <c r="AY278" s="113">
        <v>560</v>
      </c>
      <c r="AZ278" s="113"/>
      <c r="BA278" s="113" t="s">
        <v>641</v>
      </c>
      <c r="BB278" s="32"/>
      <c r="BC278" s="32"/>
      <c r="BD278" s="32"/>
      <c r="BE278" s="32"/>
      <c r="BF278" s="32"/>
      <c r="BG278" s="32"/>
      <c r="BH278" s="32"/>
      <c r="BI278" s="32"/>
      <c r="BJ278" s="32"/>
      <c r="BK278" s="32"/>
      <c r="BL278" s="32"/>
      <c r="BM278" s="32"/>
      <c r="BN278" s="32">
        <v>1</v>
      </c>
      <c r="BO278" s="32"/>
      <c r="BP278" s="32"/>
      <c r="BQ278" s="32"/>
      <c r="BR278" s="32"/>
      <c r="BS278" s="32"/>
      <c r="BT278" s="32"/>
      <c r="BU278" s="32"/>
      <c r="BV278" s="81" t="s">
        <v>958</v>
      </c>
      <c r="BW278" s="113"/>
      <c r="BX278" s="113"/>
      <c r="BY278" s="113"/>
      <c r="BZ278" s="113"/>
      <c r="CA278" s="113"/>
      <c r="CB278" s="113"/>
      <c r="CC278" s="113"/>
    </row>
    <row r="279" spans="1:81" ht="18">
      <c r="A279" s="109">
        <v>277</v>
      </c>
      <c r="B279" s="110" t="s">
        <v>1315</v>
      </c>
      <c r="C279" s="111" t="s">
        <v>1316</v>
      </c>
      <c r="D279" s="110" t="s">
        <v>852</v>
      </c>
      <c r="E279" s="111" t="s">
        <v>853</v>
      </c>
      <c r="F279" s="111" t="s">
        <v>220</v>
      </c>
      <c r="G279" s="26" t="s">
        <v>173</v>
      </c>
      <c r="H279" s="112" t="s">
        <v>900</v>
      </c>
      <c r="I279" s="13">
        <v>4644</v>
      </c>
      <c r="J279" s="14">
        <v>4650</v>
      </c>
      <c r="K279" s="130">
        <v>418.2</v>
      </c>
      <c r="L279" s="131">
        <v>81.41</v>
      </c>
      <c r="M279" s="131">
        <v>63.54</v>
      </c>
      <c r="N279" s="131">
        <v>63.28</v>
      </c>
      <c r="O279" s="39"/>
      <c r="P279" s="42" t="s">
        <v>420</v>
      </c>
      <c r="Q279" s="27" t="s">
        <v>270</v>
      </c>
      <c r="R279" s="75">
        <v>38</v>
      </c>
      <c r="S279" s="75">
        <v>48</v>
      </c>
      <c r="T279" s="75">
        <v>58</v>
      </c>
      <c r="U279" s="75">
        <v>68</v>
      </c>
      <c r="V279" s="75">
        <v>88</v>
      </c>
      <c r="W279" s="109">
        <v>300</v>
      </c>
      <c r="X279" s="94">
        <v>60000</v>
      </c>
      <c r="Y279" s="94">
        <v>75000</v>
      </c>
      <c r="Z279" s="94">
        <v>105000</v>
      </c>
      <c r="AA279" s="94">
        <v>150000</v>
      </c>
      <c r="AB279" s="94">
        <v>210000</v>
      </c>
      <c r="AC279" s="94">
        <v>285000</v>
      </c>
      <c r="AD279" s="94">
        <v>390000</v>
      </c>
      <c r="AE279" s="94">
        <v>510000</v>
      </c>
      <c r="AF279" s="94">
        <v>660000</v>
      </c>
      <c r="AG279" s="94">
        <v>795000</v>
      </c>
      <c r="AH279" s="94">
        <v>870000</v>
      </c>
      <c r="AI279" s="94">
        <v>930000</v>
      </c>
      <c r="AJ279" s="94">
        <v>960000</v>
      </c>
      <c r="AK279" s="32"/>
      <c r="AL279" s="113">
        <v>24000000</v>
      </c>
      <c r="AM279" s="95">
        <v>80000</v>
      </c>
      <c r="AN279" s="95">
        <v>7</v>
      </c>
      <c r="AO279" s="96">
        <v>160000</v>
      </c>
      <c r="AP279" s="96">
        <v>5</v>
      </c>
      <c r="AQ279" s="97">
        <v>480000</v>
      </c>
      <c r="AR279" s="134">
        <v>4</v>
      </c>
      <c r="AS279" s="135"/>
      <c r="AT279" s="135"/>
      <c r="AU279" s="113">
        <v>13120000</v>
      </c>
      <c r="AV279" s="113">
        <v>37120000</v>
      </c>
      <c r="AW279" s="113">
        <v>440</v>
      </c>
      <c r="AX279" s="113"/>
      <c r="AY279" s="113">
        <v>567</v>
      </c>
      <c r="AZ279" s="113"/>
      <c r="BA279" s="113" t="s">
        <v>639</v>
      </c>
      <c r="BB279" s="32"/>
      <c r="BC279" s="32"/>
      <c r="BD279" s="32"/>
      <c r="BE279" s="32"/>
      <c r="BF279" s="32"/>
      <c r="BG279" s="32"/>
      <c r="BH279" s="32"/>
      <c r="BI279" s="32"/>
      <c r="BJ279" s="32"/>
      <c r="BK279" s="32"/>
      <c r="BL279" s="32">
        <v>1</v>
      </c>
      <c r="BM279" s="32"/>
      <c r="BN279" s="32"/>
      <c r="BO279" s="32">
        <v>1</v>
      </c>
      <c r="BP279" s="32">
        <v>1</v>
      </c>
      <c r="BQ279" s="32" t="s">
        <v>800</v>
      </c>
      <c r="BR279" s="32"/>
      <c r="BS279" s="32"/>
      <c r="BT279" s="32">
        <v>1</v>
      </c>
      <c r="BU279" s="32"/>
      <c r="BV279" s="81" t="s">
        <v>905</v>
      </c>
      <c r="BW279" s="113"/>
      <c r="BX279" s="113"/>
      <c r="BY279" s="113">
        <v>1</v>
      </c>
      <c r="BZ279" s="113">
        <v>9</v>
      </c>
      <c r="CA279" s="113"/>
      <c r="CB279" s="113"/>
      <c r="CC279" s="113"/>
    </row>
    <row r="280" spans="1:81" ht="18">
      <c r="A280" s="109">
        <v>278</v>
      </c>
      <c r="B280" s="33" t="s">
        <v>1612</v>
      </c>
      <c r="C280" s="34" t="s">
        <v>1613</v>
      </c>
      <c r="D280" s="33" t="s">
        <v>1270</v>
      </c>
      <c r="E280" s="111" t="s">
        <v>1614</v>
      </c>
      <c r="F280" s="34" t="s">
        <v>220</v>
      </c>
      <c r="G280" s="26" t="s">
        <v>173</v>
      </c>
      <c r="H280" s="35" t="s">
        <v>1567</v>
      </c>
      <c r="I280" s="13"/>
      <c r="J280" s="14">
        <v>4653</v>
      </c>
      <c r="K280" s="130">
        <v>410.2</v>
      </c>
      <c r="L280" s="131">
        <v>83</v>
      </c>
      <c r="M280" s="131">
        <v>61.33</v>
      </c>
      <c r="N280" s="131">
        <v>60.21</v>
      </c>
      <c r="O280" s="75"/>
      <c r="P280" s="42" t="s">
        <v>420</v>
      </c>
      <c r="Q280" s="37" t="s">
        <v>270</v>
      </c>
      <c r="R280" s="75">
        <v>45</v>
      </c>
      <c r="S280" s="75">
        <v>56</v>
      </c>
      <c r="T280" s="75">
        <v>65</v>
      </c>
      <c r="U280" s="75">
        <v>66</v>
      </c>
      <c r="V280" s="75">
        <v>68</v>
      </c>
      <c r="W280" s="28">
        <v>300</v>
      </c>
      <c r="X280" s="32">
        <v>22000</v>
      </c>
      <c r="Y280" s="32">
        <v>36000</v>
      </c>
      <c r="Z280" s="32">
        <v>56000</v>
      </c>
      <c r="AA280" s="32"/>
      <c r="AB280" s="32"/>
      <c r="AC280" s="32"/>
      <c r="AD280" s="100"/>
      <c r="AE280" s="100"/>
      <c r="AF280" s="32"/>
      <c r="AG280" s="32"/>
      <c r="AH280" s="32"/>
      <c r="AI280" s="32"/>
      <c r="AJ280" s="32"/>
      <c r="AK280" s="32"/>
      <c r="AL280" s="113"/>
      <c r="AM280" s="95">
        <v>88000</v>
      </c>
      <c r="AN280" s="95">
        <v>7</v>
      </c>
      <c r="AO280" s="96">
        <v>176000</v>
      </c>
      <c r="AP280" s="96">
        <v>5</v>
      </c>
      <c r="AQ280" s="97">
        <v>528000</v>
      </c>
      <c r="AR280" s="134">
        <v>4</v>
      </c>
      <c r="AS280" s="135"/>
      <c r="AT280" s="135"/>
      <c r="AU280" s="32"/>
      <c r="AV280" s="32"/>
      <c r="AW280" s="32"/>
      <c r="AX280" s="32"/>
      <c r="AY280" s="32"/>
      <c r="AZ280" s="32"/>
      <c r="BA280" s="113" t="s">
        <v>1099</v>
      </c>
      <c r="BB280" s="32"/>
      <c r="BC280" s="32"/>
      <c r="BD280" s="32"/>
      <c r="BE280" s="32"/>
      <c r="BF280" s="32"/>
      <c r="BG280" s="32"/>
      <c r="BH280" s="32"/>
      <c r="BI280" s="32"/>
      <c r="BJ280" s="32"/>
      <c r="BK280" s="32"/>
      <c r="BL280" s="32"/>
      <c r="BM280" s="32"/>
      <c r="BN280" s="32"/>
      <c r="BO280" s="32"/>
      <c r="BP280" s="32"/>
      <c r="BQ280" s="32"/>
      <c r="BR280" s="32"/>
      <c r="BS280" s="32"/>
      <c r="BT280" s="32"/>
      <c r="BU280" s="32"/>
      <c r="BV280" s="81" t="s">
        <v>1615</v>
      </c>
      <c r="BW280" s="32"/>
      <c r="BX280" s="32"/>
      <c r="BY280" s="113"/>
      <c r="BZ280" s="113"/>
      <c r="CA280" s="113"/>
      <c r="CB280" s="32"/>
      <c r="CC280" s="32"/>
    </row>
    <row r="281" spans="1:81" ht="18">
      <c r="A281" s="109">
        <v>279</v>
      </c>
      <c r="B281" s="33" t="s">
        <v>1616</v>
      </c>
      <c r="C281" s="34" t="s">
        <v>1617</v>
      </c>
      <c r="D281" s="33" t="s">
        <v>115</v>
      </c>
      <c r="E281" s="111" t="s">
        <v>1618</v>
      </c>
      <c r="F281" s="34" t="s">
        <v>220</v>
      </c>
      <c r="G281" s="26" t="s">
        <v>173</v>
      </c>
      <c r="H281" s="35" t="s">
        <v>1555</v>
      </c>
      <c r="I281" s="13"/>
      <c r="J281" s="14">
        <v>4693</v>
      </c>
      <c r="K281" s="130">
        <v>415</v>
      </c>
      <c r="L281" s="131">
        <v>78.77</v>
      </c>
      <c r="M281" s="131">
        <v>54.9</v>
      </c>
      <c r="N281" s="131">
        <v>74.41</v>
      </c>
      <c r="O281" s="75"/>
      <c r="P281" s="42" t="s">
        <v>420</v>
      </c>
      <c r="Q281" s="75">
        <v>35</v>
      </c>
      <c r="R281" s="75">
        <v>40</v>
      </c>
      <c r="S281" s="75">
        <v>45</v>
      </c>
      <c r="T281" s="75">
        <v>50</v>
      </c>
      <c r="U281" s="75">
        <v>60</v>
      </c>
      <c r="V281" s="75">
        <v>70</v>
      </c>
      <c r="W281" s="28">
        <v>300</v>
      </c>
      <c r="X281" s="32"/>
      <c r="Y281" s="32"/>
      <c r="Z281" s="32"/>
      <c r="AA281" s="32"/>
      <c r="AB281" s="32"/>
      <c r="AC281" s="32"/>
      <c r="AD281" s="100"/>
      <c r="AE281" s="100"/>
      <c r="AF281" s="32"/>
      <c r="AG281" s="32"/>
      <c r="AH281" s="32"/>
      <c r="AI281" s="32"/>
      <c r="AJ281" s="32"/>
      <c r="AK281" s="32"/>
      <c r="AL281" s="113"/>
      <c r="AM281" s="95"/>
      <c r="AN281" s="95"/>
      <c r="AO281" s="96"/>
      <c r="AP281" s="96"/>
      <c r="AQ281" s="97"/>
      <c r="AR281" s="134"/>
      <c r="AS281" s="135"/>
      <c r="AT281" s="135"/>
      <c r="AU281" s="32"/>
      <c r="AV281" s="32"/>
      <c r="AW281" s="32"/>
      <c r="AX281" s="32"/>
      <c r="AY281" s="32"/>
      <c r="AZ281" s="32"/>
      <c r="BA281" s="113" t="s">
        <v>605</v>
      </c>
      <c r="BB281" s="32"/>
      <c r="BC281" s="32"/>
      <c r="BD281" s="32"/>
      <c r="BE281" s="32"/>
      <c r="BF281" s="32"/>
      <c r="BG281" s="32"/>
      <c r="BH281" s="32"/>
      <c r="BI281" s="32"/>
      <c r="BJ281" s="32"/>
      <c r="BK281" s="32"/>
      <c r="BL281" s="32"/>
      <c r="BM281" s="32"/>
      <c r="BN281" s="32"/>
      <c r="BO281" s="32"/>
      <c r="BP281" s="32"/>
      <c r="BQ281" s="32"/>
      <c r="BR281" s="32"/>
      <c r="BS281" s="32"/>
      <c r="BT281" s="32"/>
      <c r="BU281" s="32"/>
      <c r="BV281" s="81" t="s">
        <v>752</v>
      </c>
      <c r="BW281" s="32"/>
      <c r="BX281" s="32"/>
      <c r="BY281" s="113"/>
      <c r="BZ281" s="113"/>
      <c r="CA281" s="113"/>
      <c r="CB281" s="32"/>
      <c r="CC281" s="32"/>
    </row>
    <row r="282" spans="1:81" ht="18">
      <c r="A282" s="109">
        <v>280</v>
      </c>
      <c r="B282" s="33" t="s">
        <v>1317</v>
      </c>
      <c r="C282" s="34" t="s">
        <v>922</v>
      </c>
      <c r="D282" s="33" t="s">
        <v>920</v>
      </c>
      <c r="E282" s="34" t="s">
        <v>921</v>
      </c>
      <c r="F282" s="34" t="s">
        <v>220</v>
      </c>
      <c r="G282" s="26" t="s">
        <v>173</v>
      </c>
      <c r="H282" s="35" t="s">
        <v>937</v>
      </c>
      <c r="I282" s="13">
        <v>4702</v>
      </c>
      <c r="J282" s="14">
        <v>4702</v>
      </c>
      <c r="K282" s="130">
        <v>441</v>
      </c>
      <c r="L282" s="131">
        <v>81.56</v>
      </c>
      <c r="M282" s="131">
        <v>47.91</v>
      </c>
      <c r="N282" s="131">
        <v>60.58</v>
      </c>
      <c r="O282" s="75">
        <v>5.15</v>
      </c>
      <c r="P282" s="42" t="s">
        <v>420</v>
      </c>
      <c r="Q282" s="17">
        <v>60</v>
      </c>
      <c r="R282" s="75">
        <v>35</v>
      </c>
      <c r="S282" s="75">
        <v>40</v>
      </c>
      <c r="T282" s="75">
        <v>50</v>
      </c>
      <c r="U282" s="75">
        <v>55</v>
      </c>
      <c r="V282" s="75">
        <v>60</v>
      </c>
      <c r="W282" s="28">
        <v>300</v>
      </c>
      <c r="X282" s="32">
        <v>20000</v>
      </c>
      <c r="Y282" s="32">
        <v>35000</v>
      </c>
      <c r="Z282" s="32">
        <v>50000</v>
      </c>
      <c r="AA282" s="32">
        <v>80000</v>
      </c>
      <c r="AB282" s="32">
        <v>115000</v>
      </c>
      <c r="AC282" s="32">
        <v>170000</v>
      </c>
      <c r="AD282" s="100">
        <v>260000</v>
      </c>
      <c r="AE282" s="100">
        <v>375000</v>
      </c>
      <c r="AF282" s="32">
        <v>585000</v>
      </c>
      <c r="AG282" s="32">
        <v>800000</v>
      </c>
      <c r="AH282" s="32">
        <v>940000</v>
      </c>
      <c r="AI282" s="32">
        <v>1020000</v>
      </c>
      <c r="AJ282" s="32">
        <v>1050000</v>
      </c>
      <c r="AK282" s="32"/>
      <c r="AL282" s="113">
        <v>22000000</v>
      </c>
      <c r="AM282" s="95">
        <v>80000</v>
      </c>
      <c r="AN282" s="95">
        <v>7</v>
      </c>
      <c r="AO282" s="96">
        <v>160000</v>
      </c>
      <c r="AP282" s="96">
        <v>5</v>
      </c>
      <c r="AQ282" s="97">
        <v>480000</v>
      </c>
      <c r="AR282" s="134">
        <v>4</v>
      </c>
      <c r="AS282" s="135"/>
      <c r="AT282" s="135"/>
      <c r="AU282" s="32">
        <v>13120000</v>
      </c>
      <c r="AV282" s="32">
        <v>35120000</v>
      </c>
      <c r="AW282" s="32">
        <v>464</v>
      </c>
      <c r="AX282" s="32"/>
      <c r="AY282" s="32">
        <v>578</v>
      </c>
      <c r="AZ282" s="32"/>
      <c r="BA282" s="113" t="s">
        <v>639</v>
      </c>
      <c r="BB282" s="32"/>
      <c r="BC282" s="32"/>
      <c r="BD282" s="32"/>
      <c r="BE282" s="32"/>
      <c r="BF282" s="32"/>
      <c r="BG282" s="32"/>
      <c r="BH282" s="32"/>
      <c r="BI282" s="32"/>
      <c r="BJ282" s="32"/>
      <c r="BK282" s="32"/>
      <c r="BL282" s="32">
        <v>1</v>
      </c>
      <c r="BM282" s="32"/>
      <c r="BN282" s="32"/>
      <c r="BO282" s="32"/>
      <c r="BP282" s="32">
        <v>1</v>
      </c>
      <c r="BQ282" s="32" t="s">
        <v>800</v>
      </c>
      <c r="BR282" s="32"/>
      <c r="BS282" s="32"/>
      <c r="BT282" s="32">
        <v>1</v>
      </c>
      <c r="BU282" s="32"/>
      <c r="BV282" s="81"/>
      <c r="BW282" s="32"/>
      <c r="BX282" s="32"/>
      <c r="BY282" s="113">
        <v>1</v>
      </c>
      <c r="BZ282" s="113">
        <v>9</v>
      </c>
      <c r="CA282" s="113"/>
      <c r="CB282" s="32"/>
      <c r="CC282" s="32"/>
    </row>
    <row r="283" spans="1:81" ht="18">
      <c r="A283" s="109">
        <v>281</v>
      </c>
      <c r="B283" s="110" t="s">
        <v>1318</v>
      </c>
      <c r="C283" s="111" t="s">
        <v>981</v>
      </c>
      <c r="D283" s="110" t="s">
        <v>115</v>
      </c>
      <c r="E283" s="111" t="s">
        <v>982</v>
      </c>
      <c r="F283" s="34" t="s">
        <v>220</v>
      </c>
      <c r="G283" s="26" t="s">
        <v>173</v>
      </c>
      <c r="H283" s="112" t="s">
        <v>967</v>
      </c>
      <c r="I283" s="13">
        <v>4709</v>
      </c>
      <c r="J283" s="14">
        <v>4709</v>
      </c>
      <c r="K283" s="130">
        <v>385.5</v>
      </c>
      <c r="L283" s="131">
        <v>87.77</v>
      </c>
      <c r="M283" s="131">
        <v>83.66</v>
      </c>
      <c r="N283" s="131">
        <v>51.4</v>
      </c>
      <c r="O283" s="39"/>
      <c r="P283" s="42" t="s">
        <v>420</v>
      </c>
      <c r="Q283" s="17">
        <v>60</v>
      </c>
      <c r="R283" s="75">
        <v>35</v>
      </c>
      <c r="S283" s="75">
        <v>40</v>
      </c>
      <c r="T283" s="75">
        <v>50</v>
      </c>
      <c r="U283" s="75">
        <v>55</v>
      </c>
      <c r="V283" s="75">
        <v>60</v>
      </c>
      <c r="W283" s="28">
        <v>300</v>
      </c>
      <c r="X283" s="32">
        <v>20000</v>
      </c>
      <c r="Y283" s="32">
        <v>35000</v>
      </c>
      <c r="Z283" s="32">
        <v>50000</v>
      </c>
      <c r="AA283" s="32">
        <v>80000</v>
      </c>
      <c r="AB283" s="32">
        <v>115000</v>
      </c>
      <c r="AC283" s="32">
        <v>170000</v>
      </c>
      <c r="AD283" s="32">
        <v>260000</v>
      </c>
      <c r="AE283" s="32">
        <v>375000</v>
      </c>
      <c r="AF283" s="100">
        <v>585000</v>
      </c>
      <c r="AG283" s="32">
        <v>800000</v>
      </c>
      <c r="AH283" s="100">
        <v>940000</v>
      </c>
      <c r="AI283" s="100">
        <v>1020000</v>
      </c>
      <c r="AJ283" s="32">
        <v>1050000</v>
      </c>
      <c r="AK283" s="32"/>
      <c r="AL283" s="113">
        <v>22000000</v>
      </c>
      <c r="AM283" s="95">
        <v>96000</v>
      </c>
      <c r="AN283" s="95">
        <v>7</v>
      </c>
      <c r="AO283" s="96">
        <v>192000</v>
      </c>
      <c r="AP283" s="96">
        <v>5</v>
      </c>
      <c r="AQ283" s="97">
        <v>576000</v>
      </c>
      <c r="AR283" s="134">
        <v>4</v>
      </c>
      <c r="AS283" s="135"/>
      <c r="AT283" s="135"/>
      <c r="AU283" s="32">
        <v>15744000</v>
      </c>
      <c r="AV283" s="32">
        <v>37744000</v>
      </c>
      <c r="AW283" s="113">
        <v>401</v>
      </c>
      <c r="AX283" s="113"/>
      <c r="AY283" s="113">
        <v>539</v>
      </c>
      <c r="AZ283" s="113"/>
      <c r="BA283" s="113" t="s">
        <v>639</v>
      </c>
      <c r="BB283" s="32"/>
      <c r="BC283" s="32"/>
      <c r="BD283" s="32"/>
      <c r="BE283" s="32"/>
      <c r="BF283" s="32"/>
      <c r="BG283" s="32"/>
      <c r="BH283" s="32"/>
      <c r="BI283" s="32"/>
      <c r="BJ283" s="32"/>
      <c r="BK283" s="32"/>
      <c r="BL283" s="32">
        <v>1</v>
      </c>
      <c r="BM283" s="32"/>
      <c r="BN283" s="32"/>
      <c r="BO283" s="32"/>
      <c r="BP283" s="32"/>
      <c r="BQ283" s="32"/>
      <c r="BR283" s="32"/>
      <c r="BS283" s="32"/>
      <c r="BT283" s="32"/>
      <c r="BU283" s="32"/>
      <c r="BV283" s="81"/>
      <c r="BW283" s="113"/>
      <c r="BX283" s="113"/>
      <c r="BY283" s="113">
        <v>1</v>
      </c>
      <c r="BZ283" s="113">
        <v>9</v>
      </c>
      <c r="CA283" s="113"/>
      <c r="CB283" s="113"/>
      <c r="CC283" s="113"/>
    </row>
    <row r="284" spans="1:81" ht="18">
      <c r="A284" s="109">
        <v>282</v>
      </c>
      <c r="B284" s="110" t="s">
        <v>1546</v>
      </c>
      <c r="C284" s="111" t="s">
        <v>1547</v>
      </c>
      <c r="D284" s="110" t="s">
        <v>781</v>
      </c>
      <c r="E284" s="111" t="s">
        <v>1548</v>
      </c>
      <c r="F284" s="34" t="s">
        <v>220</v>
      </c>
      <c r="G284" s="26" t="s">
        <v>173</v>
      </c>
      <c r="H284" s="112" t="s">
        <v>1529</v>
      </c>
      <c r="I284" s="13"/>
      <c r="J284" s="14">
        <v>4720</v>
      </c>
      <c r="K284" s="130">
        <v>419.4</v>
      </c>
      <c r="L284" s="131">
        <v>79.67</v>
      </c>
      <c r="M284" s="131">
        <v>50.01</v>
      </c>
      <c r="N284" s="131">
        <v>51.45</v>
      </c>
      <c r="O284" s="39"/>
      <c r="P284" s="42" t="s">
        <v>420</v>
      </c>
      <c r="Q284" s="17">
        <v>35</v>
      </c>
      <c r="R284" s="75">
        <v>40</v>
      </c>
      <c r="S284" s="75">
        <v>45</v>
      </c>
      <c r="T284" s="75">
        <v>50</v>
      </c>
      <c r="U284" s="75">
        <v>60</v>
      </c>
      <c r="V284" s="75">
        <v>70</v>
      </c>
      <c r="W284" s="28">
        <v>300</v>
      </c>
      <c r="X284" s="17"/>
      <c r="Y284" s="17"/>
      <c r="Z284" s="17"/>
      <c r="AA284" s="17"/>
      <c r="AB284" s="17"/>
      <c r="AC284" s="17"/>
      <c r="AD284" s="17"/>
      <c r="AE284" s="17"/>
      <c r="AF284" s="17"/>
      <c r="AG284" s="17"/>
      <c r="AH284" s="17"/>
      <c r="AI284" s="17"/>
      <c r="AJ284" s="17"/>
      <c r="AK284" s="17"/>
      <c r="AL284" s="113"/>
      <c r="AM284" s="95"/>
      <c r="AN284" s="95"/>
      <c r="AO284" s="96"/>
      <c r="AP284" s="96"/>
      <c r="AQ284" s="97"/>
      <c r="AR284" s="134"/>
      <c r="AS284" s="135"/>
      <c r="AT284" s="135"/>
      <c r="AU284" s="32"/>
      <c r="AV284" s="32"/>
      <c r="AW284" s="113"/>
      <c r="AX284" s="113"/>
      <c r="AY284" s="113"/>
      <c r="AZ284" s="113"/>
      <c r="BA284" s="113" t="s">
        <v>639</v>
      </c>
      <c r="BB284" s="32"/>
      <c r="BC284" s="32"/>
      <c r="BD284" s="32"/>
      <c r="BE284" s="32"/>
      <c r="BF284" s="32"/>
      <c r="BG284" s="32"/>
      <c r="BH284" s="32"/>
      <c r="BI284" s="32"/>
      <c r="BJ284" s="32"/>
      <c r="BK284" s="32"/>
      <c r="BL284" s="32"/>
      <c r="BM284" s="32"/>
      <c r="BN284" s="32"/>
      <c r="BO284" s="32"/>
      <c r="BP284" s="32"/>
      <c r="BQ284" s="32"/>
      <c r="BR284" s="32"/>
      <c r="BS284" s="32"/>
      <c r="BT284" s="32"/>
      <c r="BU284" s="32"/>
      <c r="BV284" s="81"/>
      <c r="BW284" s="113"/>
      <c r="BX284" s="113"/>
      <c r="BY284" s="113"/>
      <c r="BZ284" s="113"/>
      <c r="CA284" s="113"/>
      <c r="CB284" s="113"/>
      <c r="CC284" s="113"/>
    </row>
    <row r="285" spans="1:81" ht="18">
      <c r="A285" s="109">
        <v>283</v>
      </c>
      <c r="B285" s="110" t="s">
        <v>1319</v>
      </c>
      <c r="C285" s="111" t="s">
        <v>582</v>
      </c>
      <c r="D285" s="110" t="s">
        <v>778</v>
      </c>
      <c r="E285" s="111" t="s">
        <v>550</v>
      </c>
      <c r="F285" s="111" t="s">
        <v>220</v>
      </c>
      <c r="G285" s="26" t="s">
        <v>173</v>
      </c>
      <c r="H285" s="112" t="s">
        <v>740</v>
      </c>
      <c r="I285" s="13">
        <v>4722</v>
      </c>
      <c r="J285" s="14">
        <v>4725</v>
      </c>
      <c r="K285" s="130">
        <v>412.9</v>
      </c>
      <c r="L285" s="131">
        <v>83.02</v>
      </c>
      <c r="M285" s="131">
        <v>54.86</v>
      </c>
      <c r="N285" s="131">
        <v>76.59</v>
      </c>
      <c r="O285" s="39"/>
      <c r="P285" s="42" t="s">
        <v>420</v>
      </c>
      <c r="Q285" s="16">
        <v>85</v>
      </c>
      <c r="R285" s="75">
        <v>25</v>
      </c>
      <c r="S285" s="75">
        <v>29</v>
      </c>
      <c r="T285" s="75">
        <v>38</v>
      </c>
      <c r="U285" s="75">
        <v>54</v>
      </c>
      <c r="V285" s="75">
        <v>69</v>
      </c>
      <c r="W285" s="109">
        <v>300</v>
      </c>
      <c r="X285" s="16">
        <v>21550</v>
      </c>
      <c r="Y285" s="16">
        <v>35200</v>
      </c>
      <c r="Z285" s="16">
        <v>56300</v>
      </c>
      <c r="AA285" s="16">
        <v>84400</v>
      </c>
      <c r="AB285" s="16">
        <v>121900</v>
      </c>
      <c r="AC285" s="16">
        <v>180500</v>
      </c>
      <c r="AD285" s="16">
        <v>267000</v>
      </c>
      <c r="AE285" s="16">
        <v>395500</v>
      </c>
      <c r="AF285" s="17">
        <v>585000</v>
      </c>
      <c r="AG285" s="17">
        <v>844000</v>
      </c>
      <c r="AH285" s="16">
        <v>1079000</v>
      </c>
      <c r="AI285" s="16">
        <v>1243000</v>
      </c>
      <c r="AJ285" s="16">
        <v>1336000</v>
      </c>
      <c r="AK285" s="17"/>
      <c r="AL285" s="113">
        <v>24997400</v>
      </c>
      <c r="AM285" s="95">
        <v>80000</v>
      </c>
      <c r="AN285" s="95">
        <v>7</v>
      </c>
      <c r="AO285" s="96">
        <v>160000</v>
      </c>
      <c r="AP285" s="96">
        <v>5</v>
      </c>
      <c r="AQ285" s="97">
        <v>480000</v>
      </c>
      <c r="AR285" s="134">
        <v>4</v>
      </c>
      <c r="AS285" s="135"/>
      <c r="AT285" s="135"/>
      <c r="AU285" s="32">
        <v>13120000</v>
      </c>
      <c r="AV285" s="32">
        <v>38117400</v>
      </c>
      <c r="AW285" s="113">
        <v>433</v>
      </c>
      <c r="AX285" s="113"/>
      <c r="AY285" s="113">
        <v>564</v>
      </c>
      <c r="AZ285" s="113"/>
      <c r="BA285" s="113" t="s">
        <v>639</v>
      </c>
      <c r="BB285" s="32"/>
      <c r="BC285" s="32"/>
      <c r="BD285" s="32"/>
      <c r="BE285" s="32"/>
      <c r="BF285" s="32"/>
      <c r="BG285" s="32"/>
      <c r="BH285" s="32"/>
      <c r="BI285" s="32"/>
      <c r="BJ285" s="32"/>
      <c r="BK285" s="32"/>
      <c r="BL285" s="32">
        <v>1</v>
      </c>
      <c r="BM285" s="32"/>
      <c r="BN285" s="32"/>
      <c r="BO285" s="32"/>
      <c r="BP285" s="32"/>
      <c r="BQ285" s="32"/>
      <c r="BR285" s="32"/>
      <c r="BS285" s="32"/>
      <c r="BT285" s="32">
        <v>1</v>
      </c>
      <c r="BU285" s="32"/>
      <c r="BV285" s="81" t="s">
        <v>1320</v>
      </c>
      <c r="BW285" s="113"/>
      <c r="BX285" s="113"/>
      <c r="BY285" s="113"/>
      <c r="BZ285" s="113"/>
      <c r="CA285" s="113"/>
      <c r="CB285" s="113"/>
      <c r="CC285" s="113"/>
    </row>
    <row r="286" spans="1:81" ht="18">
      <c r="A286" s="109">
        <v>284</v>
      </c>
      <c r="B286" s="110" t="s">
        <v>1321</v>
      </c>
      <c r="C286" s="111" t="s">
        <v>983</v>
      </c>
      <c r="D286" s="110" t="s">
        <v>1322</v>
      </c>
      <c r="E286" s="111" t="s">
        <v>984</v>
      </c>
      <c r="F286" s="111" t="s">
        <v>220</v>
      </c>
      <c r="G286" s="26" t="s">
        <v>173</v>
      </c>
      <c r="H286" s="112" t="s">
        <v>967</v>
      </c>
      <c r="I286" s="13">
        <v>4741</v>
      </c>
      <c r="J286" s="14">
        <v>4741</v>
      </c>
      <c r="K286" s="120">
        <v>405.3</v>
      </c>
      <c r="L286" s="121">
        <v>82.28</v>
      </c>
      <c r="M286" s="121">
        <v>62.3</v>
      </c>
      <c r="N286" s="121">
        <v>75.81</v>
      </c>
      <c r="O286" s="15"/>
      <c r="P286" s="42" t="s">
        <v>420</v>
      </c>
      <c r="Q286" s="27" t="s">
        <v>270</v>
      </c>
      <c r="R286" s="16">
        <v>45</v>
      </c>
      <c r="S286" s="75">
        <v>56</v>
      </c>
      <c r="T286" s="75">
        <v>65</v>
      </c>
      <c r="U286" s="75">
        <v>66</v>
      </c>
      <c r="V286" s="75">
        <v>68</v>
      </c>
      <c r="W286" s="109">
        <v>300</v>
      </c>
      <c r="X286" s="100">
        <v>20000</v>
      </c>
      <c r="Y286" s="100">
        <v>35000</v>
      </c>
      <c r="Z286" s="100">
        <v>50000</v>
      </c>
      <c r="AA286" s="32">
        <v>80000</v>
      </c>
      <c r="AB286" s="32">
        <v>115000</v>
      </c>
      <c r="AC286" s="32">
        <v>170000</v>
      </c>
      <c r="AD286" s="32">
        <v>260000</v>
      </c>
      <c r="AE286" s="32">
        <v>375000</v>
      </c>
      <c r="AF286" s="32">
        <v>585000</v>
      </c>
      <c r="AG286" s="32">
        <v>800000</v>
      </c>
      <c r="AH286" s="32">
        <v>940000</v>
      </c>
      <c r="AI286" s="32">
        <v>1020000</v>
      </c>
      <c r="AJ286" s="32">
        <v>1050000</v>
      </c>
      <c r="AK286" s="32"/>
      <c r="AL286" s="113">
        <v>22000000</v>
      </c>
      <c r="AM286" s="95">
        <v>80000</v>
      </c>
      <c r="AN286" s="95">
        <v>7</v>
      </c>
      <c r="AO286" s="96">
        <v>160000</v>
      </c>
      <c r="AP286" s="96">
        <v>5</v>
      </c>
      <c r="AQ286" s="97">
        <v>480000</v>
      </c>
      <c r="AR286" s="134">
        <v>4</v>
      </c>
      <c r="AS286" s="135"/>
      <c r="AT286" s="135"/>
      <c r="AU286" s="32">
        <v>13120000</v>
      </c>
      <c r="AV286" s="32">
        <v>35120000</v>
      </c>
      <c r="AW286" s="113">
        <v>422</v>
      </c>
      <c r="AX286" s="113"/>
      <c r="AY286" s="113">
        <v>559</v>
      </c>
      <c r="AZ286" s="113"/>
      <c r="BA286" s="113" t="s">
        <v>639</v>
      </c>
      <c r="BB286" s="32"/>
      <c r="BC286" s="32"/>
      <c r="BD286" s="32"/>
      <c r="BE286" s="32"/>
      <c r="BF286" s="32"/>
      <c r="BG286" s="32"/>
      <c r="BH286" s="32"/>
      <c r="BI286" s="32"/>
      <c r="BJ286" s="32"/>
      <c r="BK286" s="32"/>
      <c r="BL286" s="32">
        <v>1</v>
      </c>
      <c r="BM286" s="32"/>
      <c r="BN286" s="32"/>
      <c r="BO286" s="32">
        <v>1</v>
      </c>
      <c r="BP286" s="32"/>
      <c r="BQ286" s="32"/>
      <c r="BR286" s="32"/>
      <c r="BS286" s="32"/>
      <c r="BT286" s="32"/>
      <c r="BU286" s="32"/>
      <c r="BV286" s="81" t="s">
        <v>985</v>
      </c>
      <c r="BW286" s="113"/>
      <c r="BX286" s="113"/>
      <c r="BY286" s="113"/>
      <c r="BZ286" s="113"/>
      <c r="CA286" s="113"/>
      <c r="CB286" s="113"/>
      <c r="CC286" s="113"/>
    </row>
    <row r="287" spans="1:81" ht="18">
      <c r="A287" s="109">
        <v>285</v>
      </c>
      <c r="B287" s="110" t="s">
        <v>266</v>
      </c>
      <c r="C287" s="111" t="s">
        <v>1481</v>
      </c>
      <c r="D287" s="110" t="s">
        <v>538</v>
      </c>
      <c r="E287" s="111" t="s">
        <v>389</v>
      </c>
      <c r="F287" s="111" t="s">
        <v>220</v>
      </c>
      <c r="G287" s="26" t="s">
        <v>173</v>
      </c>
      <c r="H287" s="112" t="s">
        <v>306</v>
      </c>
      <c r="I287" s="13">
        <v>4755</v>
      </c>
      <c r="J287" s="14">
        <v>4755</v>
      </c>
      <c r="K287" s="120">
        <v>443.4</v>
      </c>
      <c r="L287" s="121">
        <v>84.4</v>
      </c>
      <c r="M287" s="121">
        <v>45.62</v>
      </c>
      <c r="N287" s="121">
        <v>63.63</v>
      </c>
      <c r="O287" s="32">
        <v>5.4329999999999998</v>
      </c>
      <c r="P287" s="42" t="s">
        <v>420</v>
      </c>
      <c r="Q287" s="16">
        <v>30</v>
      </c>
      <c r="R287" s="16">
        <v>30</v>
      </c>
      <c r="S287" s="16">
        <v>30</v>
      </c>
      <c r="T287" s="16">
        <v>35</v>
      </c>
      <c r="U287" s="16">
        <v>35</v>
      </c>
      <c r="V287" s="16">
        <v>40</v>
      </c>
      <c r="W287" s="109">
        <v>200</v>
      </c>
      <c r="X287" s="16">
        <v>21550</v>
      </c>
      <c r="Y287" s="16">
        <v>35200</v>
      </c>
      <c r="Z287" s="16">
        <v>56300</v>
      </c>
      <c r="AA287" s="16">
        <v>84400</v>
      </c>
      <c r="AB287" s="16">
        <v>121900</v>
      </c>
      <c r="AC287" s="16">
        <v>180500</v>
      </c>
      <c r="AD287" s="16">
        <v>267000</v>
      </c>
      <c r="AE287" s="16">
        <v>395500</v>
      </c>
      <c r="AF287" s="17">
        <v>585000</v>
      </c>
      <c r="AG287" s="17">
        <v>844000</v>
      </c>
      <c r="AH287" s="16">
        <v>1079000</v>
      </c>
      <c r="AI287" s="16">
        <v>1243000</v>
      </c>
      <c r="AJ287" s="16">
        <v>1336000</v>
      </c>
      <c r="AK287" s="17"/>
      <c r="AL287" s="113"/>
      <c r="AM287" s="95">
        <v>80000</v>
      </c>
      <c r="AN287" s="95">
        <v>7</v>
      </c>
      <c r="AO287" s="96">
        <v>160000</v>
      </c>
      <c r="AP287" s="96">
        <v>5</v>
      </c>
      <c r="AQ287" s="97">
        <v>480000</v>
      </c>
      <c r="AR287" s="134">
        <v>4</v>
      </c>
      <c r="AS287" s="135"/>
      <c r="AT287" s="135"/>
      <c r="AU287" s="113">
        <v>13120000</v>
      </c>
      <c r="AV287" s="113"/>
      <c r="AW287" s="113">
        <v>467</v>
      </c>
      <c r="AX287" s="113"/>
      <c r="AY287" s="113">
        <v>579</v>
      </c>
      <c r="AZ287" s="113">
        <v>19</v>
      </c>
      <c r="BA287" s="113" t="s">
        <v>639</v>
      </c>
      <c r="BB287" s="32"/>
      <c r="BC287" s="32"/>
      <c r="BD287" s="32"/>
      <c r="BE287" s="32"/>
      <c r="BF287" s="32"/>
      <c r="BG287" s="32"/>
      <c r="BH287" s="32"/>
      <c r="BI287" s="32"/>
      <c r="BJ287" s="32"/>
      <c r="BK287" s="32"/>
      <c r="BL287" s="32">
        <v>1</v>
      </c>
      <c r="BM287" s="32"/>
      <c r="BN287" s="32"/>
      <c r="BO287" s="32"/>
      <c r="BP287" s="32">
        <v>1</v>
      </c>
      <c r="BQ287" s="32" t="s">
        <v>828</v>
      </c>
      <c r="BR287" s="32">
        <v>1</v>
      </c>
      <c r="BS287" s="32"/>
      <c r="BT287" s="32">
        <v>1</v>
      </c>
      <c r="BU287" s="32"/>
      <c r="BV287" s="81" t="s">
        <v>1323</v>
      </c>
      <c r="BW287" s="113"/>
      <c r="BX287" s="113"/>
      <c r="BY287" s="113"/>
      <c r="BZ287" s="113"/>
      <c r="CA287" s="113"/>
      <c r="CB287" s="113"/>
      <c r="CC287" s="113"/>
    </row>
    <row r="288" spans="1:81" ht="18">
      <c r="A288" s="109">
        <v>286</v>
      </c>
      <c r="B288" s="110" t="s">
        <v>292</v>
      </c>
      <c r="C288" s="111" t="s">
        <v>293</v>
      </c>
      <c r="D288" s="110" t="s">
        <v>293</v>
      </c>
      <c r="E288" s="111" t="s">
        <v>390</v>
      </c>
      <c r="F288" s="111" t="s">
        <v>220</v>
      </c>
      <c r="G288" s="26" t="s">
        <v>173</v>
      </c>
      <c r="H288" s="149" t="s">
        <v>670</v>
      </c>
      <c r="I288" s="13">
        <v>4764</v>
      </c>
      <c r="J288" s="14">
        <v>4759</v>
      </c>
      <c r="K288" s="120">
        <v>449</v>
      </c>
      <c r="L288" s="121">
        <v>80.510000000000005</v>
      </c>
      <c r="M288" s="121">
        <v>46.84</v>
      </c>
      <c r="N288" s="121">
        <v>70.64</v>
      </c>
      <c r="O288" s="32">
        <v>5.97</v>
      </c>
      <c r="P288" s="42" t="s">
        <v>420</v>
      </c>
      <c r="Q288" s="16">
        <v>40</v>
      </c>
      <c r="R288" s="16">
        <v>30</v>
      </c>
      <c r="S288" s="16">
        <v>35</v>
      </c>
      <c r="T288" s="16">
        <v>40</v>
      </c>
      <c r="U288" s="16">
        <v>50</v>
      </c>
      <c r="V288" s="16">
        <v>55</v>
      </c>
      <c r="W288" s="109">
        <v>250</v>
      </c>
      <c r="X288" s="103">
        <v>21550</v>
      </c>
      <c r="Y288" s="103">
        <v>35200</v>
      </c>
      <c r="Z288" s="103">
        <v>56300</v>
      </c>
      <c r="AA288" s="103">
        <v>84400</v>
      </c>
      <c r="AB288" s="103">
        <v>121900</v>
      </c>
      <c r="AC288" s="103">
        <v>180500</v>
      </c>
      <c r="AD288" s="103">
        <v>267000</v>
      </c>
      <c r="AE288" s="103">
        <v>395500</v>
      </c>
      <c r="AF288" s="100">
        <v>585000</v>
      </c>
      <c r="AG288" s="100">
        <v>844000</v>
      </c>
      <c r="AH288" s="103">
        <v>1079000</v>
      </c>
      <c r="AI288" s="103">
        <v>1243000</v>
      </c>
      <c r="AJ288" s="103">
        <v>1336000</v>
      </c>
      <c r="AK288" s="100"/>
      <c r="AL288" s="113">
        <v>24997400</v>
      </c>
      <c r="AM288" s="95">
        <v>80000</v>
      </c>
      <c r="AN288" s="95">
        <v>7</v>
      </c>
      <c r="AO288" s="96">
        <v>160000</v>
      </c>
      <c r="AP288" s="96">
        <v>5</v>
      </c>
      <c r="AQ288" s="97">
        <v>480000</v>
      </c>
      <c r="AR288" s="134">
        <v>4</v>
      </c>
      <c r="AS288" s="135"/>
      <c r="AT288" s="135"/>
      <c r="AU288" s="32">
        <v>13120000</v>
      </c>
      <c r="AV288" s="32">
        <v>38117400</v>
      </c>
      <c r="AW288" s="113">
        <v>473</v>
      </c>
      <c r="AX288" s="113"/>
      <c r="AY288" s="113">
        <v>582</v>
      </c>
      <c r="AZ288" s="113"/>
      <c r="BA288" s="113" t="s">
        <v>712</v>
      </c>
      <c r="BB288" s="32"/>
      <c r="BC288" s="32"/>
      <c r="BD288" s="32"/>
      <c r="BE288" s="32"/>
      <c r="BF288" s="32"/>
      <c r="BG288" s="32"/>
      <c r="BH288" s="32"/>
      <c r="BI288" s="32"/>
      <c r="BJ288" s="32">
        <v>1</v>
      </c>
      <c r="BK288" s="32"/>
      <c r="BL288" s="32"/>
      <c r="BM288" s="32"/>
      <c r="BN288" s="32"/>
      <c r="BO288" s="32"/>
      <c r="BP288" s="32"/>
      <c r="BQ288" s="32" t="s">
        <v>715</v>
      </c>
      <c r="BR288" s="32"/>
      <c r="BS288" s="32"/>
      <c r="BT288" s="32"/>
      <c r="BU288" s="32"/>
      <c r="BV288" s="81" t="s">
        <v>1324</v>
      </c>
      <c r="BW288" s="113"/>
      <c r="BX288" s="113"/>
      <c r="BY288" s="113"/>
      <c r="BZ288" s="113"/>
      <c r="CA288" s="113"/>
      <c r="CB288" s="113"/>
      <c r="CC288" s="113"/>
    </row>
    <row r="289" spans="1:81" ht="18">
      <c r="A289" s="109">
        <v>287</v>
      </c>
      <c r="B289" s="110" t="s">
        <v>1619</v>
      </c>
      <c r="C289" s="111" t="s">
        <v>1620</v>
      </c>
      <c r="D289" s="110" t="s">
        <v>1229</v>
      </c>
      <c r="E289" s="148" t="s">
        <v>1621</v>
      </c>
      <c r="F289" s="111" t="s">
        <v>220</v>
      </c>
      <c r="G289" s="26" t="s">
        <v>173</v>
      </c>
      <c r="H289" s="115" t="s">
        <v>1555</v>
      </c>
      <c r="I289" s="13"/>
      <c r="J289" s="14">
        <v>4764</v>
      </c>
      <c r="K289" s="130">
        <v>394.4</v>
      </c>
      <c r="L289" s="131">
        <v>84.98</v>
      </c>
      <c r="M289" s="131">
        <v>61.19</v>
      </c>
      <c r="N289" s="131">
        <v>73.64</v>
      </c>
      <c r="O289" s="39"/>
      <c r="P289" s="42" t="s">
        <v>420</v>
      </c>
      <c r="Q289" s="75">
        <v>35</v>
      </c>
      <c r="R289" s="75">
        <v>40</v>
      </c>
      <c r="S289" s="75">
        <v>45</v>
      </c>
      <c r="T289" s="75">
        <v>50</v>
      </c>
      <c r="U289" s="75">
        <v>60</v>
      </c>
      <c r="V289" s="75">
        <v>70</v>
      </c>
      <c r="W289" s="28">
        <v>300</v>
      </c>
      <c r="X289" s="100">
        <v>20000</v>
      </c>
      <c r="Y289" s="100">
        <v>35000</v>
      </c>
      <c r="Z289" s="100">
        <v>50000</v>
      </c>
      <c r="AA289" s="100">
        <v>80000</v>
      </c>
      <c r="AB289" s="100">
        <v>115000</v>
      </c>
      <c r="AC289" s="100">
        <v>170000</v>
      </c>
      <c r="AD289" s="100">
        <v>260000</v>
      </c>
      <c r="AE289" s="100">
        <v>375000</v>
      </c>
      <c r="AF289" s="100">
        <v>585000</v>
      </c>
      <c r="AG289" s="100">
        <v>800000</v>
      </c>
      <c r="AH289" s="100">
        <v>940000</v>
      </c>
      <c r="AI289" s="100">
        <v>1020000</v>
      </c>
      <c r="AJ289" s="100">
        <v>1050000</v>
      </c>
      <c r="AK289" s="32"/>
      <c r="AL289" s="113">
        <v>22000000</v>
      </c>
      <c r="AM289" s="95">
        <v>88000</v>
      </c>
      <c r="AN289" s="95">
        <v>7</v>
      </c>
      <c r="AO289" s="96">
        <v>176000</v>
      </c>
      <c r="AP289" s="96">
        <v>5</v>
      </c>
      <c r="AQ289" s="97">
        <v>528000</v>
      </c>
      <c r="AR289" s="134">
        <v>4</v>
      </c>
      <c r="AS289" s="135"/>
      <c r="AT289" s="135"/>
      <c r="AU289" s="113">
        <v>14432000</v>
      </c>
      <c r="AV289" s="113">
        <v>36432000</v>
      </c>
      <c r="AW289" s="113"/>
      <c r="AX289" s="113"/>
      <c r="AY289" s="113"/>
      <c r="AZ289" s="113"/>
      <c r="BA289" s="82" t="s">
        <v>1500</v>
      </c>
      <c r="BB289" s="32"/>
      <c r="BC289" s="32"/>
      <c r="BD289" s="32"/>
      <c r="BE289" s="32"/>
      <c r="BF289" s="32"/>
      <c r="BG289" s="32"/>
      <c r="BH289" s="32"/>
      <c r="BI289" s="32"/>
      <c r="BJ289" s="32"/>
      <c r="BK289" s="32"/>
      <c r="BL289" s="32"/>
      <c r="BM289" s="32"/>
      <c r="BN289" s="32"/>
      <c r="BO289" s="32"/>
      <c r="BP289" s="32"/>
      <c r="BQ289" s="84"/>
      <c r="BR289" s="32"/>
      <c r="BS289" s="32"/>
      <c r="BT289" s="32"/>
      <c r="BU289" s="32"/>
      <c r="BV289" s="81" t="s">
        <v>267</v>
      </c>
      <c r="BW289" s="113"/>
      <c r="BX289" s="113"/>
      <c r="BY289" s="113"/>
      <c r="BZ289" s="113"/>
      <c r="CA289" s="113"/>
      <c r="CB289" s="113"/>
      <c r="CC289" s="113"/>
    </row>
    <row r="290" spans="1:81" ht="18">
      <c r="A290" s="109">
        <v>288</v>
      </c>
      <c r="B290" s="110" t="s">
        <v>1325</v>
      </c>
      <c r="C290" s="111" t="s">
        <v>856</v>
      </c>
      <c r="D290" s="110" t="s">
        <v>854</v>
      </c>
      <c r="E290" s="111" t="s">
        <v>855</v>
      </c>
      <c r="F290" s="111" t="s">
        <v>220</v>
      </c>
      <c r="G290" s="26" t="s">
        <v>173</v>
      </c>
      <c r="H290" s="115" t="s">
        <v>915</v>
      </c>
      <c r="I290" s="13">
        <v>4779</v>
      </c>
      <c r="J290" s="14">
        <v>4782</v>
      </c>
      <c r="K290" s="130">
        <v>395</v>
      </c>
      <c r="L290" s="131">
        <v>86.02</v>
      </c>
      <c r="M290" s="131">
        <v>73.760000000000005</v>
      </c>
      <c r="N290" s="131">
        <v>61.52</v>
      </c>
      <c r="O290" s="39"/>
      <c r="P290" s="42" t="s">
        <v>420</v>
      </c>
      <c r="Q290" s="75">
        <v>85</v>
      </c>
      <c r="R290" s="75">
        <v>25</v>
      </c>
      <c r="S290" s="75">
        <v>29</v>
      </c>
      <c r="T290" s="75">
        <v>38</v>
      </c>
      <c r="U290" s="75">
        <v>54</v>
      </c>
      <c r="V290" s="75">
        <v>69</v>
      </c>
      <c r="W290" s="109">
        <v>300</v>
      </c>
      <c r="X290" s="94"/>
      <c r="Y290" s="94"/>
      <c r="Z290" s="94"/>
      <c r="AA290" s="94"/>
      <c r="AB290" s="94"/>
      <c r="AC290" s="94"/>
      <c r="AD290" s="94"/>
      <c r="AE290" s="94"/>
      <c r="AF290" s="94"/>
      <c r="AG290" s="94"/>
      <c r="AH290" s="94"/>
      <c r="AI290" s="94">
        <v>1243000</v>
      </c>
      <c r="AJ290" s="94"/>
      <c r="AK290" s="32"/>
      <c r="AL290" s="113"/>
      <c r="AM290" s="95">
        <v>80000</v>
      </c>
      <c r="AN290" s="95">
        <v>7</v>
      </c>
      <c r="AO290" s="96">
        <v>160000</v>
      </c>
      <c r="AP290" s="96">
        <v>5</v>
      </c>
      <c r="AQ290" s="97">
        <v>480000</v>
      </c>
      <c r="AR290" s="134">
        <v>4</v>
      </c>
      <c r="AS290" s="135"/>
      <c r="AT290" s="135"/>
      <c r="AU290" s="113"/>
      <c r="AV290" s="113"/>
      <c r="AW290" s="113">
        <v>410</v>
      </c>
      <c r="AX290" s="113"/>
      <c r="AY290" s="113">
        <v>552</v>
      </c>
      <c r="AZ290" s="113"/>
      <c r="BA290" s="113" t="s">
        <v>639</v>
      </c>
      <c r="BB290" s="32"/>
      <c r="BC290" s="32"/>
      <c r="BD290" s="32"/>
      <c r="BE290" s="32"/>
      <c r="BF290" s="32"/>
      <c r="BG290" s="32"/>
      <c r="BH290" s="32"/>
      <c r="BI290" s="32"/>
      <c r="BJ290" s="32"/>
      <c r="BK290" s="32"/>
      <c r="BL290" s="32">
        <v>1</v>
      </c>
      <c r="BM290" s="32"/>
      <c r="BN290" s="32"/>
      <c r="BO290" s="32"/>
      <c r="BP290" s="32"/>
      <c r="BQ290" s="84" t="s">
        <v>799</v>
      </c>
      <c r="BR290" s="32"/>
      <c r="BS290" s="32"/>
      <c r="BT290" s="32">
        <v>1</v>
      </c>
      <c r="BU290" s="32"/>
      <c r="BV290" s="81"/>
      <c r="BW290" s="113"/>
      <c r="BX290" s="113"/>
      <c r="BY290" s="113">
        <v>1</v>
      </c>
      <c r="BZ290" s="113">
        <v>9</v>
      </c>
      <c r="CA290" s="113"/>
      <c r="CB290" s="113"/>
      <c r="CC290" s="113"/>
    </row>
    <row r="291" spans="1:81" ht="18">
      <c r="A291" s="109">
        <v>289</v>
      </c>
      <c r="B291" s="110" t="s">
        <v>1326</v>
      </c>
      <c r="C291" s="111" t="s">
        <v>625</v>
      </c>
      <c r="D291" s="110" t="s">
        <v>623</v>
      </c>
      <c r="E291" s="111" t="s">
        <v>624</v>
      </c>
      <c r="F291" s="111" t="s">
        <v>220</v>
      </c>
      <c r="G291" s="26" t="s">
        <v>173</v>
      </c>
      <c r="H291" s="112" t="s">
        <v>801</v>
      </c>
      <c r="I291" s="13">
        <v>4796</v>
      </c>
      <c r="J291" s="14">
        <v>4790</v>
      </c>
      <c r="K291" s="130">
        <v>412.3</v>
      </c>
      <c r="L291" s="131">
        <v>82.6</v>
      </c>
      <c r="M291" s="131">
        <v>63.85</v>
      </c>
      <c r="N291" s="131">
        <v>64.81</v>
      </c>
      <c r="O291" s="39"/>
      <c r="P291" s="42" t="s">
        <v>420</v>
      </c>
      <c r="Q291" s="75">
        <v>85</v>
      </c>
      <c r="R291" s="75">
        <v>25</v>
      </c>
      <c r="S291" s="75">
        <v>29</v>
      </c>
      <c r="T291" s="75">
        <v>38</v>
      </c>
      <c r="U291" s="75">
        <v>54</v>
      </c>
      <c r="V291" s="75">
        <v>69</v>
      </c>
      <c r="W291" s="109">
        <v>300</v>
      </c>
      <c r="X291" s="16">
        <v>21550</v>
      </c>
      <c r="Y291" s="16">
        <v>35200</v>
      </c>
      <c r="Z291" s="16">
        <v>56300</v>
      </c>
      <c r="AA291" s="16">
        <v>84400</v>
      </c>
      <c r="AB291" s="16">
        <v>121900</v>
      </c>
      <c r="AC291" s="16">
        <v>180500</v>
      </c>
      <c r="AD291" s="16">
        <v>267000</v>
      </c>
      <c r="AE291" s="16">
        <v>395500</v>
      </c>
      <c r="AF291" s="17">
        <v>585000</v>
      </c>
      <c r="AG291" s="17">
        <v>844000</v>
      </c>
      <c r="AH291" s="16">
        <v>1079000</v>
      </c>
      <c r="AI291" s="16">
        <v>1243000</v>
      </c>
      <c r="AJ291" s="16">
        <v>1336000</v>
      </c>
      <c r="AK291" s="17"/>
      <c r="AL291" s="113">
        <v>24997400</v>
      </c>
      <c r="AM291" s="95">
        <v>80000</v>
      </c>
      <c r="AN291" s="95">
        <v>7</v>
      </c>
      <c r="AO291" s="96">
        <v>160000</v>
      </c>
      <c r="AP291" s="96">
        <v>5</v>
      </c>
      <c r="AQ291" s="97">
        <v>480000</v>
      </c>
      <c r="AR291" s="134">
        <v>4</v>
      </c>
      <c r="AS291" s="135"/>
      <c r="AT291" s="135"/>
      <c r="AU291" s="32">
        <v>13120000</v>
      </c>
      <c r="AV291" s="32">
        <v>38117400</v>
      </c>
      <c r="AW291" s="113">
        <v>432</v>
      </c>
      <c r="AX291" s="113"/>
      <c r="AY291" s="113">
        <v>563</v>
      </c>
      <c r="AZ291" s="113"/>
      <c r="BA291" s="113" t="s">
        <v>639</v>
      </c>
      <c r="BB291" s="32"/>
      <c r="BC291" s="32"/>
      <c r="BD291" s="32"/>
      <c r="BE291" s="32"/>
      <c r="BF291" s="32"/>
      <c r="BG291" s="32"/>
      <c r="BH291" s="32"/>
      <c r="BI291" s="32"/>
      <c r="BJ291" s="32"/>
      <c r="BK291" s="32"/>
      <c r="BL291" s="32">
        <v>1</v>
      </c>
      <c r="BM291" s="32"/>
      <c r="BN291" s="32"/>
      <c r="BO291" s="32"/>
      <c r="BP291" s="32"/>
      <c r="BQ291" s="32" t="s">
        <v>799</v>
      </c>
      <c r="BR291" s="32"/>
      <c r="BS291" s="32"/>
      <c r="BT291" s="32">
        <v>1</v>
      </c>
      <c r="BU291" s="32"/>
      <c r="BV291" s="81" t="s">
        <v>803</v>
      </c>
      <c r="BW291" s="113"/>
      <c r="BX291" s="113"/>
      <c r="BY291" s="113"/>
      <c r="BZ291" s="113"/>
      <c r="CA291" s="113"/>
      <c r="CB291" s="113"/>
      <c r="CC291" s="113"/>
    </row>
    <row r="292" spans="1:81" ht="18">
      <c r="A292" s="109">
        <v>290</v>
      </c>
      <c r="B292" s="110" t="s">
        <v>1327</v>
      </c>
      <c r="C292" s="111" t="s">
        <v>798</v>
      </c>
      <c r="D292" s="110" t="s">
        <v>796</v>
      </c>
      <c r="E292" s="111" t="s">
        <v>797</v>
      </c>
      <c r="F292" s="111" t="s">
        <v>220</v>
      </c>
      <c r="G292" s="26" t="s">
        <v>173</v>
      </c>
      <c r="H292" s="112" t="s">
        <v>857</v>
      </c>
      <c r="I292" s="13">
        <v>4806</v>
      </c>
      <c r="J292" s="38">
        <v>4808</v>
      </c>
      <c r="K292" s="130">
        <v>460.4</v>
      </c>
      <c r="L292" s="131">
        <v>81.28</v>
      </c>
      <c r="M292" s="131">
        <v>60.34</v>
      </c>
      <c r="N292" s="131">
        <v>54.16</v>
      </c>
      <c r="O292" s="39"/>
      <c r="P292" s="42" t="s">
        <v>420</v>
      </c>
      <c r="Q292" s="75">
        <v>85</v>
      </c>
      <c r="R292" s="75">
        <v>25</v>
      </c>
      <c r="S292" s="75">
        <v>29</v>
      </c>
      <c r="T292" s="75">
        <v>38</v>
      </c>
      <c r="U292" s="75">
        <v>54</v>
      </c>
      <c r="V292" s="75">
        <v>69</v>
      </c>
      <c r="W292" s="109">
        <v>300</v>
      </c>
      <c r="X292" s="94"/>
      <c r="Y292" s="94"/>
      <c r="Z292" s="94"/>
      <c r="AA292" s="94"/>
      <c r="AB292" s="94"/>
      <c r="AC292" s="94"/>
      <c r="AD292" s="94"/>
      <c r="AE292" s="94"/>
      <c r="AF292" s="94"/>
      <c r="AG292" s="94"/>
      <c r="AH292" s="94"/>
      <c r="AI292" s="94"/>
      <c r="AJ292" s="94"/>
      <c r="AK292" s="32"/>
      <c r="AL292" s="113"/>
      <c r="AM292" s="95"/>
      <c r="AN292" s="95">
        <v>7</v>
      </c>
      <c r="AO292" s="96"/>
      <c r="AP292" s="96">
        <v>5</v>
      </c>
      <c r="AQ292" s="97"/>
      <c r="AR292" s="134">
        <v>4</v>
      </c>
      <c r="AS292" s="135"/>
      <c r="AT292" s="135"/>
      <c r="AU292" s="113"/>
      <c r="AV292" s="113"/>
      <c r="AW292" s="113">
        <v>485</v>
      </c>
      <c r="AX292" s="113"/>
      <c r="AY292" s="113">
        <v>587</v>
      </c>
      <c r="AZ292" s="113"/>
      <c r="BA292" s="113" t="s">
        <v>639</v>
      </c>
      <c r="BB292" s="32"/>
      <c r="BC292" s="32"/>
      <c r="BD292" s="32"/>
      <c r="BE292" s="32"/>
      <c r="BF292" s="32"/>
      <c r="BG292" s="32"/>
      <c r="BH292" s="32"/>
      <c r="BI292" s="32"/>
      <c r="BJ292" s="32"/>
      <c r="BK292" s="32"/>
      <c r="BL292" s="32">
        <v>1</v>
      </c>
      <c r="BM292" s="32"/>
      <c r="BN292" s="32"/>
      <c r="BO292" s="32"/>
      <c r="BP292" s="32">
        <v>1</v>
      </c>
      <c r="BQ292" s="32"/>
      <c r="BR292" s="32"/>
      <c r="BS292" s="32"/>
      <c r="BT292" s="32">
        <v>1</v>
      </c>
      <c r="BU292" s="32"/>
      <c r="BV292" s="113" t="s">
        <v>858</v>
      </c>
      <c r="BW292" s="113"/>
      <c r="BX292" s="113"/>
      <c r="BY292" s="113"/>
      <c r="BZ292" s="113"/>
      <c r="CA292" s="113"/>
      <c r="CB292" s="113"/>
      <c r="CC292" s="113"/>
    </row>
    <row r="293" spans="1:81" ht="18">
      <c r="A293" s="109">
        <v>291</v>
      </c>
      <c r="B293" s="110" t="s">
        <v>1416</v>
      </c>
      <c r="C293" s="111" t="s">
        <v>1409</v>
      </c>
      <c r="D293" s="110" t="s">
        <v>538</v>
      </c>
      <c r="E293" s="111" t="s">
        <v>1410</v>
      </c>
      <c r="F293" s="111" t="s">
        <v>220</v>
      </c>
      <c r="G293" s="26" t="s">
        <v>173</v>
      </c>
      <c r="H293" s="112" t="s">
        <v>1393</v>
      </c>
      <c r="I293" s="13"/>
      <c r="J293" s="14">
        <v>4821</v>
      </c>
      <c r="K293" s="120">
        <v>397.8</v>
      </c>
      <c r="L293" s="121">
        <v>87.01</v>
      </c>
      <c r="M293" s="121">
        <v>73.62</v>
      </c>
      <c r="N293" s="121">
        <v>65.319999999999993</v>
      </c>
      <c r="O293" s="32"/>
      <c r="P293" s="42" t="s">
        <v>420</v>
      </c>
      <c r="Q293" s="37" t="s">
        <v>270</v>
      </c>
      <c r="R293" s="37">
        <v>45</v>
      </c>
      <c r="S293" s="37">
        <v>56</v>
      </c>
      <c r="T293" s="37">
        <v>65</v>
      </c>
      <c r="U293" s="37">
        <v>66</v>
      </c>
      <c r="V293" s="37">
        <v>68</v>
      </c>
      <c r="W293" s="109">
        <v>300</v>
      </c>
      <c r="X293" s="96">
        <v>30000</v>
      </c>
      <c r="Y293" s="96">
        <v>50000</v>
      </c>
      <c r="Z293" s="96">
        <v>80000</v>
      </c>
      <c r="AA293" s="105">
        <v>121000</v>
      </c>
      <c r="AB293" s="105">
        <v>175000</v>
      </c>
      <c r="AC293" s="105">
        <v>260000</v>
      </c>
      <c r="AD293" s="100">
        <v>384000</v>
      </c>
      <c r="AE293" s="100">
        <v>569000</v>
      </c>
      <c r="AF293" s="100"/>
      <c r="AG293" s="100"/>
      <c r="AH293" s="100"/>
      <c r="AI293" s="100"/>
      <c r="AJ293" s="100"/>
      <c r="AK293" s="100"/>
      <c r="AL293" s="113"/>
      <c r="AM293" s="95">
        <v>100000</v>
      </c>
      <c r="AN293" s="95">
        <v>7</v>
      </c>
      <c r="AO293" s="96">
        <v>200000</v>
      </c>
      <c r="AP293" s="96">
        <v>5</v>
      </c>
      <c r="AQ293" s="97">
        <v>600000</v>
      </c>
      <c r="AR293" s="134">
        <v>4</v>
      </c>
      <c r="AS293" s="135"/>
      <c r="AT293" s="135"/>
      <c r="AU293" s="113"/>
      <c r="AV293" s="113"/>
      <c r="AW293" s="113">
        <v>413</v>
      </c>
      <c r="AX293" s="113"/>
      <c r="AY293" s="113">
        <v>554</v>
      </c>
      <c r="AZ293" s="113"/>
      <c r="BA293" s="113" t="s">
        <v>639</v>
      </c>
      <c r="BB293" s="32"/>
      <c r="BC293" s="32"/>
      <c r="BD293" s="32"/>
      <c r="BE293" s="32"/>
      <c r="BF293" s="32"/>
      <c r="BG293" s="32"/>
      <c r="BH293" s="32"/>
      <c r="BI293" s="32"/>
      <c r="BJ293" s="32"/>
      <c r="BK293" s="32"/>
      <c r="BL293" s="32"/>
      <c r="BM293" s="32"/>
      <c r="BN293" s="32"/>
      <c r="BO293" s="32"/>
      <c r="BP293" s="32"/>
      <c r="BQ293" s="32"/>
      <c r="BR293" s="32"/>
      <c r="BS293" s="32"/>
      <c r="BT293" s="32"/>
      <c r="BU293" s="32"/>
      <c r="BV293" s="81" t="s">
        <v>1482</v>
      </c>
      <c r="BW293" s="113"/>
      <c r="BX293" s="113"/>
      <c r="BY293" s="113"/>
      <c r="BZ293" s="113"/>
      <c r="CA293" s="113"/>
      <c r="CB293" s="113"/>
      <c r="CC293" s="113"/>
    </row>
    <row r="294" spans="1:81" ht="18">
      <c r="A294" s="109">
        <v>292</v>
      </c>
      <c r="B294" s="110" t="s">
        <v>268</v>
      </c>
      <c r="C294" s="111" t="s">
        <v>269</v>
      </c>
      <c r="D294" s="110" t="s">
        <v>262</v>
      </c>
      <c r="E294" s="111" t="s">
        <v>391</v>
      </c>
      <c r="F294" s="111" t="s">
        <v>220</v>
      </c>
      <c r="G294" s="26" t="s">
        <v>173</v>
      </c>
      <c r="H294" s="112" t="s">
        <v>297</v>
      </c>
      <c r="I294" s="13">
        <v>4826</v>
      </c>
      <c r="J294" s="14">
        <v>4824</v>
      </c>
      <c r="K294" s="120">
        <v>496.6</v>
      </c>
      <c r="L294" s="121">
        <v>80.069999999999993</v>
      </c>
      <c r="M294" s="121">
        <v>48.19</v>
      </c>
      <c r="N294" s="121">
        <v>58.23</v>
      </c>
      <c r="O294" s="32">
        <v>4.8</v>
      </c>
      <c r="P294" s="42" t="s">
        <v>420</v>
      </c>
      <c r="Q294" s="27" t="s">
        <v>270</v>
      </c>
      <c r="R294" s="16">
        <v>40</v>
      </c>
      <c r="S294" s="16">
        <v>45</v>
      </c>
      <c r="T294" s="16">
        <v>60</v>
      </c>
      <c r="U294" s="16">
        <v>70</v>
      </c>
      <c r="V294" s="16">
        <v>85</v>
      </c>
      <c r="W294" s="109">
        <v>300</v>
      </c>
      <c r="X294" s="103">
        <v>21550</v>
      </c>
      <c r="Y294" s="103">
        <v>35200</v>
      </c>
      <c r="Z294" s="103">
        <v>56300</v>
      </c>
      <c r="AA294" s="103">
        <v>84400</v>
      </c>
      <c r="AB294" s="103">
        <v>121900</v>
      </c>
      <c r="AC294" s="103">
        <v>180500</v>
      </c>
      <c r="AD294" s="103">
        <v>267000</v>
      </c>
      <c r="AE294" s="103">
        <v>395500</v>
      </c>
      <c r="AF294" s="100">
        <v>585000</v>
      </c>
      <c r="AG294" s="100">
        <v>844000</v>
      </c>
      <c r="AH294" s="103">
        <v>1079000</v>
      </c>
      <c r="AI294" s="103">
        <v>1243000</v>
      </c>
      <c r="AJ294" s="103">
        <v>1336000</v>
      </c>
      <c r="AK294" s="100"/>
      <c r="AL294" s="113">
        <v>24997400</v>
      </c>
      <c r="AM294" s="95">
        <v>100000</v>
      </c>
      <c r="AN294" s="95">
        <v>7</v>
      </c>
      <c r="AO294" s="96">
        <v>200000</v>
      </c>
      <c r="AP294" s="96">
        <v>5</v>
      </c>
      <c r="AQ294" s="97">
        <v>600000</v>
      </c>
      <c r="AR294" s="134">
        <v>4</v>
      </c>
      <c r="AS294" s="135"/>
      <c r="AT294" s="135"/>
      <c r="AU294" s="113">
        <v>16400000</v>
      </c>
      <c r="AV294" s="113">
        <v>41397400</v>
      </c>
      <c r="AW294" s="113">
        <v>522</v>
      </c>
      <c r="AX294" s="113"/>
      <c r="AY294" s="113">
        <v>600</v>
      </c>
      <c r="AZ294" s="113"/>
      <c r="BA294" s="113" t="s">
        <v>641</v>
      </c>
      <c r="BB294" s="32"/>
      <c r="BC294" s="32"/>
      <c r="BD294" s="32"/>
      <c r="BE294" s="32"/>
      <c r="BF294" s="32"/>
      <c r="BG294" s="32"/>
      <c r="BH294" s="32"/>
      <c r="BI294" s="32"/>
      <c r="BJ294" s="32"/>
      <c r="BK294" s="32"/>
      <c r="BL294" s="32"/>
      <c r="BM294" s="32"/>
      <c r="BN294" s="32">
        <v>1</v>
      </c>
      <c r="BO294" s="32">
        <v>1</v>
      </c>
      <c r="BP294" s="32">
        <v>1</v>
      </c>
      <c r="BQ294" s="32" t="s">
        <v>940</v>
      </c>
      <c r="BR294" s="32"/>
      <c r="BS294" s="32"/>
      <c r="BT294" s="32">
        <v>1</v>
      </c>
      <c r="BU294" s="32"/>
      <c r="BV294" s="81" t="s">
        <v>1328</v>
      </c>
      <c r="BW294" s="113"/>
      <c r="BX294" s="113"/>
      <c r="BY294" s="113">
        <v>1</v>
      </c>
      <c r="BZ294" s="113">
        <v>0</v>
      </c>
      <c r="CA294" s="113"/>
      <c r="CB294" s="113"/>
      <c r="CC294" s="113"/>
    </row>
    <row r="295" spans="1:81" ht="18">
      <c r="A295" s="109">
        <v>293</v>
      </c>
      <c r="B295" s="110" t="s">
        <v>1329</v>
      </c>
      <c r="C295" s="111" t="s">
        <v>897</v>
      </c>
      <c r="D295" s="110" t="s">
        <v>538</v>
      </c>
      <c r="E295" s="111" t="s">
        <v>896</v>
      </c>
      <c r="F295" s="111" t="s">
        <v>220</v>
      </c>
      <c r="G295" s="26" t="s">
        <v>173</v>
      </c>
      <c r="H295" s="112" t="s">
        <v>926</v>
      </c>
      <c r="I295" s="13">
        <v>4843</v>
      </c>
      <c r="J295" s="14">
        <v>4843</v>
      </c>
      <c r="K295" s="120">
        <v>402.7</v>
      </c>
      <c r="L295" s="121">
        <v>86.51</v>
      </c>
      <c r="M295" s="121">
        <v>62.58</v>
      </c>
      <c r="N295" s="121">
        <v>77.09</v>
      </c>
      <c r="O295" s="15"/>
      <c r="P295" s="42" t="s">
        <v>420</v>
      </c>
      <c r="Q295" s="16" t="s">
        <v>270</v>
      </c>
      <c r="R295" s="16">
        <v>40</v>
      </c>
      <c r="S295" s="16">
        <v>45</v>
      </c>
      <c r="T295" s="16">
        <v>60</v>
      </c>
      <c r="U295" s="16">
        <v>70</v>
      </c>
      <c r="V295" s="16">
        <v>85</v>
      </c>
      <c r="W295" s="109">
        <v>300</v>
      </c>
      <c r="X295" s="103">
        <v>21550</v>
      </c>
      <c r="Y295" s="103">
        <v>35200</v>
      </c>
      <c r="Z295" s="103">
        <v>56300</v>
      </c>
      <c r="AA295" s="103">
        <v>84400</v>
      </c>
      <c r="AB295" s="103">
        <v>121900</v>
      </c>
      <c r="AC295" s="103">
        <v>180500</v>
      </c>
      <c r="AD295" s="103">
        <v>267000</v>
      </c>
      <c r="AE295" s="103">
        <v>395500</v>
      </c>
      <c r="AF295" s="100">
        <v>585000</v>
      </c>
      <c r="AG295" s="100">
        <v>844000</v>
      </c>
      <c r="AH295" s="103">
        <v>1079000</v>
      </c>
      <c r="AI295" s="103">
        <v>1243000</v>
      </c>
      <c r="AJ295" s="103">
        <v>1336000</v>
      </c>
      <c r="AK295" s="100"/>
      <c r="AL295" s="113">
        <v>24997400</v>
      </c>
      <c r="AM295" s="95">
        <v>100000</v>
      </c>
      <c r="AN295" s="95">
        <v>7</v>
      </c>
      <c r="AO295" s="96">
        <v>200000</v>
      </c>
      <c r="AP295" s="96">
        <v>5</v>
      </c>
      <c r="AQ295" s="97">
        <v>600000</v>
      </c>
      <c r="AR295" s="134">
        <v>4</v>
      </c>
      <c r="AS295" s="135"/>
      <c r="AT295" s="135"/>
      <c r="AU295" s="113">
        <v>16400000</v>
      </c>
      <c r="AV295" s="113">
        <v>41397400</v>
      </c>
      <c r="AW295" s="113">
        <v>418</v>
      </c>
      <c r="AX295" s="113"/>
      <c r="AY295" s="113">
        <v>557</v>
      </c>
      <c r="AZ295" s="113"/>
      <c r="BA295" s="113" t="s">
        <v>641</v>
      </c>
      <c r="BB295" s="32"/>
      <c r="BC295" s="32"/>
      <c r="BD295" s="32"/>
      <c r="BE295" s="32"/>
      <c r="BF295" s="32"/>
      <c r="BG295" s="32"/>
      <c r="BH295" s="32"/>
      <c r="BI295" s="32"/>
      <c r="BJ295" s="32"/>
      <c r="BK295" s="32"/>
      <c r="BL295" s="32"/>
      <c r="BM295" s="32"/>
      <c r="BN295" s="32">
        <v>1</v>
      </c>
      <c r="BO295" s="32">
        <v>1</v>
      </c>
      <c r="BP295" s="32">
        <v>1</v>
      </c>
      <c r="BQ295" s="32" t="s">
        <v>800</v>
      </c>
      <c r="BR295" s="32"/>
      <c r="BS295" s="32"/>
      <c r="BT295" s="32"/>
      <c r="BU295" s="32"/>
      <c r="BV295" s="81" t="s">
        <v>1483</v>
      </c>
      <c r="BW295" s="77"/>
      <c r="BX295" s="77"/>
      <c r="BY295" s="113">
        <v>1</v>
      </c>
      <c r="BZ295" s="113">
        <v>9</v>
      </c>
      <c r="CA295" s="113"/>
      <c r="CB295" s="113"/>
      <c r="CC295" s="113"/>
    </row>
    <row r="296" spans="1:81" ht="18">
      <c r="A296" s="109">
        <v>294</v>
      </c>
      <c r="B296" s="110" t="s">
        <v>1330</v>
      </c>
      <c r="C296" s="111" t="s">
        <v>265</v>
      </c>
      <c r="D296" s="110" t="s">
        <v>141</v>
      </c>
      <c r="E296" s="111" t="s">
        <v>388</v>
      </c>
      <c r="F296" s="111" t="s">
        <v>220</v>
      </c>
      <c r="G296" s="26" t="s">
        <v>173</v>
      </c>
      <c r="H296" s="112" t="s">
        <v>543</v>
      </c>
      <c r="I296" s="13">
        <v>4685</v>
      </c>
      <c r="J296" s="14">
        <v>4860</v>
      </c>
      <c r="K296" s="120">
        <v>374</v>
      </c>
      <c r="L296" s="121">
        <v>82.06</v>
      </c>
      <c r="M296" s="121">
        <v>92.32</v>
      </c>
      <c r="N296" s="121">
        <v>81.150000000000006</v>
      </c>
      <c r="O296" s="32">
        <v>9.36</v>
      </c>
      <c r="P296" s="42" t="s">
        <v>420</v>
      </c>
      <c r="Q296" s="16" t="s">
        <v>270</v>
      </c>
      <c r="R296" s="16">
        <v>40</v>
      </c>
      <c r="S296" s="16">
        <v>45</v>
      </c>
      <c r="T296" s="16">
        <v>60</v>
      </c>
      <c r="U296" s="16">
        <v>70</v>
      </c>
      <c r="V296" s="16">
        <v>85</v>
      </c>
      <c r="W296" s="109">
        <v>300</v>
      </c>
      <c r="X296" s="28">
        <v>21550</v>
      </c>
      <c r="Y296" s="28">
        <v>35200</v>
      </c>
      <c r="Z296" s="28">
        <v>56300</v>
      </c>
      <c r="AA296" s="108">
        <v>84400</v>
      </c>
      <c r="AB296" s="108">
        <v>121900</v>
      </c>
      <c r="AC296" s="108">
        <v>180500</v>
      </c>
      <c r="AD296" s="108">
        <v>267000</v>
      </c>
      <c r="AE296" s="108">
        <v>395500</v>
      </c>
      <c r="AF296" s="32">
        <v>585000</v>
      </c>
      <c r="AG296" s="106">
        <v>844000</v>
      </c>
      <c r="AH296" s="108">
        <v>1079000</v>
      </c>
      <c r="AI296" s="108">
        <v>1243000</v>
      </c>
      <c r="AJ296" s="108">
        <v>1336000</v>
      </c>
      <c r="AK296" s="32"/>
      <c r="AL296" s="113">
        <v>24997400</v>
      </c>
      <c r="AM296" s="95">
        <v>100000</v>
      </c>
      <c r="AN296" s="95">
        <v>7</v>
      </c>
      <c r="AO296" s="96">
        <v>200000</v>
      </c>
      <c r="AP296" s="96">
        <v>5</v>
      </c>
      <c r="AQ296" s="97">
        <v>600000</v>
      </c>
      <c r="AR296" s="134">
        <v>4</v>
      </c>
      <c r="AS296" s="135"/>
      <c r="AT296" s="135"/>
      <c r="AU296" s="113">
        <v>16400000</v>
      </c>
      <c r="AV296" s="113">
        <v>41397400</v>
      </c>
      <c r="AW296" s="113">
        <v>389</v>
      </c>
      <c r="AX296" s="113">
        <v>399</v>
      </c>
      <c r="AY296" s="113">
        <v>534</v>
      </c>
      <c r="AZ296" s="113"/>
      <c r="BA296" s="113" t="s">
        <v>636</v>
      </c>
      <c r="BB296" s="32"/>
      <c r="BC296" s="32"/>
      <c r="BD296" s="32"/>
      <c r="BE296" s="32"/>
      <c r="BF296" s="32"/>
      <c r="BG296" s="32"/>
      <c r="BH296" s="32"/>
      <c r="BI296" s="32">
        <v>1</v>
      </c>
      <c r="BJ296" s="32"/>
      <c r="BK296" s="32"/>
      <c r="BL296" s="32"/>
      <c r="BM296" s="32"/>
      <c r="BN296" s="32"/>
      <c r="BO296" s="32">
        <v>1</v>
      </c>
      <c r="BP296" s="32">
        <v>1</v>
      </c>
      <c r="BQ296" s="32" t="s">
        <v>799</v>
      </c>
      <c r="BR296" s="32"/>
      <c r="BS296" s="32"/>
      <c r="BT296" s="32">
        <v>1</v>
      </c>
      <c r="BU296" s="32"/>
      <c r="BV296" s="81" t="s">
        <v>1331</v>
      </c>
      <c r="BW296" s="77" t="s">
        <v>689</v>
      </c>
      <c r="BX296" s="77"/>
      <c r="BY296" s="77"/>
      <c r="BZ296" s="77"/>
      <c r="CA296" s="77"/>
      <c r="CB296" s="113"/>
      <c r="CC296" s="113"/>
    </row>
    <row r="297" spans="1:81" ht="18">
      <c r="A297" s="109">
        <v>295</v>
      </c>
      <c r="B297" s="110" t="s">
        <v>1332</v>
      </c>
      <c r="C297" s="111" t="s">
        <v>552</v>
      </c>
      <c r="D297" s="110" t="s">
        <v>779</v>
      </c>
      <c r="E297" s="111" t="s">
        <v>551</v>
      </c>
      <c r="F297" s="111" t="s">
        <v>220</v>
      </c>
      <c r="G297" s="26" t="s">
        <v>173</v>
      </c>
      <c r="H297" s="112" t="s">
        <v>740</v>
      </c>
      <c r="I297" s="13">
        <v>4863</v>
      </c>
      <c r="J297" s="38">
        <v>4861</v>
      </c>
      <c r="K297" s="130">
        <v>414.8</v>
      </c>
      <c r="L297" s="131">
        <v>89.34</v>
      </c>
      <c r="M297" s="131">
        <v>51.72</v>
      </c>
      <c r="N297" s="131">
        <v>51.29</v>
      </c>
      <c r="O297" s="39"/>
      <c r="P297" s="42" t="s">
        <v>420</v>
      </c>
      <c r="Q297" s="16">
        <v>85</v>
      </c>
      <c r="R297" s="75">
        <v>25</v>
      </c>
      <c r="S297" s="75">
        <v>29</v>
      </c>
      <c r="T297" s="75">
        <v>38</v>
      </c>
      <c r="U297" s="75">
        <v>54</v>
      </c>
      <c r="V297" s="75">
        <v>69</v>
      </c>
      <c r="W297" s="109">
        <v>300</v>
      </c>
      <c r="X297" s="103">
        <v>21550</v>
      </c>
      <c r="Y297" s="103">
        <v>35200</v>
      </c>
      <c r="Z297" s="103">
        <v>56300</v>
      </c>
      <c r="AA297" s="108">
        <v>84400</v>
      </c>
      <c r="AB297" s="108">
        <v>121900</v>
      </c>
      <c r="AC297" s="108">
        <v>180500</v>
      </c>
      <c r="AD297" s="108">
        <v>267000</v>
      </c>
      <c r="AE297" s="108">
        <v>395500</v>
      </c>
      <c r="AF297" s="106">
        <v>585000</v>
      </c>
      <c r="AG297" s="106">
        <v>844000</v>
      </c>
      <c r="AH297" s="108">
        <v>1079000</v>
      </c>
      <c r="AI297" s="108">
        <v>1243000</v>
      </c>
      <c r="AJ297" s="108">
        <v>1336000</v>
      </c>
      <c r="AK297" s="106"/>
      <c r="AL297" s="113">
        <v>24997400</v>
      </c>
      <c r="AM297" s="95">
        <v>100000</v>
      </c>
      <c r="AN297" s="95">
        <v>7</v>
      </c>
      <c r="AO297" s="96">
        <v>200000</v>
      </c>
      <c r="AP297" s="96">
        <v>5</v>
      </c>
      <c r="AQ297" s="97">
        <v>600000</v>
      </c>
      <c r="AR297" s="134">
        <v>4</v>
      </c>
      <c r="AS297" s="135"/>
      <c r="AT297" s="135"/>
      <c r="AU297" s="113">
        <v>16400000</v>
      </c>
      <c r="AV297" s="113">
        <v>41397400</v>
      </c>
      <c r="AW297" s="113">
        <v>435</v>
      </c>
      <c r="AX297" s="113"/>
      <c r="AY297" s="113">
        <v>565</v>
      </c>
      <c r="AZ297" s="113"/>
      <c r="BA297" s="113" t="s">
        <v>639</v>
      </c>
      <c r="BB297" s="32"/>
      <c r="BC297" s="32"/>
      <c r="BD297" s="32"/>
      <c r="BE297" s="32"/>
      <c r="BF297" s="32"/>
      <c r="BG297" s="32"/>
      <c r="BH297" s="32"/>
      <c r="BI297" s="32"/>
      <c r="BJ297" s="32">
        <v>1</v>
      </c>
      <c r="BK297" s="32"/>
      <c r="BL297" s="32">
        <v>1</v>
      </c>
      <c r="BM297" s="32"/>
      <c r="BN297" s="32"/>
      <c r="BO297" s="32"/>
      <c r="BP297" s="32">
        <v>1</v>
      </c>
      <c r="BQ297" s="32"/>
      <c r="BR297" s="32"/>
      <c r="BS297" s="32"/>
      <c r="BT297" s="32">
        <v>1</v>
      </c>
      <c r="BU297" s="32"/>
      <c r="BV297" s="81" t="s">
        <v>552</v>
      </c>
      <c r="BW297" s="113"/>
      <c r="BX297" s="113"/>
      <c r="BY297" s="113"/>
      <c r="BZ297" s="113"/>
      <c r="CA297" s="113"/>
      <c r="CB297" s="113"/>
      <c r="CC297" s="113"/>
    </row>
    <row r="298" spans="1:81" ht="18">
      <c r="A298" s="109">
        <v>296</v>
      </c>
      <c r="B298" s="110" t="s">
        <v>1662</v>
      </c>
      <c r="C298" s="111" t="s">
        <v>1663</v>
      </c>
      <c r="D298" s="110" t="s">
        <v>774</v>
      </c>
      <c r="E298" s="111" t="s">
        <v>1664</v>
      </c>
      <c r="F298" s="111" t="s">
        <v>220</v>
      </c>
      <c r="G298" s="26" t="s">
        <v>173</v>
      </c>
      <c r="H298" s="112" t="s">
        <v>1646</v>
      </c>
      <c r="I298" s="13"/>
      <c r="J298" s="14">
        <v>4868</v>
      </c>
      <c r="K298" s="126">
        <v>430.7</v>
      </c>
      <c r="L298" s="127">
        <v>83.6</v>
      </c>
      <c r="M298" s="127">
        <v>55.64</v>
      </c>
      <c r="N298" s="127">
        <v>51.99</v>
      </c>
      <c r="O298" s="17"/>
      <c r="P298" s="42" t="s">
        <v>420</v>
      </c>
      <c r="Q298" s="37" t="s">
        <v>607</v>
      </c>
      <c r="R298" s="75" t="s">
        <v>607</v>
      </c>
      <c r="S298" s="75" t="s">
        <v>607</v>
      </c>
      <c r="T298" s="75" t="s">
        <v>607</v>
      </c>
      <c r="U298" s="75" t="s">
        <v>607</v>
      </c>
      <c r="V298" s="75" t="s">
        <v>607</v>
      </c>
      <c r="W298" s="109"/>
      <c r="X298" s="28"/>
      <c r="Y298" s="28"/>
      <c r="Z298" s="28"/>
      <c r="AA298" s="108"/>
      <c r="AB298" s="108"/>
      <c r="AC298" s="108"/>
      <c r="AD298" s="108"/>
      <c r="AE298" s="108"/>
      <c r="AF298" s="32"/>
      <c r="AG298" s="32"/>
      <c r="AH298" s="28"/>
      <c r="AI298" s="28"/>
      <c r="AJ298" s="28"/>
      <c r="AK298" s="17"/>
      <c r="AL298" s="113"/>
      <c r="AM298" s="95"/>
      <c r="AN298" s="95"/>
      <c r="AO298" s="96"/>
      <c r="AP298" s="96"/>
      <c r="AQ298" s="97"/>
      <c r="AR298" s="134"/>
      <c r="AS298" s="135"/>
      <c r="AT298" s="135"/>
      <c r="AU298" s="113"/>
      <c r="AV298" s="113"/>
      <c r="AW298" s="113"/>
      <c r="AX298" s="113"/>
      <c r="AY298" s="113"/>
      <c r="AZ298" s="113"/>
      <c r="BA298" s="113" t="s">
        <v>639</v>
      </c>
      <c r="BB298" s="32"/>
      <c r="BC298" s="32"/>
      <c r="BD298" s="32"/>
      <c r="BE298" s="32"/>
      <c r="BF298" s="32"/>
      <c r="BG298" s="32"/>
      <c r="BH298" s="32"/>
      <c r="BI298" s="32"/>
      <c r="BJ298" s="32"/>
      <c r="BK298" s="32"/>
      <c r="BL298" s="32"/>
      <c r="BM298" s="32"/>
      <c r="BN298" s="32"/>
      <c r="BO298" s="32"/>
      <c r="BP298" s="32"/>
      <c r="BQ298" s="32"/>
      <c r="BR298" s="32"/>
      <c r="BS298" s="32"/>
      <c r="BT298" s="32"/>
      <c r="BU298" s="32"/>
      <c r="BV298" s="81"/>
      <c r="BW298" s="113"/>
      <c r="BX298" s="113"/>
      <c r="BY298" s="113"/>
      <c r="BZ298" s="113"/>
      <c r="CA298" s="113"/>
      <c r="CB298" s="113"/>
      <c r="CC298" s="113"/>
    </row>
    <row r="299" spans="1:81" ht="18">
      <c r="A299" s="109">
        <v>297</v>
      </c>
      <c r="B299" s="110" t="s">
        <v>1622</v>
      </c>
      <c r="C299" s="111" t="s">
        <v>1623</v>
      </c>
      <c r="D299" s="110" t="s">
        <v>793</v>
      </c>
      <c r="E299" s="111" t="s">
        <v>1624</v>
      </c>
      <c r="F299" s="111" t="s">
        <v>220</v>
      </c>
      <c r="G299" s="26" t="s">
        <v>173</v>
      </c>
      <c r="H299" s="112" t="s">
        <v>1555</v>
      </c>
      <c r="I299" s="13"/>
      <c r="J299" s="14">
        <v>4880</v>
      </c>
      <c r="K299" s="126">
        <v>439.3</v>
      </c>
      <c r="L299" s="127">
        <v>85.88</v>
      </c>
      <c r="M299" s="127">
        <v>47.8</v>
      </c>
      <c r="N299" s="127">
        <v>46.08</v>
      </c>
      <c r="O299" s="17"/>
      <c r="P299" s="42" t="s">
        <v>420</v>
      </c>
      <c r="Q299" s="37" t="s">
        <v>270</v>
      </c>
      <c r="R299" s="75">
        <v>45</v>
      </c>
      <c r="S299" s="75">
        <v>56</v>
      </c>
      <c r="T299" s="75">
        <v>65</v>
      </c>
      <c r="U299" s="75">
        <v>66</v>
      </c>
      <c r="V299" s="75">
        <v>68</v>
      </c>
      <c r="W299" s="109">
        <v>300</v>
      </c>
      <c r="X299" s="28"/>
      <c r="Y299" s="28"/>
      <c r="Z299" s="28"/>
      <c r="AA299" s="108"/>
      <c r="AB299" s="108"/>
      <c r="AC299" s="108"/>
      <c r="AD299" s="108"/>
      <c r="AE299" s="108"/>
      <c r="AF299" s="32"/>
      <c r="AG299" s="32"/>
      <c r="AH299" s="28"/>
      <c r="AI299" s="28"/>
      <c r="AJ299" s="28"/>
      <c r="AK299" s="17"/>
      <c r="AL299" s="113"/>
      <c r="AM299" s="95"/>
      <c r="AN299" s="95"/>
      <c r="AO299" s="96"/>
      <c r="AP299" s="96"/>
      <c r="AQ299" s="97"/>
      <c r="AR299" s="134"/>
      <c r="AS299" s="135"/>
      <c r="AT299" s="135"/>
      <c r="AU299" s="113"/>
      <c r="AV299" s="113"/>
      <c r="AW299" s="113"/>
      <c r="AX299" s="113"/>
      <c r="AY299" s="113"/>
      <c r="AZ299" s="113"/>
      <c r="BA299" s="113" t="s">
        <v>1000</v>
      </c>
      <c r="BB299" s="32"/>
      <c r="BC299" s="32"/>
      <c r="BD299" s="32"/>
      <c r="BE299" s="32"/>
      <c r="BF299" s="32"/>
      <c r="BG299" s="32"/>
      <c r="BH299" s="32"/>
      <c r="BI299" s="32"/>
      <c r="BJ299" s="32"/>
      <c r="BK299" s="32"/>
      <c r="BL299" s="32"/>
      <c r="BM299" s="32"/>
      <c r="BN299" s="32"/>
      <c r="BO299" s="32"/>
      <c r="BP299" s="32"/>
      <c r="BQ299" s="32"/>
      <c r="BR299" s="32"/>
      <c r="BS299" s="32"/>
      <c r="BT299" s="32"/>
      <c r="BU299" s="32"/>
      <c r="BV299" s="81"/>
      <c r="BW299" s="113"/>
      <c r="BX299" s="113"/>
      <c r="BY299" s="113"/>
      <c r="BZ299" s="113"/>
      <c r="CA299" s="113"/>
      <c r="CB299" s="113"/>
      <c r="CC299" s="113"/>
    </row>
    <row r="300" spans="1:81" ht="18">
      <c r="A300" s="109">
        <v>298</v>
      </c>
      <c r="B300" s="110" t="s">
        <v>1333</v>
      </c>
      <c r="C300" s="111" t="s">
        <v>272</v>
      </c>
      <c r="D300" s="110" t="s">
        <v>780</v>
      </c>
      <c r="E300" s="111" t="s">
        <v>392</v>
      </c>
      <c r="F300" s="111" t="s">
        <v>220</v>
      </c>
      <c r="G300" s="26" t="s">
        <v>173</v>
      </c>
      <c r="H300" s="112" t="s">
        <v>301</v>
      </c>
      <c r="I300" s="13">
        <v>4897</v>
      </c>
      <c r="J300" s="14">
        <v>4897</v>
      </c>
      <c r="K300" s="126">
        <v>421.6</v>
      </c>
      <c r="L300" s="127">
        <v>87.71</v>
      </c>
      <c r="M300" s="127">
        <v>51.33</v>
      </c>
      <c r="N300" s="127">
        <v>56.51</v>
      </c>
      <c r="O300" s="17">
        <v>5</v>
      </c>
      <c r="P300" s="42" t="s">
        <v>420</v>
      </c>
      <c r="Q300" s="16" t="s">
        <v>270</v>
      </c>
      <c r="R300" s="16">
        <v>40</v>
      </c>
      <c r="S300" s="16">
        <v>45</v>
      </c>
      <c r="T300" s="16">
        <v>60</v>
      </c>
      <c r="U300" s="16">
        <v>70</v>
      </c>
      <c r="V300" s="16">
        <v>85</v>
      </c>
      <c r="W300" s="109">
        <v>300</v>
      </c>
      <c r="X300" s="28">
        <v>21550</v>
      </c>
      <c r="Y300" s="28">
        <v>35200</v>
      </c>
      <c r="Z300" s="28">
        <v>56300</v>
      </c>
      <c r="AA300" s="108">
        <v>84400</v>
      </c>
      <c r="AB300" s="108">
        <v>121900</v>
      </c>
      <c r="AC300" s="108">
        <v>180500</v>
      </c>
      <c r="AD300" s="108">
        <v>267000</v>
      </c>
      <c r="AE300" s="108">
        <v>395500</v>
      </c>
      <c r="AF300" s="32">
        <v>585000</v>
      </c>
      <c r="AG300" s="32">
        <v>844000</v>
      </c>
      <c r="AH300" s="28">
        <v>1079000</v>
      </c>
      <c r="AI300" s="28">
        <v>1243000</v>
      </c>
      <c r="AJ300" s="28">
        <v>1336000</v>
      </c>
      <c r="AK300" s="17"/>
      <c r="AL300" s="113">
        <v>24997400</v>
      </c>
      <c r="AM300" s="95">
        <v>100000</v>
      </c>
      <c r="AN300" s="95">
        <v>7</v>
      </c>
      <c r="AO300" s="96">
        <v>200000</v>
      </c>
      <c r="AP300" s="96">
        <v>5</v>
      </c>
      <c r="AQ300" s="97">
        <v>600000</v>
      </c>
      <c r="AR300" s="134">
        <v>4</v>
      </c>
      <c r="AS300" s="135"/>
      <c r="AT300" s="135"/>
      <c r="AU300" s="113">
        <v>16400000</v>
      </c>
      <c r="AV300" s="113">
        <v>41397400</v>
      </c>
      <c r="AW300" s="113">
        <v>444</v>
      </c>
      <c r="AX300" s="113"/>
      <c r="AY300" s="113">
        <v>569</v>
      </c>
      <c r="AZ300" s="113"/>
      <c r="BA300" s="113" t="s">
        <v>641</v>
      </c>
      <c r="BB300" s="32"/>
      <c r="BC300" s="32"/>
      <c r="BD300" s="32"/>
      <c r="BE300" s="32"/>
      <c r="BF300" s="32"/>
      <c r="BG300" s="32"/>
      <c r="BH300" s="32"/>
      <c r="BI300" s="32"/>
      <c r="BJ300" s="32"/>
      <c r="BK300" s="32"/>
      <c r="BL300" s="32"/>
      <c r="BM300" s="32"/>
      <c r="BN300" s="32">
        <v>1</v>
      </c>
      <c r="BO300" s="32">
        <v>1</v>
      </c>
      <c r="BP300" s="32">
        <v>1</v>
      </c>
      <c r="BQ300" s="32" t="s">
        <v>940</v>
      </c>
      <c r="BR300" s="32"/>
      <c r="BS300" s="32"/>
      <c r="BT300" s="32">
        <v>1</v>
      </c>
      <c r="BU300" s="32"/>
      <c r="BV300" s="81" t="s">
        <v>1334</v>
      </c>
      <c r="BW300" s="113"/>
      <c r="BX300" s="113"/>
      <c r="BY300" s="113">
        <v>1</v>
      </c>
      <c r="BZ300" s="113">
        <v>0</v>
      </c>
      <c r="CA300" s="113"/>
      <c r="CB300" s="113"/>
      <c r="CC300" s="113"/>
    </row>
    <row r="301" spans="1:81" ht="18">
      <c r="A301" s="109">
        <v>299</v>
      </c>
      <c r="B301" s="110" t="s">
        <v>1335</v>
      </c>
      <c r="C301" s="111" t="s">
        <v>295</v>
      </c>
      <c r="D301" s="110" t="s">
        <v>781</v>
      </c>
      <c r="E301" s="111" t="s">
        <v>393</v>
      </c>
      <c r="F301" s="111" t="s">
        <v>220</v>
      </c>
      <c r="G301" s="26" t="s">
        <v>173</v>
      </c>
      <c r="H301" s="112" t="s">
        <v>670</v>
      </c>
      <c r="I301" s="13">
        <v>4969</v>
      </c>
      <c r="J301" s="14">
        <v>4930</v>
      </c>
      <c r="K301" s="126">
        <v>487</v>
      </c>
      <c r="L301" s="127">
        <v>82.51</v>
      </c>
      <c r="M301" s="127">
        <v>48.74</v>
      </c>
      <c r="N301" s="127">
        <v>62.05</v>
      </c>
      <c r="O301" s="17">
        <v>5.17</v>
      </c>
      <c r="P301" s="42" t="s">
        <v>420</v>
      </c>
      <c r="Q301" s="75">
        <v>40</v>
      </c>
      <c r="R301" s="75">
        <v>45</v>
      </c>
      <c r="S301" s="75">
        <v>55</v>
      </c>
      <c r="T301" s="75">
        <v>48</v>
      </c>
      <c r="U301" s="75">
        <v>56</v>
      </c>
      <c r="V301" s="75">
        <v>56</v>
      </c>
      <c r="W301" s="109">
        <v>300</v>
      </c>
      <c r="X301" s="96">
        <v>27600</v>
      </c>
      <c r="Y301" s="96">
        <v>45000</v>
      </c>
      <c r="Z301" s="96">
        <v>72000</v>
      </c>
      <c r="AA301" s="94">
        <v>108100</v>
      </c>
      <c r="AB301" s="94">
        <v>156100</v>
      </c>
      <c r="AC301" s="94">
        <v>231000</v>
      </c>
      <c r="AD301" s="94"/>
      <c r="AE301" s="94"/>
      <c r="AF301" s="94">
        <v>749000</v>
      </c>
      <c r="AG301" s="94">
        <v>1081000</v>
      </c>
      <c r="AH301" s="94"/>
      <c r="AI301" s="94"/>
      <c r="AJ301" s="94"/>
      <c r="AK301" s="32"/>
      <c r="AL301" s="113"/>
      <c r="AM301" s="95">
        <v>100000</v>
      </c>
      <c r="AN301" s="95">
        <v>7</v>
      </c>
      <c r="AO301" s="96">
        <v>200000</v>
      </c>
      <c r="AP301" s="96">
        <v>5</v>
      </c>
      <c r="AQ301" s="97">
        <v>600000</v>
      </c>
      <c r="AR301" s="134">
        <v>4</v>
      </c>
      <c r="AS301" s="135"/>
      <c r="AT301" s="135"/>
      <c r="AU301" s="113">
        <v>16400000</v>
      </c>
      <c r="AV301" s="113"/>
      <c r="AW301" s="113">
        <v>512</v>
      </c>
      <c r="AX301" s="113"/>
      <c r="AY301" s="113">
        <v>599</v>
      </c>
      <c r="AZ301" s="113"/>
      <c r="BA301" s="113" t="s">
        <v>708</v>
      </c>
      <c r="BB301" s="32"/>
      <c r="BC301" s="32"/>
      <c r="BD301" s="32"/>
      <c r="BE301" s="32"/>
      <c r="BF301" s="32"/>
      <c r="BG301" s="32"/>
      <c r="BH301" s="32"/>
      <c r="BI301" s="32"/>
      <c r="BJ301" s="32">
        <v>1</v>
      </c>
      <c r="BK301" s="32"/>
      <c r="BL301" s="32"/>
      <c r="BM301" s="32"/>
      <c r="BN301" s="32"/>
      <c r="BO301" s="32"/>
      <c r="BP301" s="32">
        <v>1</v>
      </c>
      <c r="BQ301" s="32" t="s">
        <v>799</v>
      </c>
      <c r="BR301" s="32"/>
      <c r="BS301" s="32"/>
      <c r="BT301" s="32">
        <v>1</v>
      </c>
      <c r="BU301" s="32"/>
      <c r="BV301" s="81" t="s">
        <v>295</v>
      </c>
      <c r="BW301" s="113"/>
      <c r="BX301" s="113"/>
      <c r="BY301" s="113"/>
      <c r="BZ301" s="113"/>
      <c r="CA301" s="32"/>
      <c r="CB301" s="32"/>
      <c r="CC301" s="32"/>
    </row>
    <row r="302" spans="1:81" ht="18">
      <c r="A302" s="109">
        <v>300</v>
      </c>
      <c r="B302" s="33" t="s">
        <v>1336</v>
      </c>
      <c r="C302" s="34" t="s">
        <v>1337</v>
      </c>
      <c r="D302" s="33" t="s">
        <v>262</v>
      </c>
      <c r="E302" s="34" t="s">
        <v>923</v>
      </c>
      <c r="F302" s="34" t="s">
        <v>220</v>
      </c>
      <c r="G302" s="26" t="s">
        <v>173</v>
      </c>
      <c r="H302" s="35" t="s">
        <v>937</v>
      </c>
      <c r="I302" s="13">
        <v>4940</v>
      </c>
      <c r="J302" s="14">
        <v>4940</v>
      </c>
      <c r="K302" s="126">
        <v>484.8</v>
      </c>
      <c r="L302" s="127">
        <v>79.67</v>
      </c>
      <c r="M302" s="127">
        <v>60.03</v>
      </c>
      <c r="N302" s="127">
        <v>58.86</v>
      </c>
      <c r="O302" s="17">
        <v>4.75</v>
      </c>
      <c r="P302" s="42" t="s">
        <v>420</v>
      </c>
      <c r="Q302" s="37">
        <v>85</v>
      </c>
      <c r="R302" s="75">
        <v>40</v>
      </c>
      <c r="S302" s="75">
        <v>48</v>
      </c>
      <c r="T302" s="75">
        <v>50</v>
      </c>
      <c r="U302" s="75">
        <v>52</v>
      </c>
      <c r="V302" s="75">
        <v>55</v>
      </c>
      <c r="W302" s="28">
        <v>330</v>
      </c>
      <c r="X302" s="94">
        <v>80000</v>
      </c>
      <c r="Y302" s="94">
        <v>100000</v>
      </c>
      <c r="Z302" s="94">
        <v>140000</v>
      </c>
      <c r="AA302" s="94">
        <v>200000</v>
      </c>
      <c r="AB302" s="94">
        <v>280000</v>
      </c>
      <c r="AC302" s="94">
        <v>380000</v>
      </c>
      <c r="AD302" s="94">
        <v>520000</v>
      </c>
      <c r="AE302" s="94">
        <v>680000</v>
      </c>
      <c r="AF302" s="94">
        <v>880000</v>
      </c>
      <c r="AG302" s="94">
        <v>1060000</v>
      </c>
      <c r="AH302" s="105">
        <v>1381000</v>
      </c>
      <c r="AI302" s="105">
        <v>1591000</v>
      </c>
      <c r="AJ302" s="94">
        <v>1280000</v>
      </c>
      <c r="AK302" s="32"/>
      <c r="AL302" s="113">
        <v>34288000</v>
      </c>
      <c r="AM302" s="95">
        <v>100000</v>
      </c>
      <c r="AN302" s="95">
        <v>8</v>
      </c>
      <c r="AO302" s="96">
        <v>200000</v>
      </c>
      <c r="AP302" s="96">
        <v>6</v>
      </c>
      <c r="AQ302" s="97">
        <v>600000</v>
      </c>
      <c r="AR302" s="134">
        <v>5</v>
      </c>
      <c r="AS302" s="135"/>
      <c r="AT302" s="135"/>
      <c r="AU302" s="32">
        <v>20000000</v>
      </c>
      <c r="AV302" s="32">
        <v>54288000</v>
      </c>
      <c r="AW302" s="32">
        <v>510</v>
      </c>
      <c r="AX302" s="32"/>
      <c r="AY302" s="32">
        <v>598</v>
      </c>
      <c r="AZ302" s="32"/>
      <c r="BA302" s="113" t="s">
        <v>639</v>
      </c>
      <c r="BB302" s="32"/>
      <c r="BC302" s="32"/>
      <c r="BD302" s="32"/>
      <c r="BE302" s="32"/>
      <c r="BF302" s="32"/>
      <c r="BG302" s="32"/>
      <c r="BH302" s="32"/>
      <c r="BI302" s="32"/>
      <c r="BJ302" s="32"/>
      <c r="BK302" s="32"/>
      <c r="BL302" s="32">
        <v>1</v>
      </c>
      <c r="BM302" s="32"/>
      <c r="BN302" s="32"/>
      <c r="BO302" s="32"/>
      <c r="BP302" s="32"/>
      <c r="BQ302" s="32"/>
      <c r="BR302" s="32"/>
      <c r="BS302" s="32"/>
      <c r="BT302" s="32"/>
      <c r="BU302" s="32"/>
      <c r="BV302" s="81" t="s">
        <v>938</v>
      </c>
      <c r="BW302" s="32"/>
      <c r="BX302" s="32"/>
      <c r="BY302" s="32"/>
      <c r="BZ302" s="32"/>
      <c r="CA302" s="113"/>
      <c r="CB302" s="113"/>
      <c r="CC302" s="113"/>
    </row>
    <row r="303" spans="1:81" ht="18">
      <c r="A303" s="109">
        <v>301</v>
      </c>
      <c r="B303" s="110" t="s">
        <v>1470</v>
      </c>
      <c r="C303" s="111" t="s">
        <v>1471</v>
      </c>
      <c r="D303" s="110" t="s">
        <v>1471</v>
      </c>
      <c r="E303" s="111" t="s">
        <v>1472</v>
      </c>
      <c r="F303" s="34" t="s">
        <v>220</v>
      </c>
      <c r="G303" s="26" t="s">
        <v>173</v>
      </c>
      <c r="H303" s="112" t="s">
        <v>1443</v>
      </c>
      <c r="I303" s="13"/>
      <c r="J303" s="14">
        <v>4955</v>
      </c>
      <c r="K303" s="126">
        <v>414.5</v>
      </c>
      <c r="L303" s="127">
        <v>78.040000000000006</v>
      </c>
      <c r="M303" s="127">
        <v>75.86</v>
      </c>
      <c r="N303" s="127">
        <v>84.58</v>
      </c>
      <c r="O303" s="36"/>
      <c r="P303" s="42" t="s">
        <v>420</v>
      </c>
      <c r="Q303" s="17">
        <v>60</v>
      </c>
      <c r="R303" s="75">
        <v>35</v>
      </c>
      <c r="S303" s="75">
        <v>40</v>
      </c>
      <c r="T303" s="75">
        <v>50</v>
      </c>
      <c r="U303" s="75">
        <v>55</v>
      </c>
      <c r="V303" s="75">
        <v>60</v>
      </c>
      <c r="W303" s="28">
        <v>300</v>
      </c>
      <c r="X303" s="96">
        <v>22000</v>
      </c>
      <c r="Y303" s="96">
        <v>36000</v>
      </c>
      <c r="Z303" s="96">
        <v>56000</v>
      </c>
      <c r="AA303" s="94">
        <v>85000</v>
      </c>
      <c r="AB303" s="94">
        <v>122000</v>
      </c>
      <c r="AC303" s="94">
        <v>180000</v>
      </c>
      <c r="AD303" s="94">
        <v>267000</v>
      </c>
      <c r="AE303" s="94">
        <v>395000</v>
      </c>
      <c r="AF303" s="32">
        <v>585000</v>
      </c>
      <c r="AG303" s="32">
        <v>844000</v>
      </c>
      <c r="AH303" s="28">
        <v>1079000</v>
      </c>
      <c r="AI303" s="28">
        <v>1243000</v>
      </c>
      <c r="AJ303" s="94"/>
      <c r="AK303" s="32"/>
      <c r="AL303" s="113"/>
      <c r="AM303" s="95"/>
      <c r="AN303" s="95"/>
      <c r="AO303" s="96"/>
      <c r="AP303" s="96"/>
      <c r="AQ303" s="97"/>
      <c r="AR303" s="134"/>
      <c r="AS303" s="135"/>
      <c r="AT303" s="135"/>
      <c r="AU303" s="113"/>
      <c r="AV303" s="113"/>
      <c r="AW303" s="113">
        <v>435</v>
      </c>
      <c r="AX303" s="113"/>
      <c r="AY303" s="113">
        <v>565</v>
      </c>
      <c r="AZ303" s="113"/>
      <c r="BA303" s="113" t="s">
        <v>639</v>
      </c>
      <c r="BB303" s="32"/>
      <c r="BC303" s="32"/>
      <c r="BD303" s="32"/>
      <c r="BE303" s="32"/>
      <c r="BF303" s="32"/>
      <c r="BG303" s="32"/>
      <c r="BH303" s="32"/>
      <c r="BI303" s="32"/>
      <c r="BJ303" s="32"/>
      <c r="BK303" s="32"/>
      <c r="BL303" s="32"/>
      <c r="BM303" s="32"/>
      <c r="BN303" s="32"/>
      <c r="BO303" s="32"/>
      <c r="BP303" s="32"/>
      <c r="BQ303" s="32"/>
      <c r="BR303" s="32"/>
      <c r="BS303" s="32"/>
      <c r="BT303" s="32"/>
      <c r="BU303" s="32"/>
      <c r="BV303" s="81" t="s">
        <v>1473</v>
      </c>
      <c r="BW303" s="113"/>
      <c r="BX303" s="113"/>
      <c r="BY303" s="113"/>
      <c r="BZ303" s="113"/>
      <c r="CA303" s="113"/>
      <c r="CB303" s="113"/>
      <c r="CC303" s="113"/>
    </row>
    <row r="304" spans="1:81" ht="18">
      <c r="A304" s="109">
        <v>302</v>
      </c>
      <c r="B304" s="110" t="s">
        <v>1549</v>
      </c>
      <c r="C304" s="111" t="s">
        <v>1550</v>
      </c>
      <c r="D304" s="110" t="s">
        <v>804</v>
      </c>
      <c r="E304" s="111" t="s">
        <v>1551</v>
      </c>
      <c r="F304" s="34" t="s">
        <v>220</v>
      </c>
      <c r="G304" s="26" t="s">
        <v>173</v>
      </c>
      <c r="H304" s="112" t="s">
        <v>1529</v>
      </c>
      <c r="I304" s="13"/>
      <c r="J304" s="14">
        <v>4963</v>
      </c>
      <c r="K304" s="126">
        <v>468.4</v>
      </c>
      <c r="L304" s="127">
        <v>78.540000000000006</v>
      </c>
      <c r="M304" s="127">
        <v>47.88</v>
      </c>
      <c r="N304" s="127">
        <v>46.91</v>
      </c>
      <c r="O304" s="36"/>
      <c r="P304" s="42" t="s">
        <v>420</v>
      </c>
      <c r="Q304" s="37" t="s">
        <v>270</v>
      </c>
      <c r="R304" s="75">
        <v>38</v>
      </c>
      <c r="S304" s="75">
        <v>48</v>
      </c>
      <c r="T304" s="75">
        <v>58</v>
      </c>
      <c r="U304" s="75">
        <v>68</v>
      </c>
      <c r="V304" s="75">
        <v>88</v>
      </c>
      <c r="W304" s="109">
        <v>300</v>
      </c>
      <c r="X304" s="94"/>
      <c r="Y304" s="94"/>
      <c r="Z304" s="94"/>
      <c r="AA304" s="94"/>
      <c r="AB304" s="94"/>
      <c r="AC304" s="94"/>
      <c r="AD304" s="94"/>
      <c r="AE304" s="94"/>
      <c r="AF304" s="32"/>
      <c r="AG304" s="32"/>
      <c r="AH304" s="32"/>
      <c r="AI304" s="32"/>
      <c r="AJ304" s="94"/>
      <c r="AK304" s="32"/>
      <c r="AL304" s="113"/>
      <c r="AM304" s="95"/>
      <c r="AN304" s="95"/>
      <c r="AO304" s="96"/>
      <c r="AP304" s="96"/>
      <c r="AQ304" s="97"/>
      <c r="AR304" s="134"/>
      <c r="AS304" s="135"/>
      <c r="AT304" s="135"/>
      <c r="AU304" s="113"/>
      <c r="AV304" s="113"/>
      <c r="AW304" s="113"/>
      <c r="AX304" s="113"/>
      <c r="AY304" s="113"/>
      <c r="AZ304" s="113"/>
      <c r="BA304" s="113" t="s">
        <v>1000</v>
      </c>
      <c r="BB304" s="32"/>
      <c r="BC304" s="32"/>
      <c r="BD304" s="32"/>
      <c r="BE304" s="32"/>
      <c r="BF304" s="32"/>
      <c r="BG304" s="32"/>
      <c r="BH304" s="32"/>
      <c r="BI304" s="32"/>
      <c r="BJ304" s="32"/>
      <c r="BK304" s="32"/>
      <c r="BL304" s="32"/>
      <c r="BM304" s="32"/>
      <c r="BN304" s="32"/>
      <c r="BO304" s="32"/>
      <c r="BP304" s="32"/>
      <c r="BQ304" s="32"/>
      <c r="BR304" s="32"/>
      <c r="BS304" s="32"/>
      <c r="BT304" s="32"/>
      <c r="BU304" s="32"/>
      <c r="BV304" s="81"/>
      <c r="BW304" s="113"/>
      <c r="BX304" s="113"/>
      <c r="BY304" s="113"/>
      <c r="BZ304" s="113"/>
      <c r="CA304" s="113"/>
      <c r="CB304" s="113"/>
      <c r="CC304" s="113"/>
    </row>
    <row r="305" spans="1:81" ht="18">
      <c r="A305" s="109">
        <v>303</v>
      </c>
      <c r="B305" s="110" t="s">
        <v>1338</v>
      </c>
      <c r="C305" s="111" t="s">
        <v>931</v>
      </c>
      <c r="D305" s="110" t="s">
        <v>1270</v>
      </c>
      <c r="E305" s="111" t="s">
        <v>898</v>
      </c>
      <c r="F305" s="111" t="s">
        <v>220</v>
      </c>
      <c r="G305" s="26" t="s">
        <v>173</v>
      </c>
      <c r="H305" s="112" t="s">
        <v>926</v>
      </c>
      <c r="I305" s="13">
        <v>4977</v>
      </c>
      <c r="J305" s="14">
        <v>4977</v>
      </c>
      <c r="K305" s="126">
        <v>445.8</v>
      </c>
      <c r="L305" s="127">
        <v>86.33</v>
      </c>
      <c r="M305" s="127">
        <v>61.08</v>
      </c>
      <c r="N305" s="127">
        <v>29.38</v>
      </c>
      <c r="O305" s="36"/>
      <c r="P305" s="42" t="s">
        <v>420</v>
      </c>
      <c r="Q305" s="37" t="s">
        <v>270</v>
      </c>
      <c r="R305" s="37">
        <v>38</v>
      </c>
      <c r="S305" s="37" t="s">
        <v>607</v>
      </c>
      <c r="T305" s="37" t="s">
        <v>607</v>
      </c>
      <c r="U305" s="37" t="s">
        <v>607</v>
      </c>
      <c r="V305" s="37" t="s">
        <v>607</v>
      </c>
      <c r="W305" s="109"/>
      <c r="X305" s="94"/>
      <c r="Y305" s="94"/>
      <c r="Z305" s="94"/>
      <c r="AA305" s="94"/>
      <c r="AB305" s="94"/>
      <c r="AC305" s="94"/>
      <c r="AD305" s="94"/>
      <c r="AE305" s="94"/>
      <c r="AF305" s="94"/>
      <c r="AG305" s="94"/>
      <c r="AH305" s="94"/>
      <c r="AI305" s="94"/>
      <c r="AJ305" s="94"/>
      <c r="AK305" s="32"/>
      <c r="AL305" s="113"/>
      <c r="AM305" s="95"/>
      <c r="AN305" s="95"/>
      <c r="AO305" s="96"/>
      <c r="AP305" s="96"/>
      <c r="AQ305" s="97"/>
      <c r="AR305" s="134"/>
      <c r="AS305" s="135"/>
      <c r="AT305" s="135"/>
      <c r="AU305" s="113"/>
      <c r="AV305" s="113"/>
      <c r="AW305" s="113"/>
      <c r="AX305" s="113"/>
      <c r="AY305" s="113">
        <v>581</v>
      </c>
      <c r="AZ305" s="113"/>
      <c r="BA305" s="113" t="s">
        <v>641</v>
      </c>
      <c r="BB305" s="32"/>
      <c r="BC305" s="32"/>
      <c r="BD305" s="32"/>
      <c r="BE305" s="32"/>
      <c r="BF305" s="32"/>
      <c r="BG305" s="32"/>
      <c r="BH305" s="32"/>
      <c r="BI305" s="32"/>
      <c r="BJ305" s="32"/>
      <c r="BK305" s="32"/>
      <c r="BL305" s="32"/>
      <c r="BM305" s="32"/>
      <c r="BN305" s="32">
        <v>1</v>
      </c>
      <c r="BO305" s="32"/>
      <c r="BP305" s="32"/>
      <c r="BQ305" s="32"/>
      <c r="BR305" s="32"/>
      <c r="BS305" s="32"/>
      <c r="BT305" s="32"/>
      <c r="BU305" s="32"/>
      <c r="BV305" s="81" t="s">
        <v>222</v>
      </c>
      <c r="BW305" s="113"/>
      <c r="BX305" s="113"/>
      <c r="BY305" s="113"/>
      <c r="BZ305" s="113"/>
      <c r="CA305" s="113"/>
      <c r="CB305" s="113"/>
      <c r="CC305" s="113"/>
    </row>
    <row r="306" spans="1:81" ht="18">
      <c r="A306" s="109">
        <v>304</v>
      </c>
      <c r="B306" s="110" t="s">
        <v>1339</v>
      </c>
      <c r="C306" s="111" t="s">
        <v>1006</v>
      </c>
      <c r="D306" s="110" t="s">
        <v>262</v>
      </c>
      <c r="E306" s="111" t="s">
        <v>1007</v>
      </c>
      <c r="F306" s="111" t="s">
        <v>220</v>
      </c>
      <c r="G306" s="26" t="s">
        <v>173</v>
      </c>
      <c r="H306" s="112" t="s">
        <v>992</v>
      </c>
      <c r="I306" s="13">
        <v>4998</v>
      </c>
      <c r="J306" s="14">
        <v>4998</v>
      </c>
      <c r="K306" s="126">
        <v>412.2</v>
      </c>
      <c r="L306" s="127">
        <v>79.400000000000006</v>
      </c>
      <c r="M306" s="127">
        <v>79.09</v>
      </c>
      <c r="N306" s="127">
        <v>71.510000000000005</v>
      </c>
      <c r="O306" s="36"/>
      <c r="P306" s="42" t="s">
        <v>420</v>
      </c>
      <c r="Q306" s="37" t="s">
        <v>270</v>
      </c>
      <c r="R306" s="37">
        <v>45</v>
      </c>
      <c r="S306" s="37">
        <v>56</v>
      </c>
      <c r="T306" s="37">
        <v>65</v>
      </c>
      <c r="U306" s="37">
        <v>66</v>
      </c>
      <c r="V306" s="37">
        <v>68</v>
      </c>
      <c r="W306" s="109">
        <v>300</v>
      </c>
      <c r="X306" s="94">
        <v>22000</v>
      </c>
      <c r="Y306" s="94">
        <v>36000</v>
      </c>
      <c r="Z306" s="94">
        <v>56000</v>
      </c>
      <c r="AA306" s="94">
        <v>85000</v>
      </c>
      <c r="AB306" s="94">
        <v>122000</v>
      </c>
      <c r="AC306" s="94">
        <v>180000</v>
      </c>
      <c r="AD306" s="108">
        <v>267000</v>
      </c>
      <c r="AE306" s="108">
        <v>395000</v>
      </c>
      <c r="AF306" s="106">
        <v>585000</v>
      </c>
      <c r="AG306" s="106">
        <v>844000</v>
      </c>
      <c r="AH306" s="108">
        <v>1079000</v>
      </c>
      <c r="AI306" s="108">
        <v>1243000</v>
      </c>
      <c r="AJ306" s="94"/>
      <c r="AK306" s="32"/>
      <c r="AL306" s="113"/>
      <c r="AM306" s="95">
        <v>100000</v>
      </c>
      <c r="AN306" s="95">
        <v>7</v>
      </c>
      <c r="AO306" s="96">
        <v>200000</v>
      </c>
      <c r="AP306" s="96">
        <v>5</v>
      </c>
      <c r="AQ306" s="97">
        <v>600000</v>
      </c>
      <c r="AR306" s="134">
        <v>4</v>
      </c>
      <c r="AS306" s="135"/>
      <c r="AT306" s="135"/>
      <c r="AU306" s="113"/>
      <c r="AV306" s="113"/>
      <c r="AW306" s="113">
        <v>432</v>
      </c>
      <c r="AX306" s="113"/>
      <c r="AY306" s="113">
        <v>563</v>
      </c>
      <c r="AZ306" s="113"/>
      <c r="BA306" s="113" t="s">
        <v>639</v>
      </c>
      <c r="BB306" s="32"/>
      <c r="BC306" s="32"/>
      <c r="BD306" s="32"/>
      <c r="BE306" s="32"/>
      <c r="BF306" s="32"/>
      <c r="BG306" s="32"/>
      <c r="BH306" s="32"/>
      <c r="BI306" s="32"/>
      <c r="BJ306" s="32"/>
      <c r="BK306" s="32"/>
      <c r="BL306" s="32">
        <v>1</v>
      </c>
      <c r="BM306" s="32"/>
      <c r="BN306" s="32"/>
      <c r="BO306" s="32">
        <v>1</v>
      </c>
      <c r="BP306" s="32"/>
      <c r="BQ306" s="32"/>
      <c r="BR306" s="32"/>
      <c r="BS306" s="32"/>
      <c r="BT306" s="32"/>
      <c r="BU306" s="32"/>
      <c r="BV306" s="81" t="s">
        <v>938</v>
      </c>
      <c r="BW306" s="113"/>
      <c r="BX306" s="113"/>
      <c r="BY306" s="113">
        <v>1</v>
      </c>
      <c r="BZ306" s="113">
        <v>9</v>
      </c>
      <c r="CA306" s="113"/>
      <c r="CB306" s="113"/>
      <c r="CC306" s="113"/>
    </row>
    <row r="307" spans="1:81" ht="18">
      <c r="A307" s="109">
        <v>305</v>
      </c>
      <c r="B307" s="110" t="s">
        <v>1665</v>
      </c>
      <c r="C307" s="111" t="s">
        <v>1666</v>
      </c>
      <c r="D307" s="110" t="s">
        <v>854</v>
      </c>
      <c r="E307" s="111" t="s">
        <v>1667</v>
      </c>
      <c r="F307" s="111" t="s">
        <v>220</v>
      </c>
      <c r="G307" s="26" t="s">
        <v>173</v>
      </c>
      <c r="H307" s="112" t="s">
        <v>1646</v>
      </c>
      <c r="I307" s="13"/>
      <c r="J307" s="14">
        <v>5025</v>
      </c>
      <c r="K307" s="126">
        <v>491.5</v>
      </c>
      <c r="L307" s="127">
        <v>86.23</v>
      </c>
      <c r="M307" s="127">
        <v>46.43</v>
      </c>
      <c r="N307" s="127">
        <v>35.369999999999997</v>
      </c>
      <c r="O307" s="36"/>
      <c r="P307" s="42" t="s">
        <v>420</v>
      </c>
      <c r="Q307" s="16" t="s">
        <v>270</v>
      </c>
      <c r="R307" s="75" t="s">
        <v>607</v>
      </c>
      <c r="S307" s="75" t="s">
        <v>607</v>
      </c>
      <c r="T307" s="75" t="s">
        <v>607</v>
      </c>
      <c r="U307" s="75" t="s">
        <v>607</v>
      </c>
      <c r="V307" s="75" t="s">
        <v>607</v>
      </c>
      <c r="W307" s="109"/>
      <c r="X307" s="96"/>
      <c r="Y307" s="96"/>
      <c r="Z307" s="96"/>
      <c r="AA307" s="96"/>
      <c r="AB307" s="96"/>
      <c r="AC307" s="96"/>
      <c r="AD307" s="100"/>
      <c r="AE307" s="100"/>
      <c r="AF307" s="32"/>
      <c r="AG307" s="32"/>
      <c r="AH307" s="32"/>
      <c r="AI307" s="32"/>
      <c r="AJ307" s="94"/>
      <c r="AK307" s="32"/>
      <c r="AL307" s="113"/>
      <c r="AM307" s="95"/>
      <c r="AN307" s="95"/>
      <c r="AO307" s="96"/>
      <c r="AP307" s="96"/>
      <c r="AQ307" s="97"/>
      <c r="AR307" s="134"/>
      <c r="AS307" s="135"/>
      <c r="AT307" s="135"/>
      <c r="AU307" s="32"/>
      <c r="AV307" s="32"/>
      <c r="AW307" s="113"/>
      <c r="AX307" s="113"/>
      <c r="AY307" s="113"/>
      <c r="AZ307" s="113"/>
      <c r="BA307" s="113" t="s">
        <v>1000</v>
      </c>
      <c r="BB307" s="32"/>
      <c r="BC307" s="32"/>
      <c r="BD307" s="32"/>
      <c r="BE307" s="32"/>
      <c r="BF307" s="32"/>
      <c r="BG307" s="32"/>
      <c r="BH307" s="32"/>
      <c r="BI307" s="32"/>
      <c r="BJ307" s="32"/>
      <c r="BK307" s="32"/>
      <c r="BL307" s="32"/>
      <c r="BM307" s="32"/>
      <c r="BN307" s="32"/>
      <c r="BO307" s="32"/>
      <c r="BP307" s="32"/>
      <c r="BQ307" s="32"/>
      <c r="BR307" s="32"/>
      <c r="BS307" s="32"/>
      <c r="BT307" s="32"/>
      <c r="BU307" s="32"/>
      <c r="BV307" s="81"/>
      <c r="BW307" s="113"/>
      <c r="BX307" s="113"/>
      <c r="BY307" s="113"/>
      <c r="BZ307" s="113"/>
      <c r="CA307" s="113"/>
      <c r="CB307" s="113"/>
      <c r="CC307" s="113"/>
    </row>
    <row r="308" spans="1:81" ht="18">
      <c r="A308" s="109">
        <v>306</v>
      </c>
      <c r="B308" s="110" t="s">
        <v>1340</v>
      </c>
      <c r="C308" s="111" t="s">
        <v>542</v>
      </c>
      <c r="D308" s="110" t="s">
        <v>538</v>
      </c>
      <c r="E308" s="111" t="s">
        <v>541</v>
      </c>
      <c r="F308" s="111" t="s">
        <v>220</v>
      </c>
      <c r="G308" s="26" t="s">
        <v>173</v>
      </c>
      <c r="H308" s="112" t="s">
        <v>670</v>
      </c>
      <c r="I308" s="13">
        <v>5041</v>
      </c>
      <c r="J308" s="14">
        <v>5055</v>
      </c>
      <c r="K308" s="126">
        <v>443.2</v>
      </c>
      <c r="L308" s="127">
        <v>84.88</v>
      </c>
      <c r="M308" s="127">
        <v>54.68</v>
      </c>
      <c r="N308" s="127">
        <v>63.8</v>
      </c>
      <c r="O308" s="36"/>
      <c r="P308" s="42" t="s">
        <v>420</v>
      </c>
      <c r="Q308" s="37" t="s">
        <v>270</v>
      </c>
      <c r="R308" s="75">
        <v>38</v>
      </c>
      <c r="S308" s="75">
        <v>53</v>
      </c>
      <c r="T308" s="75">
        <v>58</v>
      </c>
      <c r="U308" s="75">
        <v>68</v>
      </c>
      <c r="V308" s="75">
        <v>88</v>
      </c>
      <c r="W308" s="109">
        <v>305</v>
      </c>
      <c r="X308" s="96">
        <v>30000</v>
      </c>
      <c r="Y308" s="96">
        <v>50000</v>
      </c>
      <c r="Z308" s="96">
        <v>80000</v>
      </c>
      <c r="AA308" s="96">
        <v>121000</v>
      </c>
      <c r="AB308" s="96">
        <v>175000</v>
      </c>
      <c r="AC308" s="96">
        <v>260000</v>
      </c>
      <c r="AD308" s="100">
        <v>384000</v>
      </c>
      <c r="AE308" s="100">
        <v>569000</v>
      </c>
      <c r="AF308" s="94">
        <v>842000</v>
      </c>
      <c r="AG308" s="94">
        <v>1216000</v>
      </c>
      <c r="AH308" s="94">
        <v>1550000</v>
      </c>
      <c r="AI308" s="94">
        <v>1790000</v>
      </c>
      <c r="AJ308" s="94">
        <v>1900000</v>
      </c>
      <c r="AK308" s="32"/>
      <c r="AL308" s="113">
        <v>35868000</v>
      </c>
      <c r="AM308" s="95">
        <v>120000</v>
      </c>
      <c r="AN308" s="95">
        <v>7</v>
      </c>
      <c r="AO308" s="96">
        <v>240000</v>
      </c>
      <c r="AP308" s="96">
        <v>5</v>
      </c>
      <c r="AQ308" s="97">
        <v>600000</v>
      </c>
      <c r="AR308" s="134">
        <v>4</v>
      </c>
      <c r="AS308" s="135"/>
      <c r="AT308" s="135"/>
      <c r="AU308" s="32">
        <v>17760000</v>
      </c>
      <c r="AV308" s="32">
        <v>53628000</v>
      </c>
      <c r="AW308" s="113">
        <v>467</v>
      </c>
      <c r="AX308" s="113"/>
      <c r="AY308" s="113">
        <v>579</v>
      </c>
      <c r="AZ308" s="113"/>
      <c r="BA308" s="113" t="s">
        <v>641</v>
      </c>
      <c r="BB308" s="32"/>
      <c r="BC308" s="32"/>
      <c r="BD308" s="32"/>
      <c r="BE308" s="32"/>
      <c r="BF308" s="32"/>
      <c r="BG308" s="32"/>
      <c r="BH308" s="32"/>
      <c r="BI308" s="32"/>
      <c r="BJ308" s="32"/>
      <c r="BK308" s="32"/>
      <c r="BL308" s="32"/>
      <c r="BM308" s="32"/>
      <c r="BN308" s="32">
        <v>1</v>
      </c>
      <c r="BO308" s="32">
        <v>1</v>
      </c>
      <c r="BP308" s="32">
        <v>1</v>
      </c>
      <c r="BQ308" s="32" t="s">
        <v>799</v>
      </c>
      <c r="BR308" s="32"/>
      <c r="BS308" s="32"/>
      <c r="BT308" s="32">
        <v>1</v>
      </c>
      <c r="BU308" s="32"/>
      <c r="BV308" s="81" t="s">
        <v>1484</v>
      </c>
      <c r="BW308" s="113"/>
      <c r="BX308" s="113"/>
      <c r="BY308" s="113">
        <v>1</v>
      </c>
      <c r="BZ308" s="113">
        <v>0</v>
      </c>
      <c r="CA308" s="113"/>
      <c r="CB308" s="113"/>
      <c r="CC308" s="113"/>
    </row>
    <row r="309" spans="1:81" ht="18">
      <c r="A309" s="109">
        <v>307</v>
      </c>
      <c r="B309" s="110" t="s">
        <v>1625</v>
      </c>
      <c r="C309" s="111" t="s">
        <v>1626</v>
      </c>
      <c r="D309" s="110" t="s">
        <v>262</v>
      </c>
      <c r="E309" s="111" t="s">
        <v>1627</v>
      </c>
      <c r="F309" s="111" t="s">
        <v>220</v>
      </c>
      <c r="G309" s="26" t="s">
        <v>173</v>
      </c>
      <c r="H309" s="112" t="s">
        <v>1555</v>
      </c>
      <c r="I309" s="13"/>
      <c r="J309" s="14">
        <v>5076</v>
      </c>
      <c r="K309" s="126">
        <v>454.8</v>
      </c>
      <c r="L309" s="127">
        <v>83.18</v>
      </c>
      <c r="M309" s="127">
        <v>59.7</v>
      </c>
      <c r="N309" s="127">
        <v>43.83</v>
      </c>
      <c r="O309" s="36"/>
      <c r="P309" s="42" t="s">
        <v>420</v>
      </c>
      <c r="Q309" s="37" t="s">
        <v>270</v>
      </c>
      <c r="R309" s="75">
        <v>45</v>
      </c>
      <c r="S309" s="75">
        <v>56</v>
      </c>
      <c r="T309" s="75">
        <v>65</v>
      </c>
      <c r="U309" s="75">
        <v>66</v>
      </c>
      <c r="V309" s="75">
        <v>68</v>
      </c>
      <c r="W309" s="109">
        <v>300</v>
      </c>
      <c r="X309" s="94"/>
      <c r="Y309" s="94"/>
      <c r="Z309" s="94"/>
      <c r="AA309" s="96"/>
      <c r="AB309" s="96"/>
      <c r="AC309" s="96"/>
      <c r="AD309" s="32"/>
      <c r="AE309" s="32"/>
      <c r="AF309" s="32"/>
      <c r="AG309" s="32"/>
      <c r="AH309" s="32"/>
      <c r="AI309" s="32"/>
      <c r="AJ309" s="94"/>
      <c r="AK309" s="32"/>
      <c r="AL309" s="113"/>
      <c r="AM309" s="95"/>
      <c r="AN309" s="95"/>
      <c r="AO309" s="96"/>
      <c r="AP309" s="96"/>
      <c r="AQ309" s="97"/>
      <c r="AR309" s="134"/>
      <c r="AS309" s="135"/>
      <c r="AT309" s="135"/>
      <c r="AU309" s="113"/>
      <c r="AV309" s="113"/>
      <c r="AW309" s="113"/>
      <c r="AX309" s="113"/>
      <c r="AY309" s="113"/>
      <c r="AZ309" s="113"/>
      <c r="BA309" s="82" t="s">
        <v>1000</v>
      </c>
      <c r="BB309" s="32"/>
      <c r="BC309" s="32"/>
      <c r="BD309" s="32"/>
      <c r="BE309" s="32"/>
      <c r="BF309" s="32"/>
      <c r="BG309" s="32"/>
      <c r="BH309" s="32"/>
      <c r="BI309" s="32"/>
      <c r="BJ309" s="32"/>
      <c r="BK309" s="32"/>
      <c r="BL309" s="32"/>
      <c r="BM309" s="32"/>
      <c r="BN309" s="32"/>
      <c r="BO309" s="32"/>
      <c r="BP309" s="32"/>
      <c r="BQ309" s="32"/>
      <c r="BR309" s="32"/>
      <c r="BS309" s="32"/>
      <c r="BT309" s="32"/>
      <c r="BU309" s="32"/>
      <c r="BV309" s="113" t="s">
        <v>1628</v>
      </c>
      <c r="BW309" s="113"/>
      <c r="BX309" s="113"/>
      <c r="BY309" s="113"/>
      <c r="BZ309" s="113"/>
      <c r="CA309" s="113"/>
      <c r="CB309" s="113"/>
      <c r="CC309" s="113"/>
    </row>
    <row r="310" spans="1:81" ht="18">
      <c r="A310" s="109">
        <v>308</v>
      </c>
      <c r="B310" s="110" t="s">
        <v>1341</v>
      </c>
      <c r="C310" s="111" t="s">
        <v>1057</v>
      </c>
      <c r="D310" s="110" t="s">
        <v>1058</v>
      </c>
      <c r="E310" s="111" t="s">
        <v>1059</v>
      </c>
      <c r="F310" s="111" t="s">
        <v>220</v>
      </c>
      <c r="G310" s="26" t="s">
        <v>173</v>
      </c>
      <c r="H310" s="112" t="s">
        <v>1049</v>
      </c>
      <c r="I310" s="13"/>
      <c r="J310" s="14">
        <v>5082</v>
      </c>
      <c r="K310" s="126">
        <v>438.7</v>
      </c>
      <c r="L310" s="127">
        <v>86.55</v>
      </c>
      <c r="M310" s="127">
        <v>47.61</v>
      </c>
      <c r="N310" s="127">
        <v>47.08</v>
      </c>
      <c r="O310" s="36"/>
      <c r="P310" s="42" t="s">
        <v>420</v>
      </c>
      <c r="Q310" s="17">
        <v>60</v>
      </c>
      <c r="R310" s="75">
        <v>35</v>
      </c>
      <c r="S310" s="75">
        <v>40</v>
      </c>
      <c r="T310" s="75">
        <v>50</v>
      </c>
      <c r="U310" s="75">
        <v>55</v>
      </c>
      <c r="V310" s="75">
        <v>60</v>
      </c>
      <c r="W310" s="109">
        <v>300</v>
      </c>
      <c r="X310" s="94">
        <v>22000</v>
      </c>
      <c r="Y310" s="94">
        <v>36000</v>
      </c>
      <c r="Z310" s="94">
        <v>56000</v>
      </c>
      <c r="AA310" s="96">
        <v>85000</v>
      </c>
      <c r="AB310" s="96">
        <v>122000</v>
      </c>
      <c r="AC310" s="96">
        <v>180000</v>
      </c>
      <c r="AD310" s="94">
        <v>267000</v>
      </c>
      <c r="AE310" s="94">
        <v>395000</v>
      </c>
      <c r="AF310" s="32">
        <v>585000</v>
      </c>
      <c r="AG310" s="32">
        <v>844000</v>
      </c>
      <c r="AH310" s="28">
        <v>1079000</v>
      </c>
      <c r="AI310" s="28">
        <v>1243000</v>
      </c>
      <c r="AJ310" s="94"/>
      <c r="AK310" s="32"/>
      <c r="AL310" s="113"/>
      <c r="AM310" s="95"/>
      <c r="AN310" s="95">
        <v>7</v>
      </c>
      <c r="AO310" s="96"/>
      <c r="AP310" s="96">
        <v>5</v>
      </c>
      <c r="AQ310" s="97"/>
      <c r="AR310" s="134">
        <v>4</v>
      </c>
      <c r="AS310" s="135"/>
      <c r="AT310" s="135"/>
      <c r="AU310" s="113"/>
      <c r="AV310" s="113"/>
      <c r="AW310" s="113">
        <v>462</v>
      </c>
      <c r="AX310" s="113"/>
      <c r="AY310" s="113">
        <v>577</v>
      </c>
      <c r="AZ310" s="113"/>
      <c r="BA310" s="82" t="s">
        <v>639</v>
      </c>
      <c r="BB310" s="32"/>
      <c r="BC310" s="32"/>
      <c r="BD310" s="32"/>
      <c r="BE310" s="32"/>
      <c r="BF310" s="32"/>
      <c r="BG310" s="32"/>
      <c r="BH310" s="32"/>
      <c r="BI310" s="32"/>
      <c r="BJ310" s="32"/>
      <c r="BK310" s="32"/>
      <c r="BL310" s="32">
        <v>1</v>
      </c>
      <c r="BM310" s="32"/>
      <c r="BN310" s="32"/>
      <c r="BO310" s="32"/>
      <c r="BP310" s="32"/>
      <c r="BQ310" s="32"/>
      <c r="BR310" s="32"/>
      <c r="BS310" s="32"/>
      <c r="BT310" s="32"/>
      <c r="BU310" s="32"/>
      <c r="BV310" s="113"/>
      <c r="BW310" s="113"/>
      <c r="BX310" s="113"/>
      <c r="BY310" s="113"/>
      <c r="BZ310" s="113"/>
      <c r="CA310" s="113"/>
      <c r="CB310" s="113"/>
      <c r="CC310" s="113"/>
    </row>
    <row r="311" spans="1:81" ht="18">
      <c r="A311" s="109">
        <v>309</v>
      </c>
      <c r="B311" s="110" t="s">
        <v>1342</v>
      </c>
      <c r="C311" s="111" t="s">
        <v>822</v>
      </c>
      <c r="D311" s="110" t="s">
        <v>262</v>
      </c>
      <c r="E311" s="111" t="s">
        <v>821</v>
      </c>
      <c r="F311" s="111" t="s">
        <v>220</v>
      </c>
      <c r="G311" s="26" t="s">
        <v>173</v>
      </c>
      <c r="H311" s="112" t="s">
        <v>878</v>
      </c>
      <c r="I311" s="13">
        <v>5085</v>
      </c>
      <c r="J311" s="14">
        <v>5092</v>
      </c>
      <c r="K311" s="126">
        <v>413.1</v>
      </c>
      <c r="L311" s="127">
        <v>88.58</v>
      </c>
      <c r="M311" s="127">
        <v>66.06</v>
      </c>
      <c r="N311" s="127">
        <v>48.36</v>
      </c>
      <c r="O311" s="36"/>
      <c r="P311" s="42" t="s">
        <v>420</v>
      </c>
      <c r="Q311" s="37" t="s">
        <v>270</v>
      </c>
      <c r="R311" s="75">
        <v>38</v>
      </c>
      <c r="S311" s="75">
        <v>48</v>
      </c>
      <c r="T311" s="75">
        <v>58</v>
      </c>
      <c r="U311" s="75">
        <v>68</v>
      </c>
      <c r="V311" s="75">
        <v>88</v>
      </c>
      <c r="W311" s="109">
        <v>300</v>
      </c>
      <c r="X311" s="96">
        <v>30000</v>
      </c>
      <c r="Y311" s="96">
        <v>50000</v>
      </c>
      <c r="Z311" s="96">
        <v>80000</v>
      </c>
      <c r="AA311" s="94">
        <v>121000</v>
      </c>
      <c r="AB311" s="94">
        <v>175000</v>
      </c>
      <c r="AC311" s="94">
        <v>260000</v>
      </c>
      <c r="AD311" s="32">
        <v>384000</v>
      </c>
      <c r="AE311" s="32">
        <v>569000</v>
      </c>
      <c r="AF311" s="94">
        <v>842000</v>
      </c>
      <c r="AG311" s="94">
        <v>1216000</v>
      </c>
      <c r="AH311" s="94">
        <v>1550000</v>
      </c>
      <c r="AI311" s="94">
        <v>1790000</v>
      </c>
      <c r="AJ311" s="94">
        <v>1900000</v>
      </c>
      <c r="AK311" s="32"/>
      <c r="AL311" s="113">
        <v>35868000</v>
      </c>
      <c r="AM311" s="95">
        <v>120000</v>
      </c>
      <c r="AN311" s="95">
        <v>7</v>
      </c>
      <c r="AO311" s="96">
        <v>240000</v>
      </c>
      <c r="AP311" s="96">
        <v>5</v>
      </c>
      <c r="AQ311" s="97">
        <v>600000</v>
      </c>
      <c r="AR311" s="134">
        <v>4</v>
      </c>
      <c r="AS311" s="135"/>
      <c r="AT311" s="135"/>
      <c r="AU311" s="32">
        <v>17760000</v>
      </c>
      <c r="AV311" s="32">
        <v>53628000</v>
      </c>
      <c r="AW311" s="113">
        <v>433</v>
      </c>
      <c r="AX311" s="113"/>
      <c r="AY311" s="113">
        <v>564</v>
      </c>
      <c r="AZ311" s="113"/>
      <c r="BA311" s="82" t="s">
        <v>641</v>
      </c>
      <c r="BB311" s="32"/>
      <c r="BC311" s="32"/>
      <c r="BD311" s="32"/>
      <c r="BE311" s="32"/>
      <c r="BF311" s="32"/>
      <c r="BG311" s="32"/>
      <c r="BH311" s="32"/>
      <c r="BI311" s="32"/>
      <c r="BJ311" s="32"/>
      <c r="BK311" s="32"/>
      <c r="BL311" s="32"/>
      <c r="BM311" s="32"/>
      <c r="BN311" s="32">
        <v>1</v>
      </c>
      <c r="BO311" s="32">
        <v>1</v>
      </c>
      <c r="BP311" s="32">
        <v>1</v>
      </c>
      <c r="BQ311" s="32" t="s">
        <v>800</v>
      </c>
      <c r="BR311" s="32"/>
      <c r="BS311" s="32"/>
      <c r="BT311" s="32">
        <v>1</v>
      </c>
      <c r="BU311" s="32"/>
      <c r="BV311" s="113" t="s">
        <v>1343</v>
      </c>
      <c r="BW311" s="113"/>
      <c r="BX311" s="113"/>
      <c r="BY311" s="113">
        <v>1</v>
      </c>
      <c r="BZ311" s="113">
        <v>0</v>
      </c>
      <c r="CA311" s="113"/>
      <c r="CB311" s="113"/>
      <c r="CC311" s="113"/>
    </row>
    <row r="312" spans="1:81" ht="18">
      <c r="A312" s="109">
        <v>310</v>
      </c>
      <c r="B312" s="110" t="s">
        <v>1387</v>
      </c>
      <c r="C312" s="111" t="s">
        <v>1097</v>
      </c>
      <c r="D312" s="110" t="s">
        <v>538</v>
      </c>
      <c r="E312" s="111" t="s">
        <v>1098</v>
      </c>
      <c r="F312" s="111" t="s">
        <v>220</v>
      </c>
      <c r="G312" s="26" t="s">
        <v>173</v>
      </c>
      <c r="H312" s="112" t="s">
        <v>1090</v>
      </c>
      <c r="I312" s="13"/>
      <c r="J312" s="14">
        <v>5096</v>
      </c>
      <c r="K312" s="126">
        <v>431.7</v>
      </c>
      <c r="L312" s="127">
        <v>84.4</v>
      </c>
      <c r="M312" s="127">
        <v>60.79</v>
      </c>
      <c r="N312" s="127">
        <v>65.81</v>
      </c>
      <c r="O312" s="36"/>
      <c r="P312" s="42" t="s">
        <v>420</v>
      </c>
      <c r="Q312" s="37" t="s">
        <v>270</v>
      </c>
      <c r="R312" s="75">
        <v>38</v>
      </c>
      <c r="S312" s="75">
        <v>48</v>
      </c>
      <c r="T312" s="75">
        <v>58</v>
      </c>
      <c r="U312" s="75">
        <v>68</v>
      </c>
      <c r="V312" s="75">
        <v>88</v>
      </c>
      <c r="W312" s="109">
        <v>300</v>
      </c>
      <c r="X312" s="94"/>
      <c r="Y312" s="94"/>
      <c r="Z312" s="94"/>
      <c r="AA312" s="94"/>
      <c r="AB312" s="94"/>
      <c r="AC312" s="94"/>
      <c r="AD312" s="94"/>
      <c r="AE312" s="94"/>
      <c r="AF312" s="94"/>
      <c r="AG312" s="94"/>
      <c r="AH312" s="94"/>
      <c r="AI312" s="94"/>
      <c r="AJ312" s="96"/>
      <c r="AK312" s="100"/>
      <c r="AL312" s="113"/>
      <c r="AM312" s="95"/>
      <c r="AN312" s="95">
        <v>7</v>
      </c>
      <c r="AO312" s="96"/>
      <c r="AP312" s="96">
        <v>5</v>
      </c>
      <c r="AQ312" s="97"/>
      <c r="AR312" s="134">
        <v>4</v>
      </c>
      <c r="AS312" s="135"/>
      <c r="AT312" s="135"/>
      <c r="AU312" s="113"/>
      <c r="AV312" s="113"/>
      <c r="AW312" s="113"/>
      <c r="AX312" s="113"/>
      <c r="AY312" s="113">
        <v>574</v>
      </c>
      <c r="AZ312" s="113"/>
      <c r="BA312" s="82" t="s">
        <v>1099</v>
      </c>
      <c r="BB312" s="32"/>
      <c r="BC312" s="32"/>
      <c r="BD312" s="32"/>
      <c r="BE312" s="32"/>
      <c r="BF312" s="32"/>
      <c r="BG312" s="32"/>
      <c r="BH312" s="32"/>
      <c r="BI312" s="32"/>
      <c r="BJ312" s="32"/>
      <c r="BK312" s="32"/>
      <c r="BL312" s="32"/>
      <c r="BM312" s="32"/>
      <c r="BN312" s="32"/>
      <c r="BO312" s="32">
        <v>1</v>
      </c>
      <c r="BP312" s="32"/>
      <c r="BQ312" s="32"/>
      <c r="BR312" s="32"/>
      <c r="BS312" s="32"/>
      <c r="BT312" s="32"/>
      <c r="BU312" s="32"/>
      <c r="BV312" s="113" t="s">
        <v>1485</v>
      </c>
      <c r="BW312" s="113"/>
      <c r="BX312" s="113"/>
      <c r="BY312" s="113"/>
      <c r="BZ312" s="113"/>
      <c r="CA312" s="113"/>
      <c r="CB312" s="113"/>
      <c r="CC312" s="113"/>
    </row>
    <row r="313" spans="1:81" ht="18">
      <c r="A313" s="109">
        <v>311</v>
      </c>
      <c r="B313" s="110" t="s">
        <v>1362</v>
      </c>
      <c r="C313" s="111" t="s">
        <v>1363</v>
      </c>
      <c r="D313" s="110" t="s">
        <v>662</v>
      </c>
      <c r="E313" s="111" t="s">
        <v>1364</v>
      </c>
      <c r="F313" s="111" t="s">
        <v>220</v>
      </c>
      <c r="G313" s="26" t="s">
        <v>173</v>
      </c>
      <c r="H313" s="112" t="s">
        <v>1368</v>
      </c>
      <c r="I313" s="13"/>
      <c r="J313" s="14">
        <v>5100</v>
      </c>
      <c r="K313" s="126">
        <v>467.5</v>
      </c>
      <c r="L313" s="127">
        <v>81.73</v>
      </c>
      <c r="M313" s="127">
        <v>56.53</v>
      </c>
      <c r="N313" s="127">
        <v>42.65</v>
      </c>
      <c r="O313" s="36"/>
      <c r="P313" s="42" t="s">
        <v>420</v>
      </c>
      <c r="Q313" s="17">
        <v>60</v>
      </c>
      <c r="R313" s="75">
        <v>35</v>
      </c>
      <c r="S313" s="75">
        <v>40</v>
      </c>
      <c r="T313" s="75">
        <v>50</v>
      </c>
      <c r="U313" s="75">
        <v>55</v>
      </c>
      <c r="V313" s="75">
        <v>60</v>
      </c>
      <c r="W313" s="109">
        <v>300</v>
      </c>
      <c r="X313" s="96">
        <v>22000</v>
      </c>
      <c r="Y313" s="96">
        <v>36000</v>
      </c>
      <c r="Z313" s="96">
        <v>56000</v>
      </c>
      <c r="AA313" s="96">
        <v>85000</v>
      </c>
      <c r="AB313" s="96">
        <v>122000</v>
      </c>
      <c r="AC313" s="96">
        <v>180000</v>
      </c>
      <c r="AD313" s="96">
        <v>267000</v>
      </c>
      <c r="AE313" s="96">
        <v>395000</v>
      </c>
      <c r="AF313" s="100">
        <v>585000</v>
      </c>
      <c r="AG313" s="100">
        <v>844000</v>
      </c>
      <c r="AH313" s="28">
        <v>1079000</v>
      </c>
      <c r="AI313" s="28">
        <v>1243000</v>
      </c>
      <c r="AJ313" s="96"/>
      <c r="AK313" s="100"/>
      <c r="AL313" s="113"/>
      <c r="AM313" s="95">
        <v>180000</v>
      </c>
      <c r="AN313" s="95">
        <v>7</v>
      </c>
      <c r="AO313" s="96">
        <v>360000</v>
      </c>
      <c r="AP313" s="96">
        <v>5</v>
      </c>
      <c r="AQ313" s="97">
        <v>1080000</v>
      </c>
      <c r="AR313" s="134">
        <v>4</v>
      </c>
      <c r="AS313" s="135"/>
      <c r="AT313" s="135"/>
      <c r="AU313" s="113"/>
      <c r="AV313" s="113"/>
      <c r="AW313" s="113">
        <v>492</v>
      </c>
      <c r="AX313" s="113"/>
      <c r="AY313" s="113">
        <v>590</v>
      </c>
      <c r="AZ313" s="113"/>
      <c r="BA313" s="82" t="s">
        <v>639</v>
      </c>
      <c r="BB313" s="32"/>
      <c r="BC313" s="32"/>
      <c r="BD313" s="32"/>
      <c r="BE313" s="32"/>
      <c r="BF313" s="32"/>
      <c r="BG313" s="32"/>
      <c r="BH313" s="32"/>
      <c r="BI313" s="32"/>
      <c r="BJ313" s="32"/>
      <c r="BK313" s="32"/>
      <c r="BL313" s="32">
        <v>1</v>
      </c>
      <c r="BM313" s="32"/>
      <c r="BN313" s="32"/>
      <c r="BO313" s="32"/>
      <c r="BP313" s="32"/>
      <c r="BQ313" s="32"/>
      <c r="BR313" s="32"/>
      <c r="BS313" s="32"/>
      <c r="BT313" s="32"/>
      <c r="BU313" s="32"/>
      <c r="BV313" s="113"/>
      <c r="BW313" s="113"/>
      <c r="BX313" s="113"/>
      <c r="BY313" s="113"/>
      <c r="BZ313" s="113"/>
      <c r="CA313" s="113"/>
      <c r="CB313" s="113"/>
      <c r="CC313" s="113"/>
    </row>
    <row r="314" spans="1:81" ht="18">
      <c r="A314" s="109">
        <v>312</v>
      </c>
      <c r="B314" s="110" t="s">
        <v>1344</v>
      </c>
      <c r="C314" s="111" t="s">
        <v>704</v>
      </c>
      <c r="D314" s="110" t="s">
        <v>804</v>
      </c>
      <c r="E314" s="111" t="s">
        <v>703</v>
      </c>
      <c r="F314" s="111" t="s">
        <v>220</v>
      </c>
      <c r="G314" s="26" t="s">
        <v>173</v>
      </c>
      <c r="H314" s="112" t="s">
        <v>863</v>
      </c>
      <c r="I314" s="13">
        <v>5126</v>
      </c>
      <c r="J314" s="14">
        <v>5128</v>
      </c>
      <c r="K314" s="126">
        <v>512.4</v>
      </c>
      <c r="L314" s="127">
        <v>80.680000000000007</v>
      </c>
      <c r="M314" s="127">
        <v>49.02</v>
      </c>
      <c r="N314" s="127">
        <v>49.52</v>
      </c>
      <c r="O314" s="17">
        <v>4.2</v>
      </c>
      <c r="P314" s="42" t="s">
        <v>420</v>
      </c>
      <c r="Q314" s="75">
        <v>85</v>
      </c>
      <c r="R314" s="75">
        <v>25</v>
      </c>
      <c r="S314" s="75">
        <v>29</v>
      </c>
      <c r="T314" s="75">
        <v>38</v>
      </c>
      <c r="U314" s="75">
        <v>54</v>
      </c>
      <c r="V314" s="75">
        <v>69</v>
      </c>
      <c r="W314" s="109">
        <v>300</v>
      </c>
      <c r="X314" s="94">
        <v>90000</v>
      </c>
      <c r="Y314" s="94">
        <v>112500</v>
      </c>
      <c r="Z314" s="94">
        <v>157500</v>
      </c>
      <c r="AA314" s="94"/>
      <c r="AB314" s="94"/>
      <c r="AC314" s="94"/>
      <c r="AD314" s="94"/>
      <c r="AE314" s="94"/>
      <c r="AF314" s="94"/>
      <c r="AG314" s="94"/>
      <c r="AH314" s="94"/>
      <c r="AI314" s="94"/>
      <c r="AJ314" s="96">
        <v>1900000</v>
      </c>
      <c r="AK314" s="100"/>
      <c r="AL314" s="113"/>
      <c r="AM314" s="95">
        <v>120000</v>
      </c>
      <c r="AN314" s="95">
        <v>7</v>
      </c>
      <c r="AO314" s="96">
        <v>240000</v>
      </c>
      <c r="AP314" s="96">
        <v>5</v>
      </c>
      <c r="AQ314" s="97">
        <v>720000</v>
      </c>
      <c r="AR314" s="134">
        <v>4</v>
      </c>
      <c r="AS314" s="135"/>
      <c r="AT314" s="135"/>
      <c r="AU314" s="113"/>
      <c r="AV314" s="113"/>
      <c r="AW314" s="113">
        <v>538</v>
      </c>
      <c r="AX314" s="113"/>
      <c r="AY314" s="113">
        <v>600</v>
      </c>
      <c r="AZ314" s="113"/>
      <c r="BA314" s="82" t="s">
        <v>639</v>
      </c>
      <c r="BB314" s="32"/>
      <c r="BC314" s="32"/>
      <c r="BD314" s="32"/>
      <c r="BE314" s="32"/>
      <c r="BF314" s="32"/>
      <c r="BG314" s="32"/>
      <c r="BH314" s="32"/>
      <c r="BI314" s="32"/>
      <c r="BJ314" s="32"/>
      <c r="BK314" s="32"/>
      <c r="BL314" s="32">
        <v>1</v>
      </c>
      <c r="BM314" s="32"/>
      <c r="BN314" s="32"/>
      <c r="BO314" s="32"/>
      <c r="BP314" s="32"/>
      <c r="BQ314" s="32" t="s">
        <v>799</v>
      </c>
      <c r="BR314" s="32"/>
      <c r="BS314" s="32" t="s">
        <v>650</v>
      </c>
      <c r="BT314" s="32">
        <v>1</v>
      </c>
      <c r="BU314" s="32"/>
      <c r="BV314" s="113" t="s">
        <v>865</v>
      </c>
      <c r="BW314" s="113"/>
      <c r="BX314" s="113"/>
      <c r="BY314" s="113">
        <v>1</v>
      </c>
      <c r="BZ314" s="113">
        <v>0</v>
      </c>
      <c r="CA314" s="113"/>
      <c r="CB314" s="113"/>
      <c r="CC314" s="113"/>
    </row>
    <row r="315" spans="1:81" ht="18">
      <c r="A315" s="109">
        <v>313</v>
      </c>
      <c r="B315" s="110" t="s">
        <v>1345</v>
      </c>
      <c r="C315" s="111" t="s">
        <v>1041</v>
      </c>
      <c r="D315" s="110" t="s">
        <v>262</v>
      </c>
      <c r="E315" s="111" t="s">
        <v>1042</v>
      </c>
      <c r="F315" s="111" t="s">
        <v>220</v>
      </c>
      <c r="G315" s="26" t="s">
        <v>173</v>
      </c>
      <c r="H315" s="112" t="s">
        <v>1031</v>
      </c>
      <c r="I315" s="13"/>
      <c r="J315" s="14">
        <v>5146</v>
      </c>
      <c r="K315" s="126">
        <v>478.3</v>
      </c>
      <c r="L315" s="127">
        <v>82.37</v>
      </c>
      <c r="M315" s="127">
        <v>54.39</v>
      </c>
      <c r="N315" s="127">
        <v>49.63</v>
      </c>
      <c r="O315" s="36"/>
      <c r="P315" s="42" t="s">
        <v>420</v>
      </c>
      <c r="Q315" s="37" t="s">
        <v>270</v>
      </c>
      <c r="R315" s="37">
        <v>45</v>
      </c>
      <c r="S315" s="37">
        <v>56</v>
      </c>
      <c r="T315" s="37">
        <v>65</v>
      </c>
      <c r="U315" s="37">
        <v>66</v>
      </c>
      <c r="V315" s="37">
        <v>68</v>
      </c>
      <c r="W315" s="109">
        <v>300</v>
      </c>
      <c r="X315" s="94"/>
      <c r="Y315" s="94"/>
      <c r="Z315" s="94"/>
      <c r="AA315" s="94">
        <v>121000</v>
      </c>
      <c r="AB315" s="94">
        <v>175000</v>
      </c>
      <c r="AC315" s="94">
        <v>260000</v>
      </c>
      <c r="AD315" s="105">
        <v>384000</v>
      </c>
      <c r="AE315" s="105">
        <v>569000</v>
      </c>
      <c r="AF315" s="105">
        <v>842000</v>
      </c>
      <c r="AG315" s="105">
        <v>1216000</v>
      </c>
      <c r="AH315" s="94"/>
      <c r="AI315" s="94"/>
      <c r="AJ315" s="94"/>
      <c r="AK315" s="32"/>
      <c r="AL315" s="113"/>
      <c r="AM315" s="95">
        <v>120000</v>
      </c>
      <c r="AN315" s="95">
        <v>7</v>
      </c>
      <c r="AO315" s="96">
        <v>240000</v>
      </c>
      <c r="AP315" s="96">
        <v>5</v>
      </c>
      <c r="AQ315" s="97">
        <v>720000</v>
      </c>
      <c r="AR315" s="134">
        <v>4</v>
      </c>
      <c r="AS315" s="135"/>
      <c r="AT315" s="135"/>
      <c r="AU315" s="113"/>
      <c r="AV315" s="113"/>
      <c r="AW315" s="113"/>
      <c r="AX315" s="113"/>
      <c r="AY315" s="113"/>
      <c r="AZ315" s="113"/>
      <c r="BA315" s="82" t="s">
        <v>641</v>
      </c>
      <c r="BB315" s="32"/>
      <c r="BC315" s="32"/>
      <c r="BD315" s="32"/>
      <c r="BE315" s="32"/>
      <c r="BF315" s="32"/>
      <c r="BG315" s="32"/>
      <c r="BH315" s="32"/>
      <c r="BI315" s="32"/>
      <c r="BJ315" s="32"/>
      <c r="BK315" s="32"/>
      <c r="BL315" s="32"/>
      <c r="BM315" s="32"/>
      <c r="BN315" s="32">
        <v>1</v>
      </c>
      <c r="BO315" s="32">
        <v>1</v>
      </c>
      <c r="BP315" s="32"/>
      <c r="BQ315" s="32"/>
      <c r="BR315" s="32"/>
      <c r="BS315" s="32"/>
      <c r="BT315" s="32"/>
      <c r="BU315" s="32"/>
      <c r="BV315" s="113" t="s">
        <v>938</v>
      </c>
      <c r="BW315" s="113"/>
      <c r="BX315" s="113"/>
      <c r="BY315" s="113">
        <v>1</v>
      </c>
      <c r="BZ315" s="113">
        <v>0</v>
      </c>
      <c r="CA315" s="113"/>
      <c r="CB315" s="113"/>
      <c r="CC315" s="113"/>
    </row>
    <row r="316" spans="1:81" ht="18">
      <c r="A316" s="109">
        <v>314</v>
      </c>
      <c r="B316" s="33" t="s">
        <v>1435</v>
      </c>
      <c r="C316" s="34" t="s">
        <v>1436</v>
      </c>
      <c r="D316" s="33" t="s">
        <v>1437</v>
      </c>
      <c r="E316" s="34" t="s">
        <v>1438</v>
      </c>
      <c r="F316" s="34" t="s">
        <v>220</v>
      </c>
      <c r="G316" s="26" t="s">
        <v>173</v>
      </c>
      <c r="H316" s="35" t="s">
        <v>1425</v>
      </c>
      <c r="I316" s="32"/>
      <c r="J316" s="32">
        <v>5149</v>
      </c>
      <c r="K316" s="120">
        <v>417.1</v>
      </c>
      <c r="L316" s="121">
        <v>89.07</v>
      </c>
      <c r="M316" s="121">
        <v>54.43</v>
      </c>
      <c r="N316" s="121">
        <v>51.03</v>
      </c>
      <c r="O316" s="15"/>
      <c r="P316" s="42" t="s">
        <v>420</v>
      </c>
      <c r="Q316" s="17">
        <v>60</v>
      </c>
      <c r="R316" s="75">
        <v>35</v>
      </c>
      <c r="S316" s="75">
        <v>40</v>
      </c>
      <c r="T316" s="75">
        <v>50</v>
      </c>
      <c r="U316" s="75">
        <v>55</v>
      </c>
      <c r="V316" s="75">
        <v>60</v>
      </c>
      <c r="W316" s="109">
        <v>300</v>
      </c>
      <c r="X316" s="96">
        <v>22000</v>
      </c>
      <c r="Y316" s="96">
        <v>36000</v>
      </c>
      <c r="Z316" s="96">
        <v>56000</v>
      </c>
      <c r="AA316" s="96">
        <v>85000</v>
      </c>
      <c r="AB316" s="96">
        <v>122000</v>
      </c>
      <c r="AC316" s="96">
        <v>180000</v>
      </c>
      <c r="AD316" s="94">
        <v>267000</v>
      </c>
      <c r="AE316" s="94">
        <v>395000</v>
      </c>
      <c r="AF316" s="32">
        <v>585000</v>
      </c>
      <c r="AG316" s="32">
        <v>844000</v>
      </c>
      <c r="AH316" s="28">
        <v>1079000</v>
      </c>
      <c r="AI316" s="28">
        <v>1243000</v>
      </c>
      <c r="AJ316" s="94"/>
      <c r="AK316" s="32"/>
      <c r="AL316" s="113"/>
      <c r="AM316" s="95">
        <v>120000</v>
      </c>
      <c r="AN316" s="95">
        <v>7</v>
      </c>
      <c r="AO316" s="96">
        <v>240000</v>
      </c>
      <c r="AP316" s="96">
        <v>5</v>
      </c>
      <c r="AQ316" s="97">
        <v>720000</v>
      </c>
      <c r="AR316" s="134">
        <v>4</v>
      </c>
      <c r="AS316" s="135"/>
      <c r="AT316" s="135"/>
      <c r="AU316" s="32"/>
      <c r="AV316" s="32"/>
      <c r="AW316" s="32">
        <v>439</v>
      </c>
      <c r="AX316" s="32"/>
      <c r="AY316" s="32">
        <v>566</v>
      </c>
      <c r="AZ316" s="32"/>
      <c r="BA316" s="82" t="s">
        <v>1000</v>
      </c>
      <c r="BB316" s="32"/>
      <c r="BC316" s="32"/>
      <c r="BD316" s="32"/>
      <c r="BE316" s="32"/>
      <c r="BF316" s="32"/>
      <c r="BG316" s="32"/>
      <c r="BH316" s="32"/>
      <c r="BI316" s="32"/>
      <c r="BJ316" s="32"/>
      <c r="BK316" s="32"/>
      <c r="BL316" s="32"/>
      <c r="BM316" s="32"/>
      <c r="BN316" s="32"/>
      <c r="BO316" s="32"/>
      <c r="BP316" s="32"/>
      <c r="BQ316" s="32"/>
      <c r="BR316" s="32"/>
      <c r="BS316" s="32"/>
      <c r="BT316" s="32"/>
      <c r="BU316" s="32"/>
      <c r="BV316" s="32"/>
      <c r="BW316" s="32"/>
      <c r="BX316" s="32"/>
      <c r="BY316" s="32"/>
      <c r="BZ316" s="32"/>
      <c r="CA316" s="32"/>
      <c r="CB316" s="32"/>
      <c r="CC316" s="32"/>
    </row>
    <row r="317" spans="1:81" ht="18">
      <c r="A317" s="109">
        <v>315</v>
      </c>
      <c r="B317" s="33" t="s">
        <v>1629</v>
      </c>
      <c r="C317" s="34" t="s">
        <v>1630</v>
      </c>
      <c r="D317" s="33" t="s">
        <v>1631</v>
      </c>
      <c r="E317" s="34" t="s">
        <v>1632</v>
      </c>
      <c r="F317" s="34" t="s">
        <v>220</v>
      </c>
      <c r="G317" s="26" t="s">
        <v>173</v>
      </c>
      <c r="H317" s="35" t="s">
        <v>1567</v>
      </c>
      <c r="I317" s="32"/>
      <c r="J317" s="32">
        <v>5169</v>
      </c>
      <c r="K317" s="120">
        <v>506.7</v>
      </c>
      <c r="L317" s="121">
        <v>83.27</v>
      </c>
      <c r="M317" s="121">
        <v>49.79</v>
      </c>
      <c r="N317" s="121">
        <v>44.54</v>
      </c>
      <c r="O317" s="15"/>
      <c r="P317" s="42" t="s">
        <v>420</v>
      </c>
      <c r="Q317" s="17">
        <v>60</v>
      </c>
      <c r="R317" s="75">
        <v>48</v>
      </c>
      <c r="S317" s="75">
        <v>50</v>
      </c>
      <c r="T317" s="75">
        <v>52</v>
      </c>
      <c r="U317" s="75">
        <v>54</v>
      </c>
      <c r="V317" s="75">
        <v>56</v>
      </c>
      <c r="W317" s="109">
        <v>320</v>
      </c>
      <c r="X317" s="96"/>
      <c r="Y317" s="96"/>
      <c r="Z317" s="96"/>
      <c r="AA317" s="96"/>
      <c r="AB317" s="96"/>
      <c r="AC317" s="96"/>
      <c r="AD317" s="100"/>
      <c r="AE317" s="100"/>
      <c r="AF317" s="32"/>
      <c r="AG317" s="32"/>
      <c r="AH317" s="32"/>
      <c r="AI317" s="32"/>
      <c r="AJ317" s="94"/>
      <c r="AK317" s="32"/>
      <c r="AL317" s="113"/>
      <c r="AM317" s="95"/>
      <c r="AN317" s="95">
        <v>7</v>
      </c>
      <c r="AO317" s="96"/>
      <c r="AP317" s="96">
        <v>5</v>
      </c>
      <c r="AQ317" s="97"/>
      <c r="AR317" s="134">
        <v>4</v>
      </c>
      <c r="AS317" s="135"/>
      <c r="AT317" s="135"/>
      <c r="AU317" s="32"/>
      <c r="AV317" s="32"/>
      <c r="AW317" s="32"/>
      <c r="AX317" s="32"/>
      <c r="AY317" s="32"/>
      <c r="AZ317" s="32"/>
      <c r="BA317" s="82" t="s">
        <v>1000</v>
      </c>
      <c r="BB317" s="32"/>
      <c r="BC317" s="32"/>
      <c r="BD317" s="32"/>
      <c r="BE317" s="32"/>
      <c r="BF317" s="32"/>
      <c r="BG317" s="32"/>
      <c r="BH317" s="32"/>
      <c r="BI317" s="32"/>
      <c r="BJ317" s="32"/>
      <c r="BK317" s="32"/>
      <c r="BL317" s="32"/>
      <c r="BM317" s="32"/>
      <c r="BN317" s="32"/>
      <c r="BO317" s="32"/>
      <c r="BP317" s="32"/>
      <c r="BQ317" s="32"/>
      <c r="BR317" s="32"/>
      <c r="BS317" s="32"/>
      <c r="BT317" s="32"/>
      <c r="BU317" s="32"/>
      <c r="BV317" s="32"/>
      <c r="BW317" s="32"/>
      <c r="BX317" s="32"/>
      <c r="BY317" s="32"/>
      <c r="BZ317" s="32"/>
      <c r="CA317" s="32"/>
      <c r="CB317" s="32"/>
      <c r="CC317" s="32"/>
    </row>
    <row r="318" spans="1:81" ht="18">
      <c r="A318" s="109">
        <v>316</v>
      </c>
      <c r="B318" s="33" t="s">
        <v>1519</v>
      </c>
      <c r="C318" s="34" t="s">
        <v>1520</v>
      </c>
      <c r="D318" s="33" t="s">
        <v>793</v>
      </c>
      <c r="E318" s="34" t="s">
        <v>1521</v>
      </c>
      <c r="F318" s="34" t="s">
        <v>220</v>
      </c>
      <c r="G318" s="26" t="s">
        <v>173</v>
      </c>
      <c r="H318" s="35" t="s">
        <v>1491</v>
      </c>
      <c r="I318" s="32"/>
      <c r="J318" s="32">
        <v>5355</v>
      </c>
      <c r="K318" s="120">
        <v>538.70000000000005</v>
      </c>
      <c r="L318" s="121">
        <v>90.64</v>
      </c>
      <c r="M318" s="121">
        <v>61.77</v>
      </c>
      <c r="N318" s="121">
        <v>42.69</v>
      </c>
      <c r="O318" s="15"/>
      <c r="P318" s="42" t="s">
        <v>420</v>
      </c>
      <c r="Q318" s="17">
        <v>40</v>
      </c>
      <c r="R318" s="75">
        <v>45</v>
      </c>
      <c r="S318" s="75">
        <v>55</v>
      </c>
      <c r="T318" s="75">
        <v>48</v>
      </c>
      <c r="U318" s="75">
        <v>56</v>
      </c>
      <c r="V318" s="75">
        <v>56</v>
      </c>
      <c r="W318" s="109">
        <v>300</v>
      </c>
      <c r="X318" s="96">
        <v>30000</v>
      </c>
      <c r="Y318" s="96">
        <v>50000</v>
      </c>
      <c r="Z318" s="96">
        <v>80000</v>
      </c>
      <c r="AA318" s="96">
        <v>121000</v>
      </c>
      <c r="AB318" s="96">
        <v>175000</v>
      </c>
      <c r="AC318" s="96">
        <v>260000</v>
      </c>
      <c r="AD318" s="100">
        <v>384000</v>
      </c>
      <c r="AE318" s="100">
        <v>569000</v>
      </c>
      <c r="AF318" s="32"/>
      <c r="AG318" s="32"/>
      <c r="AH318" s="32"/>
      <c r="AI318" s="32"/>
      <c r="AJ318" s="94"/>
      <c r="AK318" s="32"/>
      <c r="AL318" s="113"/>
      <c r="AM318" s="95">
        <v>120000</v>
      </c>
      <c r="AN318" s="95">
        <v>7</v>
      </c>
      <c r="AO318" s="96">
        <v>240000</v>
      </c>
      <c r="AP318" s="96">
        <v>5</v>
      </c>
      <c r="AQ318" s="97">
        <v>720000</v>
      </c>
      <c r="AR318" s="134">
        <v>4</v>
      </c>
      <c r="AS318" s="135"/>
      <c r="AT318" s="135"/>
      <c r="AU318" s="32"/>
      <c r="AV318" s="32"/>
      <c r="AW318" s="32">
        <v>550</v>
      </c>
      <c r="AX318" s="32"/>
      <c r="AY318" s="32">
        <v>600</v>
      </c>
      <c r="AZ318" s="32"/>
      <c r="BA318" s="82" t="s">
        <v>1000</v>
      </c>
      <c r="BB318" s="32"/>
      <c r="BC318" s="32"/>
      <c r="BD318" s="32"/>
      <c r="BE318" s="32"/>
      <c r="BF318" s="32"/>
      <c r="BG318" s="32"/>
      <c r="BH318" s="32"/>
      <c r="BI318" s="32"/>
      <c r="BJ318" s="32"/>
      <c r="BK318" s="32"/>
      <c r="BL318" s="32"/>
      <c r="BM318" s="32"/>
      <c r="BN318" s="32"/>
      <c r="BO318" s="32"/>
      <c r="BP318" s="32"/>
      <c r="BQ318" s="32"/>
      <c r="BR318" s="32"/>
      <c r="BS318" s="32"/>
      <c r="BT318" s="32"/>
      <c r="BU318" s="32"/>
      <c r="BV318" s="32" t="s">
        <v>1522</v>
      </c>
      <c r="BW318" s="32"/>
      <c r="BX318" s="32"/>
      <c r="BY318" s="32"/>
      <c r="BZ318" s="32"/>
      <c r="CA318" s="32"/>
      <c r="CB318" s="32"/>
      <c r="CC318" s="32"/>
    </row>
    <row r="319" spans="1:81" ht="18">
      <c r="A319" s="109">
        <v>317</v>
      </c>
      <c r="B319" s="138" t="s">
        <v>1346</v>
      </c>
      <c r="C319" s="139" t="s">
        <v>1100</v>
      </c>
      <c r="D319" s="138" t="s">
        <v>1101</v>
      </c>
      <c r="E319" s="139" t="s">
        <v>1102</v>
      </c>
      <c r="F319" s="139" t="s">
        <v>963</v>
      </c>
      <c r="G319" s="26" t="s">
        <v>173</v>
      </c>
      <c r="H319" s="35" t="s">
        <v>1090</v>
      </c>
      <c r="I319" s="32"/>
      <c r="J319" s="32">
        <v>5254</v>
      </c>
      <c r="K319" s="120">
        <v>556.5</v>
      </c>
      <c r="L319" s="121">
        <v>81.37</v>
      </c>
      <c r="M319" s="121">
        <v>56.37</v>
      </c>
      <c r="N319" s="121">
        <v>38.450000000000003</v>
      </c>
      <c r="O319" s="15">
        <v>3.7</v>
      </c>
      <c r="P319" s="92" t="s">
        <v>1008</v>
      </c>
      <c r="Q319" s="37" t="s">
        <v>270</v>
      </c>
      <c r="R319" s="37">
        <v>60</v>
      </c>
      <c r="S319" s="37">
        <v>65</v>
      </c>
      <c r="T319" s="37">
        <v>68</v>
      </c>
      <c r="U319" s="37">
        <v>72</v>
      </c>
      <c r="V319" s="37">
        <v>75</v>
      </c>
      <c r="W319" s="109">
        <v>340</v>
      </c>
      <c r="X319" s="94">
        <v>30000</v>
      </c>
      <c r="Y319" s="94">
        <v>50000</v>
      </c>
      <c r="Z319" s="94">
        <v>80000</v>
      </c>
      <c r="AA319" s="94">
        <v>175000</v>
      </c>
      <c r="AB319" s="94">
        <v>300000</v>
      </c>
      <c r="AC319" s="94">
        <v>500000</v>
      </c>
      <c r="AD319" s="105">
        <v>700000</v>
      </c>
      <c r="AE319" s="105">
        <v>1000000</v>
      </c>
      <c r="AF319" s="96">
        <v>1250000</v>
      </c>
      <c r="AG319" s="96">
        <v>1450000</v>
      </c>
      <c r="AH319" s="94">
        <v>1600000</v>
      </c>
      <c r="AI319" s="94">
        <v>1705000</v>
      </c>
      <c r="AJ319" s="94">
        <v>1800000</v>
      </c>
      <c r="AK319" s="32">
        <v>1860000</v>
      </c>
      <c r="AL319" s="113">
        <v>50000000</v>
      </c>
      <c r="AM319" s="95">
        <v>240000</v>
      </c>
      <c r="AN319" s="99">
        <v>4</v>
      </c>
      <c r="AO319" s="96">
        <v>480000</v>
      </c>
      <c r="AP319" s="100">
        <v>8</v>
      </c>
      <c r="AQ319" s="97">
        <v>1200000</v>
      </c>
      <c r="AR319" s="101">
        <v>6</v>
      </c>
      <c r="AS319" s="135">
        <v>1250000</v>
      </c>
      <c r="AT319" s="135">
        <v>4</v>
      </c>
      <c r="AU319" s="32">
        <v>68000000</v>
      </c>
      <c r="AV319" s="32">
        <v>118000000</v>
      </c>
      <c r="AW319" s="32">
        <v>559</v>
      </c>
      <c r="AX319" s="32"/>
      <c r="AY319" s="32">
        <v>600</v>
      </c>
      <c r="AZ319" s="32"/>
      <c r="BA319" s="82" t="s">
        <v>641</v>
      </c>
      <c r="BB319" s="32"/>
      <c r="BC319" s="32"/>
      <c r="BD319" s="32"/>
      <c r="BE319" s="32"/>
      <c r="BF319" s="32"/>
      <c r="BG319" s="32"/>
      <c r="BH319" s="32"/>
      <c r="BI319" s="32"/>
      <c r="BJ319" s="32"/>
      <c r="BK319" s="32"/>
      <c r="BL319" s="32"/>
      <c r="BM319" s="32"/>
      <c r="BN319" s="32">
        <v>1</v>
      </c>
      <c r="BO319" s="32">
        <v>1</v>
      </c>
      <c r="BP319" s="32"/>
      <c r="BQ319" s="32"/>
      <c r="BR319" s="32"/>
      <c r="BS319" s="32"/>
      <c r="BT319" s="32"/>
      <c r="BU319" s="32"/>
      <c r="BV319" s="32" t="s">
        <v>1347</v>
      </c>
      <c r="BW319" s="32"/>
      <c r="BX319" s="32"/>
      <c r="BY319" s="32"/>
      <c r="BZ319" s="32"/>
      <c r="CA319" s="32"/>
      <c r="CB319" s="32"/>
      <c r="CC319" s="32"/>
    </row>
    <row r="320" spans="1:81" ht="18">
      <c r="A320" s="109">
        <v>318</v>
      </c>
      <c r="B320" s="138" t="s">
        <v>1633</v>
      </c>
      <c r="C320" s="139" t="s">
        <v>1634</v>
      </c>
      <c r="D320" s="138" t="s">
        <v>781</v>
      </c>
      <c r="E320" s="139" t="s">
        <v>1635</v>
      </c>
      <c r="F320" s="139" t="s">
        <v>963</v>
      </c>
      <c r="G320" s="26" t="s">
        <v>173</v>
      </c>
      <c r="H320" s="35" t="s">
        <v>1561</v>
      </c>
      <c r="I320" s="32"/>
      <c r="J320" s="17">
        <v>5337</v>
      </c>
      <c r="K320" s="126">
        <v>477.7</v>
      </c>
      <c r="L320" s="127">
        <v>80.650000000000006</v>
      </c>
      <c r="M320" s="127">
        <v>63.37</v>
      </c>
      <c r="N320" s="127">
        <v>55.62</v>
      </c>
      <c r="O320" s="15"/>
      <c r="P320" s="92" t="s">
        <v>1008</v>
      </c>
      <c r="Q320" s="37" t="s">
        <v>270</v>
      </c>
      <c r="R320" s="37">
        <v>60</v>
      </c>
      <c r="S320" s="37">
        <v>65</v>
      </c>
      <c r="T320" s="37">
        <v>68</v>
      </c>
      <c r="U320" s="37">
        <v>72</v>
      </c>
      <c r="V320" s="37">
        <v>75</v>
      </c>
      <c r="W320" s="109">
        <v>340</v>
      </c>
      <c r="X320" s="94"/>
      <c r="Y320" s="94"/>
      <c r="Z320" s="94"/>
      <c r="AA320" s="94"/>
      <c r="AB320" s="94"/>
      <c r="AC320" s="94"/>
      <c r="AD320" s="105"/>
      <c r="AE320" s="105"/>
      <c r="AF320" s="96"/>
      <c r="AG320" s="96"/>
      <c r="AH320" s="94"/>
      <c r="AI320" s="94"/>
      <c r="AJ320" s="94"/>
      <c r="AK320" s="32"/>
      <c r="AL320" s="113"/>
      <c r="AM320" s="95"/>
      <c r="AN320" s="99">
        <v>4</v>
      </c>
      <c r="AO320" s="96"/>
      <c r="AP320" s="100">
        <v>8</v>
      </c>
      <c r="AQ320" s="96"/>
      <c r="AR320" s="101">
        <v>6</v>
      </c>
      <c r="AS320" s="135"/>
      <c r="AT320" s="135">
        <v>4</v>
      </c>
      <c r="AU320" s="32"/>
      <c r="AV320" s="32"/>
      <c r="AW320" s="32">
        <v>502</v>
      </c>
      <c r="AX320" s="32"/>
      <c r="AY320" s="32">
        <v>595</v>
      </c>
      <c r="AZ320" s="32"/>
      <c r="BA320" s="82" t="s">
        <v>641</v>
      </c>
      <c r="BB320" s="32"/>
      <c r="BC320" s="32"/>
      <c r="BD320" s="32"/>
      <c r="BE320" s="32"/>
      <c r="BF320" s="32"/>
      <c r="BG320" s="32"/>
      <c r="BH320" s="32"/>
      <c r="BI320" s="32"/>
      <c r="BJ320" s="32"/>
      <c r="BK320" s="32"/>
      <c r="BL320" s="32"/>
      <c r="BM320" s="32"/>
      <c r="BN320" s="32"/>
      <c r="BO320" s="32"/>
      <c r="BP320" s="32"/>
      <c r="BQ320" s="32"/>
      <c r="BR320" s="32"/>
      <c r="BS320" s="32"/>
      <c r="BT320" s="32"/>
      <c r="BU320" s="32"/>
      <c r="BV320" s="32" t="s">
        <v>295</v>
      </c>
      <c r="BW320" s="32"/>
      <c r="BX320" s="32"/>
      <c r="BY320" s="32"/>
      <c r="BZ320" s="32"/>
      <c r="CA320" s="32"/>
      <c r="CB320" s="32"/>
      <c r="CC320" s="32"/>
    </row>
    <row r="321" spans="1:81" ht="18">
      <c r="A321" s="109">
        <v>319</v>
      </c>
      <c r="B321" s="138" t="s">
        <v>1411</v>
      </c>
      <c r="C321" s="139" t="s">
        <v>1412</v>
      </c>
      <c r="D321" s="138" t="s">
        <v>102</v>
      </c>
      <c r="E321" s="139" t="s">
        <v>1413</v>
      </c>
      <c r="F321" s="139" t="s">
        <v>963</v>
      </c>
      <c r="G321" s="26" t="s">
        <v>173</v>
      </c>
      <c r="H321" s="35" t="s">
        <v>1393</v>
      </c>
      <c r="I321" s="32"/>
      <c r="J321" s="32">
        <v>5344</v>
      </c>
      <c r="K321" s="120">
        <v>443.4</v>
      </c>
      <c r="L321" s="121">
        <v>80.150000000000006</v>
      </c>
      <c r="M321" s="121">
        <v>84.1</v>
      </c>
      <c r="N321" s="121">
        <v>55.95</v>
      </c>
      <c r="O321" s="15">
        <v>4.7</v>
      </c>
      <c r="P321" s="92" t="s">
        <v>1008</v>
      </c>
      <c r="Q321" s="37" t="s">
        <v>270</v>
      </c>
      <c r="R321" s="37">
        <v>60</v>
      </c>
      <c r="S321" s="37">
        <v>65</v>
      </c>
      <c r="T321" s="37">
        <v>68</v>
      </c>
      <c r="U321" s="37">
        <v>72</v>
      </c>
      <c r="V321" s="37">
        <v>75</v>
      </c>
      <c r="W321" s="109">
        <v>340</v>
      </c>
      <c r="X321" s="94"/>
      <c r="Y321" s="94"/>
      <c r="Z321" s="94"/>
      <c r="AA321" s="94"/>
      <c r="AB321" s="94"/>
      <c r="AC321" s="94"/>
      <c r="AD321" s="105"/>
      <c r="AE321" s="105"/>
      <c r="AF321" s="96"/>
      <c r="AG321" s="96"/>
      <c r="AH321" s="94"/>
      <c r="AI321" s="94"/>
      <c r="AJ321" s="94"/>
      <c r="AK321" s="32"/>
      <c r="AL321" s="113"/>
      <c r="AM321" s="95"/>
      <c r="AN321" s="99">
        <v>4</v>
      </c>
      <c r="AO321" s="96"/>
      <c r="AP321" s="100">
        <v>8</v>
      </c>
      <c r="AQ321" s="96"/>
      <c r="AR321" s="101">
        <v>6</v>
      </c>
      <c r="AS321" s="135"/>
      <c r="AT321" s="135">
        <v>4</v>
      </c>
      <c r="AU321" s="32"/>
      <c r="AV321" s="32"/>
      <c r="AW321" s="32">
        <v>483</v>
      </c>
      <c r="AX321" s="32">
        <v>531</v>
      </c>
      <c r="AY321" s="32">
        <v>600</v>
      </c>
      <c r="AZ321" s="32"/>
      <c r="BA321" s="82" t="s">
        <v>641</v>
      </c>
      <c r="BB321" s="32"/>
      <c r="BC321" s="32"/>
      <c r="BD321" s="32"/>
      <c r="BE321" s="32"/>
      <c r="BF321" s="32"/>
      <c r="BG321" s="32"/>
      <c r="BH321" s="32"/>
      <c r="BI321" s="32"/>
      <c r="BJ321" s="32"/>
      <c r="BK321" s="32"/>
      <c r="BL321" s="32"/>
      <c r="BM321" s="32"/>
      <c r="BN321" s="32">
        <v>1</v>
      </c>
      <c r="BO321" s="32">
        <v>1</v>
      </c>
      <c r="BP321" s="32">
        <v>1</v>
      </c>
      <c r="BQ321" s="32"/>
      <c r="BR321" s="32"/>
      <c r="BS321" s="32"/>
      <c r="BT321" s="32"/>
      <c r="BU321" s="32"/>
      <c r="BV321" s="32" t="s">
        <v>1414</v>
      </c>
      <c r="BW321" s="32"/>
      <c r="BX321" s="32"/>
      <c r="BY321" s="32"/>
      <c r="BZ321" s="32"/>
      <c r="CA321" s="32"/>
      <c r="CB321" s="32"/>
      <c r="CC321" s="32"/>
    </row>
    <row r="322" spans="1:81" ht="18">
      <c r="A322" s="109">
        <v>320</v>
      </c>
      <c r="B322" s="140" t="s">
        <v>1348</v>
      </c>
      <c r="C322" s="141" t="s">
        <v>960</v>
      </c>
      <c r="D322" s="140" t="s">
        <v>538</v>
      </c>
      <c r="E322" s="141" t="s">
        <v>959</v>
      </c>
      <c r="F322" s="141" t="s">
        <v>963</v>
      </c>
      <c r="G322" s="26" t="s">
        <v>173</v>
      </c>
      <c r="H322" s="40" t="s">
        <v>943</v>
      </c>
      <c r="I322" s="28">
        <v>5385</v>
      </c>
      <c r="J322" s="28">
        <v>5385</v>
      </c>
      <c r="K322" s="132">
        <v>497.1</v>
      </c>
      <c r="L322" s="133">
        <v>84.28</v>
      </c>
      <c r="M322" s="133">
        <v>55.58</v>
      </c>
      <c r="N322" s="133">
        <v>34.659999999999997</v>
      </c>
      <c r="O322" s="28">
        <v>3.67</v>
      </c>
      <c r="P322" s="92" t="s">
        <v>1008</v>
      </c>
      <c r="Q322" s="37" t="s">
        <v>270</v>
      </c>
      <c r="R322" s="37">
        <v>60</v>
      </c>
      <c r="S322" s="37">
        <v>65</v>
      </c>
      <c r="T322" s="37">
        <v>68</v>
      </c>
      <c r="U322" s="37">
        <v>72</v>
      </c>
      <c r="V322" s="37">
        <v>75</v>
      </c>
      <c r="W322" s="109">
        <v>340</v>
      </c>
      <c r="X322" s="94">
        <v>30000</v>
      </c>
      <c r="Y322" s="94">
        <v>50000</v>
      </c>
      <c r="Z322" s="94">
        <v>80000</v>
      </c>
      <c r="AA322" s="94">
        <v>175000</v>
      </c>
      <c r="AB322" s="94">
        <v>300000</v>
      </c>
      <c r="AC322" s="94">
        <v>500000</v>
      </c>
      <c r="AD322" s="105">
        <v>700000</v>
      </c>
      <c r="AE322" s="105">
        <v>1000000</v>
      </c>
      <c r="AF322" s="96">
        <v>1250000</v>
      </c>
      <c r="AG322" s="96">
        <v>1450000</v>
      </c>
      <c r="AH322" s="94">
        <v>1600000</v>
      </c>
      <c r="AI322" s="94">
        <v>1705000</v>
      </c>
      <c r="AJ322" s="94">
        <v>1800000</v>
      </c>
      <c r="AK322" s="32">
        <v>1860000</v>
      </c>
      <c r="AL322" s="113">
        <v>50000000</v>
      </c>
      <c r="AM322" s="95">
        <v>150000</v>
      </c>
      <c r="AN322" s="99">
        <v>4</v>
      </c>
      <c r="AO322" s="96">
        <v>300000</v>
      </c>
      <c r="AP322" s="100">
        <v>8</v>
      </c>
      <c r="AQ322" s="96">
        <v>750000</v>
      </c>
      <c r="AR322" s="101">
        <v>6</v>
      </c>
      <c r="AS322" s="135">
        <v>1250000</v>
      </c>
      <c r="AT322" s="135">
        <v>4</v>
      </c>
      <c r="AU322" s="32">
        <v>50000000</v>
      </c>
      <c r="AV322" s="32">
        <v>100000000</v>
      </c>
      <c r="AW322" s="32">
        <v>522</v>
      </c>
      <c r="AX322" s="32"/>
      <c r="AY322" s="32">
        <v>600</v>
      </c>
      <c r="AZ322" s="32"/>
      <c r="BA322" s="32" t="s">
        <v>641</v>
      </c>
      <c r="BB322" s="32"/>
      <c r="BC322" s="32"/>
      <c r="BD322" s="32"/>
      <c r="BE322" s="32"/>
      <c r="BF322" s="32"/>
      <c r="BG322" s="32"/>
      <c r="BH322" s="32"/>
      <c r="BI322" s="32"/>
      <c r="BJ322" s="32"/>
      <c r="BK322" s="32"/>
      <c r="BL322" s="32"/>
      <c r="BM322" s="32"/>
      <c r="BN322" s="32">
        <v>1</v>
      </c>
      <c r="BO322" s="32">
        <v>1</v>
      </c>
      <c r="BP322" s="32"/>
      <c r="BQ322" s="32"/>
      <c r="BR322" s="32"/>
      <c r="BS322" s="32"/>
      <c r="BT322" s="32"/>
      <c r="BU322" s="32"/>
      <c r="BV322" s="32" t="s">
        <v>267</v>
      </c>
      <c r="BW322" s="32"/>
      <c r="BX322" s="32"/>
      <c r="BY322" s="32"/>
      <c r="BZ322" s="32"/>
      <c r="CA322" s="32"/>
      <c r="CB322" s="32"/>
      <c r="CC322" s="32"/>
    </row>
    <row r="323" spans="1:81" ht="18">
      <c r="A323" s="109">
        <v>321</v>
      </c>
      <c r="B323" s="140" t="s">
        <v>1349</v>
      </c>
      <c r="C323" s="141" t="s">
        <v>1060</v>
      </c>
      <c r="D323" s="138" t="s">
        <v>538</v>
      </c>
      <c r="E323" s="141" t="s">
        <v>1066</v>
      </c>
      <c r="F323" s="141" t="s">
        <v>963</v>
      </c>
      <c r="G323" s="26" t="s">
        <v>173</v>
      </c>
      <c r="H323" s="40" t="s">
        <v>1049</v>
      </c>
      <c r="I323" s="28"/>
      <c r="J323" s="28">
        <v>5602</v>
      </c>
      <c r="K323" s="132">
        <v>510.1</v>
      </c>
      <c r="L323" s="133">
        <v>83.26</v>
      </c>
      <c r="M323" s="133">
        <v>64.819999999999993</v>
      </c>
      <c r="N323" s="133">
        <v>44.58</v>
      </c>
      <c r="O323" s="31">
        <v>4</v>
      </c>
      <c r="P323" s="92" t="s">
        <v>1008</v>
      </c>
      <c r="Q323" s="37" t="s">
        <v>270</v>
      </c>
      <c r="R323" s="37">
        <v>60</v>
      </c>
      <c r="S323" s="37">
        <v>65</v>
      </c>
      <c r="T323" s="37">
        <v>68</v>
      </c>
      <c r="U323" s="37">
        <v>72</v>
      </c>
      <c r="V323" s="37">
        <v>75</v>
      </c>
      <c r="W323" s="109">
        <v>340</v>
      </c>
      <c r="X323" s="94">
        <v>30000</v>
      </c>
      <c r="Y323" s="94">
        <v>50000</v>
      </c>
      <c r="Z323" s="94">
        <v>80000</v>
      </c>
      <c r="AA323" s="94">
        <v>175000</v>
      </c>
      <c r="AB323" s="94">
        <v>300000</v>
      </c>
      <c r="AC323" s="94">
        <v>500000</v>
      </c>
      <c r="AD323" s="105">
        <v>700000</v>
      </c>
      <c r="AE323" s="105">
        <v>1000000</v>
      </c>
      <c r="AF323" s="96">
        <v>1250000</v>
      </c>
      <c r="AG323" s="96">
        <v>1450000</v>
      </c>
      <c r="AH323" s="94">
        <v>1600000</v>
      </c>
      <c r="AI323" s="94">
        <v>1705000</v>
      </c>
      <c r="AJ323" s="94">
        <v>1800000</v>
      </c>
      <c r="AK323" s="32">
        <v>1860000</v>
      </c>
      <c r="AL323" s="113">
        <v>50000000</v>
      </c>
      <c r="AM323" s="95">
        <v>150000</v>
      </c>
      <c r="AN323" s="99">
        <v>4</v>
      </c>
      <c r="AO323" s="96">
        <v>300000</v>
      </c>
      <c r="AP323" s="100">
        <v>8</v>
      </c>
      <c r="AQ323" s="96">
        <v>750000</v>
      </c>
      <c r="AR323" s="101">
        <v>6</v>
      </c>
      <c r="AS323" s="135">
        <v>1250000</v>
      </c>
      <c r="AT323" s="135">
        <v>4</v>
      </c>
      <c r="AU323" s="32">
        <v>50000000</v>
      </c>
      <c r="AV323" s="32">
        <v>100000000</v>
      </c>
      <c r="AW323" s="32">
        <v>536</v>
      </c>
      <c r="AX323" s="32"/>
      <c r="AY323" s="32">
        <v>600</v>
      </c>
      <c r="AZ323" s="32"/>
      <c r="BA323" s="32" t="s">
        <v>1061</v>
      </c>
      <c r="BB323" s="32"/>
      <c r="BC323" s="32"/>
      <c r="BD323" s="32"/>
      <c r="BE323" s="32"/>
      <c r="BF323" s="32"/>
      <c r="BG323" s="32"/>
      <c r="BH323" s="32"/>
      <c r="BI323" s="32"/>
      <c r="BJ323" s="32"/>
      <c r="BK323" s="32"/>
      <c r="BL323" s="32"/>
      <c r="BM323" s="32"/>
      <c r="BN323" s="32"/>
      <c r="BO323" s="32">
        <v>1</v>
      </c>
      <c r="BP323" s="32"/>
      <c r="BQ323" s="32"/>
      <c r="BR323" s="32"/>
      <c r="BS323" s="32"/>
      <c r="BT323" s="32"/>
      <c r="BU323" s="32"/>
      <c r="BV323" s="32" t="s">
        <v>1323</v>
      </c>
      <c r="BW323" s="32"/>
      <c r="BX323" s="32"/>
      <c r="BY323" s="32">
        <v>1</v>
      </c>
      <c r="BZ323" s="32">
        <v>0</v>
      </c>
      <c r="CA323" s="32"/>
      <c r="CB323" s="32"/>
      <c r="CC323" s="32"/>
    </row>
    <row r="324" spans="1:81" ht="18">
      <c r="A324" s="109">
        <v>322</v>
      </c>
      <c r="B324" s="140" t="s">
        <v>1523</v>
      </c>
      <c r="C324" s="141" t="s">
        <v>1524</v>
      </c>
      <c r="D324" s="138" t="s">
        <v>780</v>
      </c>
      <c r="E324" s="141" t="s">
        <v>1525</v>
      </c>
      <c r="F324" s="141" t="s">
        <v>963</v>
      </c>
      <c r="G324" s="26" t="s">
        <v>173</v>
      </c>
      <c r="H324" s="40" t="s">
        <v>1491</v>
      </c>
      <c r="I324" s="28"/>
      <c r="J324" s="28">
        <v>5611</v>
      </c>
      <c r="K324" s="132">
        <v>453.1</v>
      </c>
      <c r="L324" s="133">
        <v>89.07</v>
      </c>
      <c r="M324" s="133">
        <v>76.53</v>
      </c>
      <c r="N324" s="133">
        <v>48.88</v>
      </c>
      <c r="O324" s="31"/>
      <c r="P324" s="92" t="s">
        <v>1008</v>
      </c>
      <c r="Q324" s="37" t="s">
        <v>270</v>
      </c>
      <c r="R324" s="37">
        <v>60</v>
      </c>
      <c r="S324" s="37">
        <v>65</v>
      </c>
      <c r="T324" s="37">
        <v>68</v>
      </c>
      <c r="U324" s="37">
        <v>72</v>
      </c>
      <c r="V324" s="37">
        <v>75</v>
      </c>
      <c r="W324" s="109">
        <v>340</v>
      </c>
      <c r="X324" s="94"/>
      <c r="Y324" s="94"/>
      <c r="Z324" s="94"/>
      <c r="AA324" s="94"/>
      <c r="AB324" s="94"/>
      <c r="AC324" s="94"/>
      <c r="AD324" s="105"/>
      <c r="AE324" s="105"/>
      <c r="AF324" s="96"/>
      <c r="AG324" s="96"/>
      <c r="AH324" s="94"/>
      <c r="AI324" s="94"/>
      <c r="AJ324" s="94"/>
      <c r="AK324" s="32"/>
      <c r="AL324" s="113"/>
      <c r="AM324" s="95"/>
      <c r="AN324" s="99">
        <v>4</v>
      </c>
      <c r="AO324" s="96"/>
      <c r="AP324" s="100">
        <v>8</v>
      </c>
      <c r="AQ324" s="96"/>
      <c r="AR324" s="101">
        <v>6</v>
      </c>
      <c r="AS324" s="135"/>
      <c r="AT324" s="135">
        <v>4</v>
      </c>
      <c r="AU324" s="32"/>
      <c r="AV324" s="32"/>
      <c r="AW324" s="32">
        <v>480</v>
      </c>
      <c r="AX324" s="32"/>
      <c r="AY324" s="32">
        <v>585</v>
      </c>
      <c r="AZ324" s="32"/>
      <c r="BA324" s="32" t="s">
        <v>641</v>
      </c>
      <c r="BB324" s="32"/>
      <c r="BC324" s="32"/>
      <c r="BD324" s="32"/>
      <c r="BE324" s="32"/>
      <c r="BF324" s="32"/>
      <c r="BG324" s="32"/>
      <c r="BH324" s="32"/>
      <c r="BI324" s="32"/>
      <c r="BJ324" s="32"/>
      <c r="BK324" s="32"/>
      <c r="BL324" s="32"/>
      <c r="BM324" s="32"/>
      <c r="BN324" s="32"/>
      <c r="BO324" s="32"/>
      <c r="BP324" s="32"/>
      <c r="BQ324" s="32"/>
      <c r="BR324" s="32"/>
      <c r="BS324" s="32"/>
      <c r="BT324" s="32"/>
      <c r="BU324" s="32"/>
      <c r="BV324" s="32" t="s">
        <v>1526</v>
      </c>
      <c r="BW324" s="32"/>
      <c r="BX324" s="32"/>
      <c r="BY324" s="32"/>
      <c r="BZ324" s="32"/>
      <c r="CA324" s="32"/>
      <c r="CB324" s="32"/>
      <c r="CC324" s="32"/>
    </row>
    <row r="325" spans="1:81" ht="18">
      <c r="A325" s="109">
        <v>323</v>
      </c>
      <c r="B325" s="140" t="s">
        <v>1636</v>
      </c>
      <c r="C325" s="141" t="s">
        <v>1637</v>
      </c>
      <c r="D325" s="138" t="s">
        <v>804</v>
      </c>
      <c r="E325" s="141" t="s">
        <v>1638</v>
      </c>
      <c r="F325" s="141" t="s">
        <v>963</v>
      </c>
      <c r="G325" s="26" t="s">
        <v>173</v>
      </c>
      <c r="H325" s="40" t="s">
        <v>1567</v>
      </c>
      <c r="I325" s="28"/>
      <c r="J325" s="28">
        <v>5656</v>
      </c>
      <c r="K325" s="132">
        <v>535.4</v>
      </c>
      <c r="L325" s="133">
        <v>82.77</v>
      </c>
      <c r="M325" s="133">
        <v>55.58</v>
      </c>
      <c r="N325" s="133">
        <v>50.2</v>
      </c>
      <c r="O325" s="31"/>
      <c r="P325" s="92" t="s">
        <v>1008</v>
      </c>
      <c r="Q325" s="37" t="s">
        <v>270</v>
      </c>
      <c r="R325" s="37">
        <v>60</v>
      </c>
      <c r="S325" s="37">
        <v>65</v>
      </c>
      <c r="T325" s="37">
        <v>68</v>
      </c>
      <c r="U325" s="37">
        <v>72</v>
      </c>
      <c r="V325" s="37">
        <v>75</v>
      </c>
      <c r="W325" s="109">
        <v>340</v>
      </c>
      <c r="X325" s="94"/>
      <c r="Y325" s="94"/>
      <c r="Z325" s="94"/>
      <c r="AA325" s="94"/>
      <c r="AB325" s="94"/>
      <c r="AC325" s="94"/>
      <c r="AD325" s="105"/>
      <c r="AE325" s="105"/>
      <c r="AF325" s="96"/>
      <c r="AG325" s="96"/>
      <c r="AH325" s="94"/>
      <c r="AI325" s="94"/>
      <c r="AJ325" s="94"/>
      <c r="AK325" s="32"/>
      <c r="AL325" s="113"/>
      <c r="AM325" s="95"/>
      <c r="AN325" s="99">
        <v>4</v>
      </c>
      <c r="AO325" s="96"/>
      <c r="AP325" s="100">
        <v>8</v>
      </c>
      <c r="AQ325" s="96"/>
      <c r="AR325" s="101">
        <v>6</v>
      </c>
      <c r="AS325" s="135"/>
      <c r="AT325" s="135">
        <v>4</v>
      </c>
      <c r="AU325" s="32"/>
      <c r="AV325" s="32"/>
      <c r="AW325" s="32">
        <v>554</v>
      </c>
      <c r="AX325" s="32"/>
      <c r="AY325" s="32">
        <v>600</v>
      </c>
      <c r="AZ325" s="32"/>
      <c r="BA325" s="32" t="s">
        <v>641</v>
      </c>
      <c r="BB325" s="32"/>
      <c r="BC325" s="32"/>
      <c r="BD325" s="32"/>
      <c r="BE325" s="32"/>
      <c r="BF325" s="32"/>
      <c r="BG325" s="32"/>
      <c r="BH325" s="32"/>
      <c r="BI325" s="32"/>
      <c r="BJ325" s="32"/>
      <c r="BK325" s="32"/>
      <c r="BL325" s="32"/>
      <c r="BM325" s="32"/>
      <c r="BN325" s="32"/>
      <c r="BO325" s="32"/>
      <c r="BP325" s="32"/>
      <c r="BQ325" s="32"/>
      <c r="BR325" s="32"/>
      <c r="BS325" s="32"/>
      <c r="BT325" s="32"/>
      <c r="BU325" s="32"/>
      <c r="BV325" s="32" t="s">
        <v>865</v>
      </c>
      <c r="BW325" s="32"/>
      <c r="BX325" s="32"/>
      <c r="BY325" s="32"/>
      <c r="BZ325" s="32"/>
      <c r="CA325" s="32"/>
      <c r="CB325" s="32"/>
      <c r="CC325" s="32"/>
    </row>
    <row r="326" spans="1:81" ht="18">
      <c r="A326" s="109">
        <v>324</v>
      </c>
      <c r="B326" s="140" t="s">
        <v>1350</v>
      </c>
      <c r="C326" s="141" t="s">
        <v>1009</v>
      </c>
      <c r="D326" s="138" t="s">
        <v>262</v>
      </c>
      <c r="E326" s="141" t="s">
        <v>1010</v>
      </c>
      <c r="F326" s="141" t="s">
        <v>963</v>
      </c>
      <c r="G326" s="26" t="s">
        <v>173</v>
      </c>
      <c r="H326" s="40" t="s">
        <v>992</v>
      </c>
      <c r="I326" s="28">
        <v>5664</v>
      </c>
      <c r="J326" s="28">
        <v>5664</v>
      </c>
      <c r="K326" s="132">
        <v>548.1</v>
      </c>
      <c r="L326" s="133">
        <v>82.27</v>
      </c>
      <c r="M326" s="133">
        <v>50.53</v>
      </c>
      <c r="N326" s="133">
        <v>52.89</v>
      </c>
      <c r="O326" s="31">
        <v>4.3</v>
      </c>
      <c r="P326" s="92" t="s">
        <v>1008</v>
      </c>
      <c r="Q326" s="37">
        <v>60</v>
      </c>
      <c r="R326" s="37">
        <v>60</v>
      </c>
      <c r="S326" s="37">
        <v>62</v>
      </c>
      <c r="T326" s="37">
        <v>62</v>
      </c>
      <c r="U326" s="37">
        <v>65</v>
      </c>
      <c r="V326" s="37">
        <v>70</v>
      </c>
      <c r="W326" s="109">
        <v>379</v>
      </c>
      <c r="X326" s="94">
        <v>30000</v>
      </c>
      <c r="Y326" s="94">
        <v>50000</v>
      </c>
      <c r="Z326" s="94">
        <v>80000</v>
      </c>
      <c r="AA326" s="94">
        <v>175000</v>
      </c>
      <c r="AB326" s="94">
        <v>300000</v>
      </c>
      <c r="AC326" s="94">
        <v>500000</v>
      </c>
      <c r="AD326" s="105">
        <v>700000</v>
      </c>
      <c r="AE326" s="105">
        <v>1000000</v>
      </c>
      <c r="AF326" s="96">
        <v>1250000</v>
      </c>
      <c r="AG326" s="96">
        <v>1450000</v>
      </c>
      <c r="AH326" s="94">
        <v>1600000</v>
      </c>
      <c r="AI326" s="94">
        <v>1705000</v>
      </c>
      <c r="AJ326" s="94">
        <v>1800000</v>
      </c>
      <c r="AK326" s="32">
        <v>1860000</v>
      </c>
      <c r="AL326" s="113">
        <v>50000000</v>
      </c>
      <c r="AM326" s="95">
        <v>150000</v>
      </c>
      <c r="AN326" s="99">
        <v>4</v>
      </c>
      <c r="AO326" s="96">
        <v>300000</v>
      </c>
      <c r="AP326" s="100">
        <v>8</v>
      </c>
      <c r="AQ326" s="96">
        <v>750000</v>
      </c>
      <c r="AR326" s="101">
        <v>6</v>
      </c>
      <c r="AS326" s="135">
        <v>1250000</v>
      </c>
      <c r="AT326" s="135">
        <v>4</v>
      </c>
      <c r="AU326" s="32">
        <v>50000000</v>
      </c>
      <c r="AV326" s="32">
        <v>100000000</v>
      </c>
      <c r="AW326" s="32">
        <v>559</v>
      </c>
      <c r="AX326" s="32"/>
      <c r="AY326" s="32">
        <v>600</v>
      </c>
      <c r="AZ326" s="32"/>
      <c r="BA326" s="32" t="s">
        <v>1011</v>
      </c>
      <c r="BB326" s="32"/>
      <c r="BC326" s="32"/>
      <c r="BD326" s="32"/>
      <c r="BE326" s="32"/>
      <c r="BF326" s="32"/>
      <c r="BG326" s="32"/>
      <c r="BH326" s="32"/>
      <c r="BI326" s="32"/>
      <c r="BJ326" s="32"/>
      <c r="BK326" s="32"/>
      <c r="BL326" s="32"/>
      <c r="BM326" s="32"/>
      <c r="BN326" s="32"/>
      <c r="BO326" s="32"/>
      <c r="BP326" s="32"/>
      <c r="BQ326" s="32"/>
      <c r="BR326" s="32"/>
      <c r="BS326" s="32"/>
      <c r="BT326" s="32"/>
      <c r="BU326" s="32"/>
      <c r="BV326" s="32" t="s">
        <v>938</v>
      </c>
      <c r="BW326" s="32"/>
      <c r="BX326" s="32"/>
      <c r="BY326" s="32"/>
      <c r="BZ326" s="32"/>
      <c r="CA326" s="32"/>
      <c r="CB326" s="32"/>
      <c r="CC326" s="32"/>
    </row>
    <row r="327" spans="1:81" ht="18">
      <c r="A327" s="28"/>
      <c r="B327" s="29"/>
      <c r="C327" s="29"/>
      <c r="D327" s="29"/>
      <c r="E327" s="30"/>
      <c r="F327" s="30"/>
      <c r="G327" s="29"/>
      <c r="H327" s="40"/>
      <c r="I327" s="28"/>
      <c r="J327" s="28"/>
      <c r="K327" s="132"/>
      <c r="L327" s="133"/>
      <c r="M327" s="133"/>
      <c r="N327" s="133"/>
      <c r="O327" s="31"/>
      <c r="P327" s="28"/>
      <c r="Q327" s="28"/>
      <c r="R327" s="28"/>
      <c r="S327" s="28"/>
      <c r="T327" s="28"/>
      <c r="U327" s="28"/>
      <c r="V327" s="28"/>
      <c r="W327" s="28"/>
      <c r="X327" s="28"/>
      <c r="Y327" s="28"/>
      <c r="Z327" s="28"/>
      <c r="AA327" s="28"/>
      <c r="AB327" s="28"/>
      <c r="AC327" s="28"/>
      <c r="AD327" s="28"/>
      <c r="AE327" s="32"/>
      <c r="AF327" s="32"/>
      <c r="AG327" s="32"/>
      <c r="AH327" s="32"/>
      <c r="AI327" s="32"/>
      <c r="AJ327" s="32"/>
      <c r="AK327" s="32"/>
      <c r="AL327" s="32"/>
      <c r="AM327" s="32"/>
      <c r="AN327" s="32"/>
      <c r="AO327" s="32"/>
      <c r="AP327" s="32"/>
      <c r="AQ327" s="32"/>
      <c r="AR327" s="32"/>
      <c r="AS327" s="32"/>
      <c r="AT327" s="32"/>
      <c r="AU327" s="32"/>
      <c r="AV327" s="32"/>
      <c r="AW327" s="32"/>
      <c r="AX327" s="32"/>
      <c r="AY327" s="32"/>
      <c r="AZ327" s="32"/>
      <c r="BA327" s="32"/>
      <c r="BB327" s="32"/>
      <c r="BC327" s="32"/>
      <c r="BD327" s="32"/>
      <c r="BE327" s="32"/>
      <c r="BF327" s="32"/>
      <c r="BG327" s="32"/>
      <c r="BH327" s="32"/>
      <c r="BI327" s="32"/>
      <c r="BJ327" s="32"/>
      <c r="BK327" s="32"/>
      <c r="BL327" s="32"/>
      <c r="BM327" s="32"/>
      <c r="BN327" s="32"/>
      <c r="BO327" s="32"/>
      <c r="BP327" s="32"/>
      <c r="BQ327" s="32"/>
      <c r="BR327" s="32"/>
      <c r="BS327" s="32"/>
      <c r="BT327" s="32"/>
      <c r="BU327" s="32"/>
      <c r="BV327" s="32"/>
      <c r="BW327" s="32"/>
      <c r="BX327" s="32"/>
      <c r="BY327" s="32"/>
      <c r="BZ327" s="32"/>
      <c r="CA327" s="32"/>
      <c r="CB327" s="32"/>
      <c r="CC327" s="32"/>
    </row>
    <row r="328" spans="1:81" ht="18">
      <c r="A328" s="28"/>
      <c r="B328" s="29"/>
      <c r="C328" s="29"/>
      <c r="D328" s="29"/>
      <c r="E328" s="30"/>
      <c r="F328" s="30"/>
      <c r="G328" s="29"/>
      <c r="H328" s="40"/>
      <c r="I328" s="28"/>
      <c r="J328" s="28"/>
      <c r="K328" s="132"/>
      <c r="L328" s="133"/>
      <c r="M328" s="133"/>
      <c r="N328" s="133"/>
      <c r="O328" s="31"/>
      <c r="P328" s="28"/>
      <c r="Q328" s="28"/>
      <c r="R328" s="28"/>
      <c r="S328" s="28"/>
      <c r="T328" s="28"/>
      <c r="U328" s="28"/>
      <c r="V328" s="28"/>
      <c r="W328" s="28"/>
      <c r="X328" s="28"/>
      <c r="Y328" s="28"/>
      <c r="Z328" s="28"/>
      <c r="AA328" s="28"/>
      <c r="AB328" s="28"/>
      <c r="AC328" s="28"/>
      <c r="AD328" s="28"/>
      <c r="AE328" s="32"/>
      <c r="AF328" s="32"/>
      <c r="AG328" s="32"/>
      <c r="AH328" s="32"/>
      <c r="AI328" s="32"/>
      <c r="AJ328" s="32"/>
      <c r="AK328" s="32"/>
      <c r="AL328" s="32"/>
      <c r="AM328" s="32"/>
      <c r="AN328" s="32"/>
      <c r="AO328" s="32"/>
      <c r="AP328" s="32"/>
      <c r="AQ328" s="32"/>
      <c r="AR328" s="32"/>
      <c r="AS328" s="32"/>
      <c r="AT328" s="32"/>
      <c r="AU328" s="32"/>
      <c r="AV328" s="32"/>
      <c r="AW328" s="32"/>
      <c r="AX328" s="32"/>
      <c r="AY328" s="32"/>
      <c r="AZ328" s="32"/>
      <c r="BA328" s="32"/>
      <c r="BB328" s="32"/>
      <c r="BC328" s="32"/>
      <c r="BD328" s="32"/>
      <c r="BE328" s="32"/>
      <c r="BF328" s="32"/>
      <c r="BG328" s="32"/>
      <c r="BH328" s="32"/>
      <c r="BI328" s="32"/>
      <c r="BJ328" s="32"/>
      <c r="BK328" s="32"/>
      <c r="BL328" s="32"/>
      <c r="BM328" s="32"/>
      <c r="BN328" s="32"/>
      <c r="BO328" s="32"/>
      <c r="BP328" s="32"/>
      <c r="BQ328" s="32"/>
      <c r="BR328" s="32"/>
      <c r="BS328" s="32"/>
      <c r="BT328" s="32"/>
      <c r="BU328" s="32"/>
      <c r="BV328" s="32"/>
      <c r="BW328" s="32"/>
      <c r="BX328" s="32"/>
      <c r="BY328" s="32"/>
      <c r="BZ328" s="32"/>
      <c r="CA328" s="32"/>
      <c r="CB328" s="32"/>
      <c r="CC328" s="32"/>
    </row>
    <row r="329" spans="1:81" ht="18">
      <c r="A329" s="28"/>
      <c r="B329" s="29"/>
      <c r="C329" s="29"/>
      <c r="D329" s="29"/>
      <c r="E329" s="30"/>
      <c r="F329" s="30"/>
      <c r="G329" s="29"/>
      <c r="H329" s="40"/>
      <c r="I329" s="28"/>
      <c r="J329" s="28"/>
      <c r="K329" s="132"/>
      <c r="L329" s="133"/>
      <c r="M329" s="133"/>
      <c r="N329" s="133"/>
      <c r="O329" s="31"/>
      <c r="P329" s="28"/>
      <c r="Q329" s="28"/>
      <c r="R329" s="28"/>
      <c r="S329" s="28"/>
      <c r="T329" s="28"/>
      <c r="U329" s="28"/>
      <c r="V329" s="28"/>
      <c r="W329" s="28"/>
      <c r="X329" s="28"/>
      <c r="Y329" s="28"/>
      <c r="Z329" s="28"/>
      <c r="AA329" s="28"/>
      <c r="AB329" s="28"/>
      <c r="AC329" s="28"/>
      <c r="AD329" s="28"/>
      <c r="AE329" s="32"/>
      <c r="AF329" s="32"/>
      <c r="AG329" s="32"/>
      <c r="AH329" s="32"/>
      <c r="AI329" s="32"/>
      <c r="AJ329" s="32"/>
      <c r="AK329" s="32"/>
      <c r="AL329" s="32"/>
      <c r="AM329" s="32"/>
      <c r="AN329" s="32"/>
      <c r="AO329" s="32"/>
      <c r="AP329" s="32"/>
      <c r="AQ329" s="32"/>
      <c r="AR329" s="32"/>
      <c r="AS329" s="32"/>
      <c r="AT329" s="32"/>
      <c r="AU329" s="32"/>
      <c r="AV329" s="32"/>
      <c r="AW329" s="32"/>
      <c r="AX329" s="32"/>
      <c r="AY329" s="32"/>
      <c r="AZ329" s="32"/>
      <c r="BA329" s="32"/>
      <c r="BB329" s="32"/>
      <c r="BC329" s="32"/>
      <c r="BD329" s="32"/>
      <c r="BE329" s="32"/>
      <c r="BF329" s="32"/>
      <c r="BG329" s="32"/>
      <c r="BH329" s="32"/>
      <c r="BI329" s="32"/>
      <c r="BJ329" s="32"/>
      <c r="BK329" s="32"/>
      <c r="BL329" s="32"/>
      <c r="BM329" s="32"/>
      <c r="BN329" s="32"/>
      <c r="BO329" s="32"/>
      <c r="BP329" s="32"/>
      <c r="BQ329" s="32"/>
      <c r="BR329" s="32"/>
      <c r="BS329" s="32"/>
      <c r="BT329" s="32"/>
      <c r="BU329" s="32"/>
      <c r="BV329" s="32"/>
      <c r="BW329" s="32"/>
      <c r="BX329" s="32"/>
      <c r="BY329" s="32"/>
      <c r="BZ329" s="32"/>
      <c r="CA329" s="32"/>
      <c r="CB329" s="32"/>
      <c r="CC329" s="32"/>
    </row>
    <row r="330" spans="1:81" ht="18">
      <c r="A330" s="28"/>
      <c r="B330" s="29"/>
      <c r="C330" s="29"/>
      <c r="D330" s="29"/>
      <c r="E330" s="30"/>
      <c r="F330" s="30"/>
      <c r="G330" s="29"/>
      <c r="H330" s="40"/>
      <c r="I330" s="28"/>
      <c r="J330" s="28"/>
      <c r="K330" s="132"/>
      <c r="L330" s="133"/>
      <c r="M330" s="133"/>
      <c r="N330" s="133"/>
      <c r="O330" s="31"/>
      <c r="P330" s="28"/>
      <c r="Q330" s="28"/>
      <c r="R330" s="28"/>
      <c r="S330" s="28"/>
      <c r="T330" s="28"/>
      <c r="U330" s="28"/>
      <c r="V330" s="28"/>
      <c r="W330" s="28"/>
      <c r="X330" s="28"/>
      <c r="Y330" s="28"/>
      <c r="Z330" s="28"/>
      <c r="AA330" s="28"/>
      <c r="AB330" s="28"/>
      <c r="AC330" s="28"/>
      <c r="AD330" s="28"/>
      <c r="AE330" s="32"/>
      <c r="AF330" s="32"/>
      <c r="AG330" s="32"/>
      <c r="AH330" s="32"/>
      <c r="AI330" s="32"/>
      <c r="AJ330" s="32"/>
      <c r="AK330" s="32"/>
      <c r="AL330" s="32"/>
      <c r="AM330" s="32"/>
      <c r="AN330" s="32"/>
      <c r="AO330" s="32"/>
      <c r="AP330" s="32"/>
      <c r="AQ330" s="32"/>
      <c r="AR330" s="32"/>
      <c r="AS330" s="32"/>
      <c r="AT330" s="32"/>
      <c r="AU330" s="32"/>
      <c r="AV330" s="32"/>
      <c r="AW330" s="32"/>
      <c r="AX330" s="32"/>
      <c r="AY330" s="32"/>
      <c r="AZ330" s="32"/>
      <c r="BA330" s="32"/>
      <c r="BB330" s="32"/>
      <c r="BC330" s="32"/>
      <c r="BD330" s="32"/>
      <c r="BE330" s="32"/>
      <c r="BF330" s="32"/>
      <c r="BG330" s="32"/>
      <c r="BH330" s="32"/>
      <c r="BI330" s="32"/>
      <c r="BJ330" s="32"/>
      <c r="BK330" s="32"/>
      <c r="BL330" s="32"/>
      <c r="BM330" s="32"/>
      <c r="BN330" s="32"/>
      <c r="BO330" s="32"/>
      <c r="BP330" s="32"/>
      <c r="BQ330" s="32"/>
      <c r="BR330" s="32"/>
      <c r="BS330" s="32"/>
      <c r="BT330" s="32"/>
      <c r="BU330" s="32"/>
      <c r="BV330" s="32"/>
      <c r="BW330" s="32"/>
      <c r="BX330" s="32"/>
      <c r="BY330" s="32"/>
      <c r="BZ330" s="32"/>
      <c r="CA330" s="32"/>
      <c r="CB330" s="32"/>
      <c r="CC330" s="32"/>
    </row>
    <row r="331" spans="1:81" ht="18">
      <c r="A331" s="28"/>
      <c r="B331" s="29"/>
      <c r="C331" s="29"/>
      <c r="D331" s="29"/>
      <c r="E331" s="30"/>
      <c r="F331" s="30"/>
      <c r="G331" s="29"/>
      <c r="H331" s="40"/>
      <c r="I331" s="28"/>
      <c r="J331" s="28"/>
      <c r="K331" s="132"/>
      <c r="L331" s="133"/>
      <c r="M331" s="133"/>
      <c r="N331" s="133"/>
      <c r="O331" s="31"/>
      <c r="P331" s="28"/>
      <c r="Q331" s="28"/>
      <c r="R331" s="28"/>
      <c r="S331" s="28"/>
      <c r="T331" s="28"/>
      <c r="U331" s="28"/>
      <c r="V331" s="28"/>
      <c r="W331" s="28"/>
      <c r="X331" s="28"/>
      <c r="Y331" s="28"/>
      <c r="Z331" s="28"/>
      <c r="AA331" s="28"/>
      <c r="AB331" s="28"/>
      <c r="AC331" s="28"/>
      <c r="AD331" s="28"/>
      <c r="AE331" s="32"/>
      <c r="AF331" s="32"/>
      <c r="AG331" s="32"/>
      <c r="AH331" s="32"/>
      <c r="AI331" s="32"/>
      <c r="AJ331" s="32"/>
      <c r="AK331" s="32"/>
      <c r="AL331" s="32"/>
      <c r="AM331" s="32"/>
      <c r="AN331" s="32"/>
      <c r="AO331" s="32"/>
      <c r="AP331" s="32"/>
      <c r="AQ331" s="32"/>
      <c r="AR331" s="32"/>
      <c r="AS331" s="32"/>
      <c r="AT331" s="32"/>
      <c r="AU331" s="32"/>
      <c r="AV331" s="32"/>
      <c r="AW331" s="32"/>
      <c r="AX331" s="32"/>
      <c r="AY331" s="32"/>
      <c r="AZ331" s="32"/>
      <c r="BA331" s="32"/>
      <c r="BB331" s="32"/>
      <c r="BC331" s="32"/>
      <c r="BD331" s="32"/>
      <c r="BE331" s="32"/>
      <c r="BF331" s="32"/>
      <c r="BG331" s="32"/>
      <c r="BH331" s="32"/>
      <c r="BI331" s="32"/>
      <c r="BJ331" s="32"/>
      <c r="BK331" s="32"/>
      <c r="BL331" s="32"/>
      <c r="BM331" s="32"/>
      <c r="BN331" s="32"/>
      <c r="BO331" s="32"/>
      <c r="BP331" s="32"/>
      <c r="BQ331" s="32"/>
      <c r="BR331" s="32"/>
      <c r="BS331" s="32"/>
      <c r="BT331" s="32"/>
      <c r="BU331" s="32"/>
      <c r="BV331" s="32"/>
      <c r="BW331" s="32"/>
      <c r="BX331" s="32"/>
      <c r="BY331" s="32"/>
      <c r="BZ331" s="32"/>
      <c r="CA331" s="32"/>
      <c r="CB331" s="32"/>
      <c r="CC331" s="32"/>
    </row>
    <row r="332" spans="1:81" ht="18">
      <c r="A332" s="28"/>
      <c r="B332" s="29"/>
      <c r="C332" s="29"/>
      <c r="D332" s="29"/>
      <c r="E332" s="30"/>
      <c r="F332" s="30"/>
      <c r="G332" s="29"/>
      <c r="H332" s="40"/>
      <c r="I332" s="28"/>
      <c r="J332" s="28"/>
      <c r="K332" s="132"/>
      <c r="L332" s="133"/>
      <c r="M332" s="133"/>
      <c r="N332" s="133"/>
      <c r="O332" s="31"/>
      <c r="P332" s="28"/>
      <c r="Q332" s="28"/>
      <c r="R332" s="28"/>
      <c r="S332" s="28"/>
      <c r="T332" s="28"/>
      <c r="U332" s="28"/>
      <c r="V332" s="28"/>
      <c r="W332" s="28"/>
      <c r="X332" s="28"/>
      <c r="Y332" s="28"/>
      <c r="Z332" s="28"/>
      <c r="AA332" s="28"/>
      <c r="AB332" s="28"/>
      <c r="AC332" s="28"/>
      <c r="AD332" s="28"/>
      <c r="AE332" s="32"/>
      <c r="AF332" s="32"/>
      <c r="AG332" s="32"/>
      <c r="AH332" s="32"/>
      <c r="AI332" s="32"/>
      <c r="AJ332" s="32"/>
      <c r="AK332" s="32"/>
      <c r="AL332" s="32"/>
      <c r="AM332" s="32"/>
      <c r="AN332" s="32"/>
      <c r="AO332" s="32"/>
      <c r="AP332" s="32"/>
      <c r="AQ332" s="32"/>
      <c r="AR332" s="32"/>
      <c r="AS332" s="32"/>
      <c r="AT332" s="32"/>
      <c r="AU332" s="32"/>
      <c r="AV332" s="32"/>
      <c r="AW332" s="32"/>
      <c r="AX332" s="32"/>
      <c r="AY332" s="32"/>
      <c r="AZ332" s="32"/>
      <c r="BA332" s="32"/>
      <c r="BB332" s="32"/>
      <c r="BC332" s="32"/>
      <c r="BD332" s="32"/>
      <c r="BE332" s="32"/>
      <c r="BF332" s="32"/>
      <c r="BG332" s="32"/>
      <c r="BH332" s="32"/>
      <c r="BI332" s="32"/>
      <c r="BJ332" s="32"/>
      <c r="BK332" s="32"/>
      <c r="BL332" s="32"/>
      <c r="BM332" s="32"/>
      <c r="BN332" s="32"/>
      <c r="BO332" s="32"/>
      <c r="BP332" s="32"/>
      <c r="BQ332" s="32"/>
      <c r="BR332" s="32"/>
      <c r="BS332" s="32"/>
      <c r="BT332" s="32"/>
      <c r="BU332" s="32"/>
      <c r="BV332" s="32"/>
      <c r="BW332" s="32"/>
      <c r="BX332" s="32"/>
      <c r="BY332" s="32"/>
      <c r="BZ332" s="32"/>
      <c r="CA332" s="32"/>
      <c r="CB332" s="32"/>
      <c r="CC332" s="32"/>
    </row>
    <row r="333" spans="1:81" ht="18">
      <c r="A333" s="28"/>
      <c r="B333" s="29"/>
      <c r="C333" s="29"/>
      <c r="D333" s="29"/>
      <c r="E333" s="30"/>
      <c r="F333" s="30"/>
      <c r="G333" s="29"/>
      <c r="H333" s="40"/>
      <c r="I333" s="28"/>
      <c r="J333" s="28"/>
      <c r="K333" s="132"/>
      <c r="L333" s="133"/>
      <c r="M333" s="133"/>
      <c r="N333" s="133"/>
      <c r="O333" s="31"/>
      <c r="P333" s="28"/>
      <c r="Q333" s="28"/>
      <c r="R333" s="28"/>
      <c r="S333" s="28"/>
      <c r="T333" s="28"/>
      <c r="U333" s="28"/>
      <c r="V333" s="28"/>
      <c r="W333" s="28"/>
      <c r="X333" s="28"/>
      <c r="Y333" s="28"/>
      <c r="Z333" s="28"/>
      <c r="AA333" s="28"/>
      <c r="AB333" s="28"/>
      <c r="AC333" s="28"/>
      <c r="AD333" s="28"/>
      <c r="AE333" s="32"/>
      <c r="AF333" s="32"/>
      <c r="AG333" s="32"/>
      <c r="AH333" s="32"/>
      <c r="AI333" s="32"/>
      <c r="AJ333" s="32"/>
      <c r="AK333" s="32"/>
      <c r="AL333" s="32"/>
      <c r="AM333" s="32"/>
      <c r="AN333" s="32"/>
      <c r="AO333" s="32"/>
      <c r="AP333" s="32"/>
      <c r="AQ333" s="32"/>
      <c r="AR333" s="32"/>
      <c r="AS333" s="32"/>
      <c r="AT333" s="32"/>
      <c r="AU333" s="32"/>
      <c r="AV333" s="32"/>
      <c r="AW333" s="32"/>
      <c r="AX333" s="32"/>
      <c r="AY333" s="32"/>
      <c r="AZ333" s="32"/>
      <c r="BA333" s="32"/>
      <c r="BB333" s="32"/>
      <c r="BC333" s="32"/>
      <c r="BD333" s="32"/>
      <c r="BE333" s="32"/>
      <c r="BF333" s="32"/>
      <c r="BG333" s="32"/>
      <c r="BH333" s="32"/>
      <c r="BI333" s="32"/>
      <c r="BJ333" s="32"/>
      <c r="BK333" s="32"/>
      <c r="BL333" s="32"/>
      <c r="BM333" s="32"/>
      <c r="BN333" s="32"/>
      <c r="BO333" s="32"/>
      <c r="BP333" s="32"/>
      <c r="BQ333" s="32"/>
      <c r="BR333" s="32"/>
      <c r="BS333" s="32"/>
      <c r="BT333" s="32"/>
      <c r="BU333" s="32"/>
      <c r="BV333" s="32"/>
      <c r="BW333" s="32"/>
      <c r="BX333" s="32"/>
      <c r="BY333" s="32"/>
      <c r="BZ333" s="32"/>
      <c r="CA333" s="32"/>
      <c r="CB333" s="32"/>
      <c r="CC333" s="32"/>
    </row>
    <row r="334" spans="1:81" ht="18">
      <c r="A334" s="28"/>
      <c r="B334" s="29"/>
      <c r="C334" s="29"/>
      <c r="D334" s="29"/>
      <c r="E334" s="30"/>
      <c r="F334" s="30"/>
      <c r="G334" s="29"/>
      <c r="H334" s="40"/>
      <c r="I334" s="28"/>
      <c r="J334" s="28"/>
      <c r="K334" s="132"/>
      <c r="L334" s="133"/>
      <c r="M334" s="133"/>
      <c r="N334" s="133"/>
      <c r="O334" s="31"/>
      <c r="P334" s="28"/>
      <c r="Q334" s="28"/>
      <c r="R334" s="28"/>
      <c r="S334" s="28"/>
      <c r="T334" s="28"/>
      <c r="U334" s="28"/>
      <c r="V334" s="28"/>
      <c r="W334" s="28"/>
      <c r="X334" s="28"/>
      <c r="Y334" s="28"/>
      <c r="Z334" s="28"/>
      <c r="AA334" s="28"/>
      <c r="AB334" s="28"/>
      <c r="AC334" s="28"/>
      <c r="AD334" s="28"/>
      <c r="AE334" s="32"/>
      <c r="AF334" s="32"/>
      <c r="AG334" s="32"/>
      <c r="AH334" s="32"/>
      <c r="AI334" s="32"/>
      <c r="AJ334" s="32"/>
      <c r="AK334" s="32"/>
      <c r="AL334" s="32"/>
      <c r="AM334" s="32"/>
      <c r="AN334" s="32"/>
      <c r="AO334" s="32"/>
      <c r="AP334" s="32"/>
      <c r="AQ334" s="32"/>
      <c r="AR334" s="32"/>
      <c r="AS334" s="32"/>
      <c r="AT334" s="32"/>
      <c r="AU334" s="32"/>
      <c r="AV334" s="32"/>
      <c r="AW334" s="32"/>
      <c r="AX334" s="32"/>
      <c r="AY334" s="32"/>
      <c r="AZ334" s="32"/>
      <c r="BA334" s="32"/>
      <c r="BB334" s="32"/>
      <c r="BC334" s="32"/>
      <c r="BD334" s="32"/>
      <c r="BE334" s="32"/>
      <c r="BF334" s="32"/>
      <c r="BG334" s="32"/>
      <c r="BH334" s="32"/>
      <c r="BI334" s="32"/>
      <c r="BJ334" s="32"/>
      <c r="BK334" s="32"/>
      <c r="BL334" s="32"/>
      <c r="BM334" s="32"/>
      <c r="BN334" s="32"/>
      <c r="BO334" s="32"/>
      <c r="BP334" s="32"/>
      <c r="BQ334" s="32"/>
      <c r="BR334" s="32"/>
      <c r="BS334" s="32"/>
      <c r="BT334" s="32"/>
      <c r="BU334" s="32"/>
      <c r="BV334" s="32"/>
      <c r="BW334" s="32"/>
      <c r="BX334" s="32"/>
      <c r="BY334" s="32"/>
      <c r="BZ334" s="32"/>
      <c r="CA334" s="32"/>
      <c r="CB334" s="32"/>
      <c r="CC334" s="32"/>
    </row>
    <row r="335" spans="1:81" ht="18">
      <c r="A335" s="28"/>
      <c r="B335" s="29"/>
      <c r="C335" s="29"/>
      <c r="D335" s="29"/>
      <c r="E335" s="30"/>
      <c r="F335" s="30"/>
      <c r="G335" s="29"/>
      <c r="H335" s="40"/>
      <c r="I335" s="28"/>
      <c r="J335" s="28"/>
      <c r="K335" s="132"/>
      <c r="L335" s="133"/>
      <c r="M335" s="133"/>
      <c r="N335" s="133"/>
      <c r="O335" s="31"/>
      <c r="P335" s="28"/>
      <c r="Q335" s="28"/>
      <c r="R335" s="28"/>
      <c r="S335" s="28"/>
      <c r="T335" s="28"/>
      <c r="U335" s="28"/>
      <c r="V335" s="28"/>
      <c r="W335" s="28"/>
      <c r="X335" s="28"/>
      <c r="Y335" s="28"/>
      <c r="Z335" s="28"/>
      <c r="AA335" s="28"/>
      <c r="AB335" s="28"/>
      <c r="AC335" s="28"/>
      <c r="AD335" s="28"/>
      <c r="AE335" s="32"/>
      <c r="AF335" s="32"/>
      <c r="AG335" s="32"/>
      <c r="AH335" s="32"/>
      <c r="AI335" s="32"/>
      <c r="AJ335" s="32"/>
      <c r="AK335" s="32"/>
      <c r="AL335" s="32"/>
      <c r="AM335" s="32"/>
      <c r="AN335" s="32"/>
      <c r="AO335" s="32"/>
      <c r="AP335" s="32"/>
      <c r="AQ335" s="32"/>
      <c r="AR335" s="32"/>
      <c r="AS335" s="32"/>
      <c r="AT335" s="32"/>
      <c r="AU335" s="32"/>
      <c r="AV335" s="32"/>
      <c r="AW335" s="32"/>
      <c r="AX335" s="32"/>
      <c r="AY335" s="32"/>
      <c r="AZ335" s="32"/>
      <c r="BA335" s="32"/>
      <c r="BB335" s="32"/>
      <c r="BC335" s="32"/>
      <c r="BD335" s="32"/>
      <c r="BE335" s="32"/>
      <c r="BF335" s="32"/>
      <c r="BG335" s="32"/>
      <c r="BH335" s="32"/>
      <c r="BI335" s="32"/>
      <c r="BJ335" s="32"/>
      <c r="BK335" s="32"/>
      <c r="BL335" s="32"/>
      <c r="BM335" s="32"/>
      <c r="BN335" s="32"/>
      <c r="BO335" s="32"/>
      <c r="BP335" s="32"/>
      <c r="BQ335" s="32"/>
      <c r="BR335" s="32"/>
      <c r="BS335" s="32"/>
      <c r="BT335" s="32"/>
      <c r="BU335" s="32"/>
      <c r="BV335" s="32"/>
      <c r="BW335" s="32"/>
      <c r="BX335" s="32"/>
      <c r="BY335" s="32"/>
      <c r="BZ335" s="32"/>
      <c r="CA335" s="32"/>
      <c r="CB335" s="32"/>
      <c r="CC335" s="32"/>
    </row>
    <row r="336" spans="1:81" ht="18">
      <c r="A336" s="28"/>
      <c r="B336" s="29"/>
      <c r="C336" s="29"/>
      <c r="D336" s="29"/>
      <c r="E336" s="30"/>
      <c r="F336" s="30"/>
      <c r="G336" s="29"/>
      <c r="H336" s="40"/>
      <c r="I336" s="28"/>
      <c r="J336" s="28"/>
      <c r="K336" s="132"/>
      <c r="L336" s="133"/>
      <c r="M336" s="133"/>
      <c r="N336" s="133"/>
      <c r="O336" s="31"/>
      <c r="P336" s="28"/>
      <c r="Q336" s="28"/>
      <c r="R336" s="28"/>
      <c r="S336" s="28"/>
      <c r="T336" s="28"/>
      <c r="U336" s="28"/>
      <c r="V336" s="28"/>
      <c r="W336" s="28"/>
      <c r="X336" s="28"/>
      <c r="Y336" s="28"/>
      <c r="Z336" s="28"/>
      <c r="AA336" s="28"/>
      <c r="AB336" s="28"/>
      <c r="AC336" s="28"/>
      <c r="AD336" s="28"/>
      <c r="AE336" s="32"/>
      <c r="AF336" s="32"/>
      <c r="AG336" s="32"/>
      <c r="AH336" s="32"/>
      <c r="AI336" s="32"/>
      <c r="AJ336" s="32"/>
      <c r="AK336" s="32"/>
      <c r="AL336" s="32"/>
      <c r="AM336" s="32"/>
      <c r="AN336" s="32"/>
      <c r="AO336" s="32"/>
      <c r="AP336" s="32"/>
      <c r="AQ336" s="32"/>
      <c r="AR336" s="32"/>
      <c r="AS336" s="32"/>
      <c r="AT336" s="32"/>
      <c r="AU336" s="32"/>
      <c r="AV336" s="32"/>
      <c r="AW336" s="32"/>
      <c r="AX336" s="32"/>
      <c r="AY336" s="32"/>
      <c r="AZ336" s="32"/>
      <c r="BA336" s="32"/>
      <c r="BB336" s="32"/>
      <c r="BC336" s="32"/>
      <c r="BD336" s="32"/>
      <c r="BE336" s="32"/>
      <c r="BF336" s="32"/>
      <c r="BG336" s="32"/>
      <c r="BH336" s="32"/>
      <c r="BI336" s="32"/>
      <c r="BJ336" s="32"/>
      <c r="BK336" s="32"/>
      <c r="BL336" s="32"/>
      <c r="BM336" s="32"/>
      <c r="BN336" s="32"/>
      <c r="BO336" s="32"/>
      <c r="BP336" s="32"/>
      <c r="BQ336" s="32"/>
      <c r="BR336" s="32"/>
      <c r="BS336" s="32"/>
      <c r="BT336" s="32"/>
      <c r="BU336" s="32"/>
      <c r="BV336" s="32"/>
      <c r="BW336" s="32"/>
      <c r="BX336" s="32"/>
      <c r="BY336" s="32"/>
      <c r="BZ336" s="32"/>
      <c r="CA336" s="32"/>
      <c r="CB336" s="32"/>
      <c r="CC336" s="32"/>
    </row>
    <row r="337" spans="1:81" ht="18">
      <c r="A337" s="28"/>
      <c r="B337" s="29"/>
      <c r="C337" s="29"/>
      <c r="D337" s="29"/>
      <c r="E337" s="30"/>
      <c r="F337" s="30"/>
      <c r="G337" s="29"/>
      <c r="H337" s="40"/>
      <c r="I337" s="28"/>
      <c r="J337" s="28"/>
      <c r="K337" s="132"/>
      <c r="L337" s="133"/>
      <c r="M337" s="133"/>
      <c r="N337" s="133"/>
      <c r="O337" s="31"/>
      <c r="P337" s="28"/>
      <c r="Q337" s="28"/>
      <c r="R337" s="28"/>
      <c r="S337" s="28"/>
      <c r="T337" s="28"/>
      <c r="U337" s="28"/>
      <c r="V337" s="28"/>
      <c r="W337" s="28"/>
      <c r="X337" s="28"/>
      <c r="Y337" s="28"/>
      <c r="Z337" s="28"/>
      <c r="AA337" s="28"/>
      <c r="AB337" s="28"/>
      <c r="AC337" s="28"/>
      <c r="AD337" s="28"/>
      <c r="AE337" s="32"/>
      <c r="AF337" s="32"/>
      <c r="AG337" s="32"/>
      <c r="AH337" s="32"/>
      <c r="AI337" s="32"/>
      <c r="AJ337" s="32"/>
      <c r="AK337" s="32"/>
      <c r="AL337" s="32"/>
      <c r="AM337" s="32"/>
      <c r="AN337" s="32"/>
      <c r="AO337" s="32"/>
      <c r="AP337" s="32"/>
      <c r="AQ337" s="32"/>
      <c r="AR337" s="32"/>
      <c r="AS337" s="32"/>
      <c r="AT337" s="32"/>
      <c r="AU337" s="32"/>
      <c r="AV337" s="32"/>
      <c r="AW337" s="32"/>
      <c r="AX337" s="32"/>
      <c r="AY337" s="32"/>
      <c r="AZ337" s="32"/>
      <c r="BA337" s="32"/>
      <c r="BB337" s="32"/>
      <c r="BC337" s="32"/>
      <c r="BD337" s="32"/>
      <c r="BE337" s="32"/>
      <c r="BF337" s="32"/>
      <c r="BG337" s="32"/>
      <c r="BH337" s="32"/>
      <c r="BI337" s="32"/>
      <c r="BJ337" s="32"/>
      <c r="BK337" s="32"/>
      <c r="BL337" s="32"/>
      <c r="BM337" s="32"/>
      <c r="BN337" s="32"/>
      <c r="BO337" s="32"/>
      <c r="BP337" s="32"/>
      <c r="BQ337" s="32"/>
      <c r="BR337" s="32"/>
      <c r="BS337" s="32"/>
      <c r="BT337" s="32"/>
      <c r="BU337" s="32"/>
      <c r="BV337" s="32"/>
      <c r="BW337" s="32"/>
      <c r="BX337" s="32"/>
      <c r="BY337" s="32"/>
      <c r="BZ337" s="32"/>
      <c r="CA337" s="32"/>
      <c r="CB337" s="32"/>
      <c r="CC337" s="32"/>
    </row>
    <row r="338" spans="1:81" ht="18">
      <c r="A338" s="28"/>
      <c r="B338" s="29"/>
      <c r="C338" s="29"/>
      <c r="D338" s="29"/>
      <c r="E338" s="30"/>
      <c r="F338" s="30"/>
      <c r="G338" s="29"/>
      <c r="H338" s="40"/>
      <c r="I338" s="28"/>
      <c r="J338" s="28"/>
      <c r="K338" s="132"/>
      <c r="L338" s="133"/>
      <c r="M338" s="133"/>
      <c r="N338" s="133"/>
      <c r="O338" s="31"/>
      <c r="P338" s="28"/>
      <c r="Q338" s="28"/>
      <c r="R338" s="28"/>
      <c r="S338" s="28"/>
      <c r="T338" s="28"/>
      <c r="U338" s="28"/>
      <c r="V338" s="28"/>
      <c r="W338" s="28"/>
      <c r="X338" s="28"/>
      <c r="Y338" s="28"/>
      <c r="Z338" s="28"/>
      <c r="AA338" s="28"/>
      <c r="AB338" s="28"/>
      <c r="AC338" s="28"/>
      <c r="AD338" s="28"/>
      <c r="AE338" s="32"/>
      <c r="AF338" s="32"/>
      <c r="AG338" s="32"/>
      <c r="AH338" s="32"/>
      <c r="AI338" s="32"/>
      <c r="AJ338" s="32"/>
      <c r="AK338" s="32"/>
      <c r="AL338" s="32"/>
      <c r="AM338" s="32"/>
      <c r="AN338" s="32"/>
      <c r="AO338" s="32"/>
      <c r="AP338" s="32"/>
      <c r="AQ338" s="32"/>
      <c r="AR338" s="32"/>
      <c r="AS338" s="32"/>
      <c r="AT338" s="32"/>
      <c r="AU338" s="32"/>
      <c r="AV338" s="32"/>
      <c r="AW338" s="32"/>
      <c r="AX338" s="32"/>
      <c r="AY338" s="32"/>
      <c r="AZ338" s="32"/>
      <c r="BA338" s="32"/>
      <c r="BB338" s="32"/>
      <c r="BC338" s="32"/>
      <c r="BD338" s="32"/>
      <c r="BE338" s="32"/>
      <c r="BF338" s="32"/>
      <c r="BG338" s="32"/>
      <c r="BH338" s="32"/>
      <c r="BI338" s="32"/>
      <c r="BJ338" s="32"/>
      <c r="BK338" s="32"/>
      <c r="BL338" s="32"/>
      <c r="BM338" s="32"/>
      <c r="BN338" s="32"/>
      <c r="BO338" s="32"/>
      <c r="BP338" s="32"/>
      <c r="BQ338" s="32"/>
      <c r="BR338" s="32"/>
      <c r="BS338" s="32"/>
      <c r="BT338" s="32"/>
      <c r="BU338" s="32"/>
      <c r="BV338" s="32"/>
      <c r="BW338" s="32"/>
      <c r="BX338" s="32"/>
      <c r="BY338" s="32"/>
      <c r="BZ338" s="32"/>
      <c r="CA338" s="32"/>
      <c r="CB338" s="32"/>
      <c r="CC338" s="32"/>
    </row>
    <row r="339" spans="1:81" ht="18">
      <c r="A339" s="28"/>
      <c r="B339" s="29"/>
      <c r="C339" s="29"/>
      <c r="D339" s="29"/>
      <c r="E339" s="30"/>
      <c r="F339" s="30"/>
      <c r="G339" s="29"/>
      <c r="H339" s="40"/>
      <c r="I339" s="28"/>
      <c r="J339" s="28"/>
      <c r="K339" s="132"/>
      <c r="L339" s="133"/>
      <c r="M339" s="133"/>
      <c r="N339" s="133"/>
      <c r="O339" s="31"/>
      <c r="P339" s="28"/>
      <c r="Q339" s="28"/>
      <c r="R339" s="28"/>
      <c r="S339" s="28"/>
      <c r="T339" s="28"/>
      <c r="U339" s="28"/>
      <c r="V339" s="28"/>
      <c r="W339" s="28"/>
      <c r="X339" s="28"/>
      <c r="Y339" s="28"/>
      <c r="Z339" s="28"/>
      <c r="AA339" s="28"/>
      <c r="AB339" s="28"/>
      <c r="AC339" s="28"/>
      <c r="AD339" s="28"/>
      <c r="AE339" s="32"/>
      <c r="AF339" s="32"/>
      <c r="AG339" s="32"/>
      <c r="AH339" s="32"/>
      <c r="AI339" s="32"/>
      <c r="AJ339" s="32"/>
      <c r="AK339" s="32"/>
      <c r="AL339" s="32"/>
      <c r="AM339" s="32"/>
      <c r="AN339" s="32"/>
      <c r="AO339" s="32"/>
      <c r="AP339" s="32"/>
      <c r="AQ339" s="32"/>
      <c r="AR339" s="32"/>
      <c r="AS339" s="32"/>
      <c r="AT339" s="32"/>
      <c r="AU339" s="32"/>
      <c r="AV339" s="32"/>
      <c r="AW339" s="32"/>
      <c r="AX339" s="32"/>
      <c r="AY339" s="32"/>
      <c r="AZ339" s="32"/>
      <c r="BA339" s="32"/>
      <c r="BB339" s="32"/>
      <c r="BC339" s="32"/>
      <c r="BD339" s="32"/>
      <c r="BE339" s="32"/>
      <c r="BF339" s="32"/>
      <c r="BG339" s="32"/>
      <c r="BH339" s="32"/>
      <c r="BI339" s="32"/>
      <c r="BJ339" s="32"/>
      <c r="BK339" s="32"/>
      <c r="BL339" s="32"/>
      <c r="BM339" s="32"/>
      <c r="BN339" s="32"/>
      <c r="BO339" s="32"/>
      <c r="BP339" s="32"/>
      <c r="BQ339" s="32"/>
      <c r="BR339" s="32"/>
      <c r="BS339" s="32"/>
      <c r="BT339" s="32"/>
      <c r="BU339" s="32"/>
      <c r="BV339" s="32"/>
      <c r="BW339" s="32"/>
      <c r="BX339" s="32"/>
      <c r="BY339" s="32"/>
      <c r="BZ339" s="32"/>
      <c r="CA339" s="32"/>
      <c r="CB339" s="32"/>
      <c r="CC339" s="32"/>
    </row>
    <row r="340" spans="1:81" ht="18">
      <c r="A340" s="28"/>
      <c r="B340" s="29"/>
      <c r="C340" s="29"/>
      <c r="D340" s="29"/>
      <c r="E340" s="30"/>
      <c r="F340" s="30"/>
      <c r="G340" s="29"/>
      <c r="H340" s="40"/>
      <c r="I340" s="28"/>
      <c r="J340" s="28"/>
      <c r="K340" s="132"/>
      <c r="L340" s="133"/>
      <c r="M340" s="133"/>
      <c r="N340" s="133"/>
      <c r="O340" s="31"/>
      <c r="P340" s="28"/>
      <c r="Q340" s="28"/>
      <c r="R340" s="28"/>
      <c r="S340" s="28"/>
      <c r="T340" s="28"/>
      <c r="U340" s="28"/>
      <c r="V340" s="28"/>
      <c r="W340" s="28"/>
      <c r="X340" s="28"/>
      <c r="Y340" s="28"/>
      <c r="Z340" s="28"/>
      <c r="AA340" s="28"/>
      <c r="AB340" s="28"/>
      <c r="AC340" s="28"/>
      <c r="AD340" s="28"/>
      <c r="AE340" s="32"/>
      <c r="AF340" s="32"/>
      <c r="AG340" s="32"/>
      <c r="AH340" s="32"/>
      <c r="AI340" s="32"/>
      <c r="AJ340" s="32"/>
      <c r="AK340" s="32"/>
      <c r="AL340" s="32"/>
      <c r="AM340" s="32"/>
      <c r="AN340" s="32"/>
      <c r="AO340" s="32"/>
      <c r="AP340" s="32"/>
      <c r="AQ340" s="32"/>
      <c r="AR340" s="32"/>
      <c r="AS340" s="32"/>
      <c r="AT340" s="32"/>
      <c r="AU340" s="32"/>
      <c r="AV340" s="32"/>
      <c r="AW340" s="32"/>
      <c r="AX340" s="32"/>
      <c r="AY340" s="32"/>
      <c r="AZ340" s="32"/>
      <c r="BA340" s="32"/>
      <c r="BB340" s="32"/>
      <c r="BC340" s="32"/>
      <c r="BD340" s="32"/>
      <c r="BE340" s="32"/>
      <c r="BF340" s="32"/>
      <c r="BG340" s="32"/>
      <c r="BH340" s="32"/>
      <c r="BI340" s="32"/>
      <c r="BJ340" s="32"/>
      <c r="BK340" s="32"/>
      <c r="BL340" s="32"/>
      <c r="BM340" s="32"/>
      <c r="BN340" s="32"/>
      <c r="BO340" s="32"/>
      <c r="BP340" s="32"/>
      <c r="BQ340" s="32"/>
      <c r="BR340" s="32"/>
      <c r="BS340" s="32"/>
      <c r="BT340" s="32"/>
      <c r="BU340" s="32"/>
      <c r="BV340" s="32"/>
      <c r="BW340" s="32"/>
      <c r="BX340" s="32"/>
      <c r="BY340" s="32"/>
      <c r="BZ340" s="32"/>
      <c r="CA340" s="32"/>
      <c r="CB340" s="32"/>
      <c r="CC340" s="32"/>
    </row>
    <row r="341" spans="1:81" ht="18">
      <c r="A341" s="28"/>
      <c r="B341" s="29"/>
      <c r="C341" s="29"/>
      <c r="D341" s="29"/>
      <c r="E341" s="30"/>
      <c r="F341" s="30"/>
      <c r="G341" s="29"/>
      <c r="H341" s="40"/>
      <c r="I341" s="28"/>
      <c r="J341" s="28"/>
      <c r="K341" s="132"/>
      <c r="L341" s="133"/>
      <c r="M341" s="133"/>
      <c r="N341" s="133"/>
      <c r="O341" s="31"/>
      <c r="P341" s="28"/>
      <c r="Q341" s="28"/>
      <c r="R341" s="28"/>
      <c r="S341" s="28"/>
      <c r="T341" s="28"/>
      <c r="U341" s="28"/>
      <c r="V341" s="28"/>
      <c r="W341" s="28"/>
      <c r="X341" s="28"/>
      <c r="Y341" s="28"/>
      <c r="Z341" s="28"/>
      <c r="AA341" s="28"/>
      <c r="AB341" s="28"/>
      <c r="AC341" s="28"/>
      <c r="AD341" s="28"/>
      <c r="AE341" s="32"/>
      <c r="AF341" s="32"/>
      <c r="AG341" s="32"/>
      <c r="AH341" s="32"/>
      <c r="AI341" s="32"/>
      <c r="AJ341" s="32"/>
      <c r="AK341" s="32"/>
      <c r="AL341" s="32"/>
      <c r="AM341" s="32"/>
      <c r="AN341" s="32"/>
      <c r="AO341" s="32"/>
      <c r="AP341" s="32"/>
      <c r="AQ341" s="32"/>
      <c r="AR341" s="32"/>
      <c r="AS341" s="32"/>
      <c r="AT341" s="32"/>
      <c r="AU341" s="32"/>
      <c r="AV341" s="32"/>
      <c r="AW341" s="32"/>
      <c r="AX341" s="32"/>
      <c r="AY341" s="32"/>
      <c r="AZ341" s="32"/>
      <c r="BA341" s="32"/>
      <c r="BB341" s="32"/>
      <c r="BC341" s="32"/>
      <c r="BD341" s="32"/>
      <c r="BE341" s="32"/>
      <c r="BF341" s="32"/>
      <c r="BG341" s="32"/>
      <c r="BH341" s="32"/>
      <c r="BI341" s="32"/>
      <c r="BJ341" s="32"/>
      <c r="BK341" s="32"/>
      <c r="BL341" s="32"/>
      <c r="BM341" s="32"/>
      <c r="BN341" s="32"/>
      <c r="BO341" s="32"/>
      <c r="BP341" s="32"/>
      <c r="BQ341" s="32"/>
      <c r="BR341" s="32"/>
      <c r="BS341" s="32"/>
      <c r="BT341" s="32"/>
      <c r="BU341" s="32"/>
      <c r="BV341" s="32"/>
      <c r="BW341" s="32"/>
      <c r="BX341" s="32"/>
      <c r="BY341" s="32"/>
      <c r="BZ341" s="32"/>
      <c r="CA341" s="32"/>
      <c r="CB341" s="32"/>
      <c r="CC341" s="32"/>
    </row>
    <row r="342" spans="1:81" ht="18">
      <c r="A342" s="28"/>
      <c r="B342" s="29"/>
      <c r="C342" s="29"/>
      <c r="D342" s="29"/>
      <c r="E342" s="30"/>
      <c r="F342" s="30"/>
      <c r="G342" s="29"/>
      <c r="H342" s="40"/>
      <c r="I342" s="28"/>
      <c r="J342" s="28"/>
      <c r="K342" s="132"/>
      <c r="L342" s="133"/>
      <c r="M342" s="133"/>
      <c r="N342" s="133"/>
      <c r="O342" s="31"/>
      <c r="P342" s="28"/>
      <c r="Q342" s="28"/>
      <c r="R342" s="28"/>
      <c r="S342" s="28"/>
      <c r="T342" s="28"/>
      <c r="U342" s="28"/>
      <c r="V342" s="28"/>
      <c r="W342" s="28"/>
      <c r="X342" s="28"/>
      <c r="Y342" s="28"/>
      <c r="Z342" s="28"/>
      <c r="AA342" s="28"/>
      <c r="AB342" s="28"/>
      <c r="AC342" s="28"/>
      <c r="AD342" s="28"/>
      <c r="AE342" s="32"/>
      <c r="AF342" s="32"/>
      <c r="AG342" s="32"/>
      <c r="AH342" s="32"/>
      <c r="AI342" s="32"/>
      <c r="AJ342" s="32"/>
      <c r="AK342" s="32"/>
      <c r="AL342" s="32"/>
      <c r="AM342" s="32"/>
      <c r="AN342" s="32"/>
      <c r="AO342" s="32"/>
      <c r="AP342" s="32"/>
      <c r="AQ342" s="32"/>
      <c r="AR342" s="32"/>
      <c r="AS342" s="32"/>
      <c r="AT342" s="32"/>
      <c r="AU342" s="32"/>
      <c r="AV342" s="32"/>
      <c r="AW342" s="32"/>
      <c r="AX342" s="32"/>
      <c r="AY342" s="32"/>
      <c r="AZ342" s="32"/>
      <c r="BA342" s="32"/>
      <c r="BB342" s="32"/>
      <c r="BC342" s="32"/>
      <c r="BD342" s="32"/>
      <c r="BE342" s="32"/>
      <c r="BF342" s="32"/>
      <c r="BG342" s="32"/>
      <c r="BH342" s="32"/>
      <c r="BI342" s="32"/>
      <c r="BJ342" s="32"/>
      <c r="BK342" s="32"/>
      <c r="BL342" s="32"/>
      <c r="BM342" s="32"/>
      <c r="BN342" s="32"/>
      <c r="BO342" s="32"/>
      <c r="BP342" s="32"/>
      <c r="BQ342" s="32"/>
      <c r="BR342" s="32"/>
      <c r="BS342" s="32"/>
      <c r="BT342" s="32"/>
      <c r="BU342" s="32"/>
      <c r="BV342" s="32"/>
      <c r="BW342" s="32"/>
      <c r="BX342" s="32"/>
      <c r="BY342" s="32"/>
      <c r="BZ342" s="32"/>
      <c r="CA342" s="32"/>
      <c r="CB342" s="32"/>
      <c r="CC342" s="32"/>
    </row>
    <row r="343" spans="1:81" ht="18">
      <c r="A343" s="28"/>
      <c r="B343" s="29"/>
      <c r="C343" s="29"/>
      <c r="D343" s="29"/>
      <c r="E343" s="30"/>
      <c r="F343" s="30"/>
      <c r="G343" s="29"/>
      <c r="H343" s="40"/>
      <c r="I343" s="28"/>
      <c r="J343" s="28"/>
      <c r="K343" s="132"/>
      <c r="L343" s="133"/>
      <c r="M343" s="133"/>
      <c r="N343" s="133"/>
      <c r="O343" s="31"/>
      <c r="P343" s="28"/>
      <c r="Q343" s="28"/>
      <c r="R343" s="28"/>
      <c r="S343" s="28"/>
      <c r="T343" s="28"/>
      <c r="U343" s="28"/>
      <c r="V343" s="28"/>
      <c r="W343" s="28"/>
      <c r="X343" s="28"/>
      <c r="Y343" s="28"/>
      <c r="Z343" s="28"/>
      <c r="AA343" s="28"/>
      <c r="AB343" s="28"/>
      <c r="AC343" s="28"/>
      <c r="AD343" s="28"/>
      <c r="AE343" s="32"/>
      <c r="AF343" s="32"/>
      <c r="AG343" s="32"/>
      <c r="AH343" s="32"/>
      <c r="AI343" s="32"/>
      <c r="AJ343" s="32"/>
      <c r="AK343" s="32"/>
      <c r="AL343" s="32"/>
      <c r="AM343" s="32"/>
      <c r="AN343" s="32"/>
      <c r="AO343" s="32"/>
      <c r="AP343" s="32"/>
      <c r="AQ343" s="32"/>
      <c r="AR343" s="32"/>
      <c r="AS343" s="32"/>
      <c r="AT343" s="32"/>
      <c r="AU343" s="32"/>
      <c r="AV343" s="32"/>
      <c r="AW343" s="32"/>
      <c r="AX343" s="32"/>
      <c r="AY343" s="32"/>
      <c r="AZ343" s="32"/>
      <c r="BA343" s="32"/>
      <c r="BB343" s="32"/>
      <c r="BC343" s="32"/>
      <c r="BD343" s="32"/>
      <c r="BE343" s="32"/>
      <c r="BF343" s="32"/>
      <c r="BG343" s="32"/>
      <c r="BH343" s="32"/>
      <c r="BI343" s="32"/>
      <c r="BJ343" s="32"/>
      <c r="BK343" s="32"/>
      <c r="BL343" s="32"/>
      <c r="BM343" s="32"/>
      <c r="BN343" s="32"/>
      <c r="BO343" s="32"/>
      <c r="BP343" s="32"/>
      <c r="BQ343" s="32"/>
      <c r="BR343" s="32"/>
      <c r="BS343" s="32"/>
      <c r="BT343" s="32"/>
      <c r="BU343" s="32"/>
      <c r="BV343" s="32"/>
      <c r="BW343" s="32"/>
      <c r="BX343" s="32"/>
      <c r="BY343" s="32"/>
      <c r="BZ343" s="32"/>
      <c r="CA343" s="32"/>
      <c r="CB343" s="32"/>
      <c r="CC343" s="32"/>
    </row>
    <row r="344" spans="1:81" ht="18">
      <c r="A344" s="28"/>
      <c r="B344" s="29"/>
      <c r="C344" s="29"/>
      <c r="D344" s="29"/>
      <c r="E344" s="30"/>
      <c r="F344" s="30"/>
      <c r="G344" s="29"/>
      <c r="H344" s="40"/>
      <c r="I344" s="28"/>
      <c r="J344" s="28"/>
      <c r="K344" s="132"/>
      <c r="L344" s="133"/>
      <c r="M344" s="133"/>
      <c r="N344" s="133"/>
      <c r="O344" s="31"/>
      <c r="P344" s="28"/>
      <c r="Q344" s="28"/>
      <c r="R344" s="28"/>
      <c r="S344" s="28"/>
      <c r="T344" s="28"/>
      <c r="U344" s="28"/>
      <c r="V344" s="28"/>
      <c r="W344" s="28"/>
      <c r="X344" s="28"/>
      <c r="Y344" s="28"/>
      <c r="Z344" s="28"/>
      <c r="AA344" s="28"/>
      <c r="AB344" s="28"/>
      <c r="AC344" s="28"/>
      <c r="AD344" s="28"/>
      <c r="AE344" s="32"/>
      <c r="AF344" s="32"/>
      <c r="AG344" s="32"/>
      <c r="AH344" s="32"/>
      <c r="AI344" s="32"/>
      <c r="AJ344" s="32"/>
      <c r="AK344" s="32"/>
      <c r="AL344" s="32"/>
      <c r="AM344" s="32"/>
      <c r="AN344" s="32"/>
      <c r="AO344" s="32"/>
      <c r="AP344" s="32"/>
      <c r="AQ344" s="32"/>
      <c r="AR344" s="32"/>
      <c r="AS344" s="32"/>
      <c r="AT344" s="32"/>
      <c r="AU344" s="32"/>
      <c r="AV344" s="32"/>
      <c r="AW344" s="32"/>
      <c r="AX344" s="32"/>
      <c r="AY344" s="32"/>
      <c r="AZ344" s="32"/>
      <c r="BA344" s="32"/>
      <c r="BB344" s="32"/>
      <c r="BC344" s="32"/>
      <c r="BD344" s="32"/>
      <c r="BE344" s="32"/>
      <c r="BF344" s="32"/>
      <c r="BG344" s="32"/>
      <c r="BH344" s="32"/>
      <c r="BI344" s="32"/>
      <c r="BJ344" s="32"/>
      <c r="BK344" s="32"/>
      <c r="BL344" s="32"/>
      <c r="BM344" s="32"/>
      <c r="BN344" s="32"/>
      <c r="BO344" s="32"/>
      <c r="BP344" s="32"/>
      <c r="BQ344" s="32"/>
      <c r="BR344" s="32"/>
      <c r="BS344" s="32"/>
      <c r="BT344" s="32"/>
      <c r="BU344" s="32"/>
      <c r="BV344" s="32"/>
      <c r="BW344" s="32"/>
      <c r="BX344" s="32"/>
      <c r="BY344" s="32"/>
      <c r="BZ344" s="32"/>
      <c r="CA344" s="32"/>
      <c r="CB344" s="32"/>
      <c r="CC344" s="32"/>
    </row>
    <row r="345" spans="1:81" ht="18">
      <c r="A345" s="28"/>
      <c r="B345" s="29"/>
      <c r="C345" s="29"/>
      <c r="D345" s="29"/>
      <c r="E345" s="30"/>
      <c r="F345" s="30"/>
      <c r="G345" s="29"/>
      <c r="H345" s="40"/>
      <c r="I345" s="28"/>
      <c r="J345" s="28"/>
      <c r="K345" s="132"/>
      <c r="L345" s="133"/>
      <c r="M345" s="133"/>
      <c r="N345" s="133"/>
      <c r="O345" s="31"/>
      <c r="P345" s="28"/>
      <c r="Q345" s="28"/>
      <c r="R345" s="28"/>
      <c r="S345" s="28"/>
      <c r="T345" s="28"/>
      <c r="U345" s="28"/>
      <c r="V345" s="28"/>
      <c r="W345" s="28"/>
      <c r="X345" s="28"/>
      <c r="Y345" s="28"/>
      <c r="Z345" s="28"/>
      <c r="AA345" s="28"/>
      <c r="AB345" s="28"/>
      <c r="AC345" s="28"/>
      <c r="AD345" s="28"/>
      <c r="AE345" s="32"/>
      <c r="AF345" s="32"/>
      <c r="AG345" s="32"/>
      <c r="AH345" s="32"/>
      <c r="AI345" s="32"/>
      <c r="AJ345" s="32"/>
      <c r="AK345" s="32"/>
      <c r="AL345" s="32"/>
      <c r="AM345" s="32"/>
      <c r="AN345" s="32"/>
      <c r="AO345" s="32"/>
      <c r="AP345" s="32"/>
      <c r="AQ345" s="32"/>
      <c r="AR345" s="32"/>
      <c r="AS345" s="32"/>
      <c r="AT345" s="32"/>
      <c r="AU345" s="32"/>
      <c r="AV345" s="32"/>
      <c r="AW345" s="32"/>
      <c r="AX345" s="32"/>
      <c r="AY345" s="32"/>
      <c r="AZ345" s="32"/>
      <c r="BA345" s="32"/>
      <c r="BB345" s="32"/>
      <c r="BC345" s="32"/>
      <c r="BD345" s="32"/>
      <c r="BE345" s="32"/>
      <c r="BF345" s="32"/>
      <c r="BG345" s="32"/>
      <c r="BH345" s="32"/>
      <c r="BI345" s="32"/>
      <c r="BJ345" s="32"/>
      <c r="BK345" s="32"/>
      <c r="BL345" s="32"/>
      <c r="BM345" s="32"/>
      <c r="BN345" s="32"/>
      <c r="BO345" s="32"/>
      <c r="BP345" s="32"/>
      <c r="BQ345" s="32"/>
      <c r="BR345" s="32"/>
      <c r="BS345" s="32"/>
      <c r="BT345" s="32"/>
      <c r="BU345" s="32"/>
      <c r="BV345" s="32"/>
      <c r="BW345" s="32"/>
      <c r="BX345" s="32"/>
      <c r="BY345" s="32"/>
      <c r="BZ345" s="32"/>
      <c r="CA345" s="32"/>
      <c r="CB345" s="32"/>
      <c r="CC345" s="32"/>
    </row>
    <row r="346" spans="1:81" ht="18">
      <c r="A346" s="28"/>
      <c r="B346" s="29"/>
      <c r="C346" s="29"/>
      <c r="D346" s="29"/>
      <c r="E346" s="30"/>
      <c r="F346" s="30"/>
      <c r="G346" s="29"/>
      <c r="H346" s="40"/>
      <c r="I346" s="28"/>
      <c r="J346" s="28"/>
      <c r="K346" s="132"/>
      <c r="L346" s="133"/>
      <c r="M346" s="133"/>
      <c r="N346" s="133"/>
      <c r="O346" s="31"/>
      <c r="P346" s="28"/>
      <c r="Q346" s="28"/>
      <c r="R346" s="28"/>
      <c r="S346" s="28"/>
      <c r="T346" s="28"/>
      <c r="U346" s="28"/>
      <c r="V346" s="28"/>
      <c r="W346" s="28"/>
      <c r="X346" s="28"/>
      <c r="Y346" s="28"/>
      <c r="Z346" s="28"/>
      <c r="AA346" s="28"/>
      <c r="AB346" s="28"/>
      <c r="AC346" s="28"/>
      <c r="AD346" s="28"/>
      <c r="AE346" s="32"/>
      <c r="AF346" s="32"/>
      <c r="AG346" s="32"/>
      <c r="AH346" s="32"/>
      <c r="AI346" s="32"/>
      <c r="AJ346" s="32"/>
      <c r="AK346" s="32"/>
      <c r="AL346" s="32"/>
      <c r="AM346" s="32"/>
      <c r="AN346" s="32"/>
      <c r="AO346" s="32"/>
      <c r="AP346" s="32"/>
      <c r="AQ346" s="32"/>
      <c r="AR346" s="32"/>
      <c r="AS346" s="32"/>
      <c r="AT346" s="32"/>
      <c r="AU346" s="32"/>
      <c r="AV346" s="32"/>
      <c r="AW346" s="32"/>
      <c r="AX346" s="32"/>
      <c r="AY346" s="32"/>
      <c r="AZ346" s="32"/>
      <c r="BA346" s="32"/>
      <c r="BB346" s="32"/>
      <c r="BC346" s="32"/>
      <c r="BD346" s="32"/>
      <c r="BE346" s="32"/>
      <c r="BF346" s="32"/>
      <c r="BG346" s="32"/>
      <c r="BH346" s="32"/>
      <c r="BI346" s="32"/>
      <c r="BJ346" s="32"/>
      <c r="BK346" s="32"/>
      <c r="BL346" s="32"/>
      <c r="BM346" s="32"/>
      <c r="BN346" s="32"/>
      <c r="BO346" s="32"/>
      <c r="BP346" s="32"/>
      <c r="BQ346" s="32"/>
      <c r="BR346" s="32"/>
      <c r="BS346" s="32"/>
      <c r="BT346" s="32"/>
      <c r="BU346" s="32"/>
      <c r="BV346" s="32"/>
      <c r="BW346" s="32"/>
      <c r="BX346" s="32"/>
      <c r="BY346" s="32"/>
      <c r="BZ346" s="32"/>
      <c r="CA346" s="32"/>
      <c r="CB346" s="32"/>
      <c r="CC346" s="32"/>
    </row>
    <row r="347" spans="1:81" ht="18">
      <c r="A347" s="28"/>
      <c r="B347" s="29"/>
      <c r="C347" s="29"/>
      <c r="D347" s="29"/>
      <c r="E347" s="30"/>
      <c r="F347" s="30"/>
      <c r="G347" s="29"/>
      <c r="H347" s="40"/>
      <c r="I347" s="28"/>
      <c r="J347" s="28"/>
      <c r="K347" s="132"/>
      <c r="L347" s="133"/>
      <c r="M347" s="133"/>
      <c r="N347" s="133"/>
      <c r="O347" s="31"/>
      <c r="P347" s="28"/>
      <c r="Q347" s="28"/>
      <c r="R347" s="28"/>
      <c r="S347" s="28"/>
      <c r="T347" s="28"/>
      <c r="U347" s="28"/>
      <c r="V347" s="28"/>
      <c r="W347" s="28"/>
      <c r="X347" s="28"/>
      <c r="Y347" s="28"/>
      <c r="Z347" s="28"/>
      <c r="AA347" s="28"/>
      <c r="AB347" s="28"/>
      <c r="AC347" s="28"/>
      <c r="AD347" s="28"/>
      <c r="AE347" s="32"/>
      <c r="AF347" s="32"/>
      <c r="AG347" s="32"/>
      <c r="AH347" s="32"/>
      <c r="AI347" s="32"/>
      <c r="AJ347" s="32"/>
      <c r="AK347" s="32"/>
      <c r="AL347" s="32"/>
      <c r="AM347" s="32"/>
      <c r="AN347" s="32"/>
      <c r="AO347" s="32"/>
      <c r="AP347" s="32"/>
      <c r="AQ347" s="32"/>
      <c r="AR347" s="32"/>
      <c r="AS347" s="32"/>
      <c r="AT347" s="32"/>
      <c r="AU347" s="32"/>
      <c r="AV347" s="32"/>
      <c r="AW347" s="32"/>
      <c r="AX347" s="32"/>
      <c r="AY347" s="32"/>
      <c r="AZ347" s="32"/>
      <c r="BA347" s="32"/>
      <c r="BB347" s="32"/>
      <c r="BC347" s="32"/>
      <c r="BD347" s="32"/>
      <c r="BE347" s="32"/>
      <c r="BF347" s="32"/>
      <c r="BG347" s="32"/>
      <c r="BH347" s="32"/>
      <c r="BI347" s="32"/>
      <c r="BJ347" s="32"/>
      <c r="BK347" s="32"/>
      <c r="BL347" s="32"/>
      <c r="BM347" s="32"/>
      <c r="BN347" s="32"/>
      <c r="BO347" s="32"/>
      <c r="BP347" s="32"/>
      <c r="BQ347" s="32"/>
      <c r="BR347" s="32"/>
      <c r="BS347" s="32"/>
      <c r="BT347" s="32"/>
      <c r="BU347" s="32"/>
      <c r="BV347" s="32"/>
      <c r="BW347" s="32"/>
      <c r="BX347" s="32"/>
      <c r="BY347" s="32"/>
      <c r="BZ347" s="32"/>
      <c r="CA347" s="32"/>
      <c r="CB347" s="32"/>
      <c r="CC347" s="32"/>
    </row>
    <row r="348" spans="1:81" ht="18">
      <c r="A348" s="28"/>
      <c r="B348" s="29"/>
      <c r="C348" s="29"/>
      <c r="D348" s="29"/>
      <c r="E348" s="30"/>
      <c r="F348" s="30"/>
      <c r="G348" s="29"/>
      <c r="H348" s="40"/>
      <c r="I348" s="28"/>
      <c r="J348" s="28"/>
      <c r="K348" s="132"/>
      <c r="L348" s="133"/>
      <c r="M348" s="133"/>
      <c r="N348" s="133"/>
      <c r="O348" s="31"/>
      <c r="P348" s="28"/>
      <c r="Q348" s="28"/>
      <c r="R348" s="28"/>
      <c r="S348" s="28"/>
      <c r="T348" s="28"/>
      <c r="U348" s="28"/>
      <c r="V348" s="28"/>
      <c r="W348" s="28"/>
      <c r="X348" s="28"/>
      <c r="Y348" s="28"/>
      <c r="Z348" s="28"/>
      <c r="AA348" s="28"/>
      <c r="AB348" s="28"/>
      <c r="AC348" s="28"/>
      <c r="AD348" s="28"/>
      <c r="AE348" s="32"/>
      <c r="AF348" s="32"/>
      <c r="AG348" s="32"/>
      <c r="AH348" s="32"/>
      <c r="AI348" s="32"/>
      <c r="AJ348" s="32"/>
      <c r="AK348" s="32"/>
      <c r="AL348" s="32"/>
      <c r="AM348" s="32"/>
      <c r="AN348" s="32"/>
      <c r="AO348" s="32"/>
      <c r="AP348" s="32"/>
      <c r="AQ348" s="32"/>
      <c r="AR348" s="32"/>
      <c r="AS348" s="32"/>
      <c r="AT348" s="32"/>
      <c r="AU348" s="32"/>
      <c r="AV348" s="32"/>
      <c r="AW348" s="32"/>
      <c r="AX348" s="32"/>
      <c r="AY348" s="32"/>
      <c r="AZ348" s="32"/>
      <c r="BA348" s="32"/>
      <c r="BB348" s="32"/>
      <c r="BC348" s="32"/>
      <c r="BD348" s="32"/>
      <c r="BE348" s="32"/>
      <c r="BF348" s="32"/>
      <c r="BG348" s="32"/>
      <c r="BH348" s="32"/>
      <c r="BI348" s="32"/>
      <c r="BJ348" s="32"/>
      <c r="BK348" s="32"/>
      <c r="BL348" s="32"/>
      <c r="BM348" s="32"/>
      <c r="BN348" s="32"/>
      <c r="BO348" s="32"/>
      <c r="BP348" s="32"/>
      <c r="BQ348" s="32"/>
      <c r="BR348" s="32"/>
      <c r="BS348" s="32"/>
      <c r="BT348" s="32"/>
      <c r="BU348" s="32"/>
      <c r="BV348" s="32"/>
      <c r="BW348" s="32"/>
      <c r="BX348" s="32"/>
      <c r="BY348" s="32"/>
      <c r="BZ348" s="32"/>
      <c r="CA348" s="32"/>
      <c r="CB348" s="32"/>
      <c r="CC348" s="32"/>
    </row>
    <row r="349" spans="1:81" ht="18">
      <c r="A349" s="28"/>
      <c r="B349" s="29"/>
      <c r="C349" s="29"/>
      <c r="D349" s="29"/>
      <c r="E349" s="30"/>
      <c r="F349" s="30"/>
      <c r="G349" s="29"/>
      <c r="H349" s="40"/>
      <c r="I349" s="28"/>
      <c r="J349" s="28"/>
      <c r="K349" s="132"/>
      <c r="L349" s="133"/>
      <c r="M349" s="133"/>
      <c r="N349" s="133"/>
      <c r="O349" s="31"/>
      <c r="P349" s="28"/>
      <c r="Q349" s="28"/>
      <c r="R349" s="28"/>
      <c r="S349" s="28"/>
      <c r="T349" s="28"/>
      <c r="U349" s="28"/>
      <c r="V349" s="28"/>
      <c r="W349" s="28"/>
      <c r="X349" s="28"/>
      <c r="Y349" s="28"/>
      <c r="Z349" s="28"/>
      <c r="AA349" s="28"/>
      <c r="AB349" s="28"/>
      <c r="AC349" s="28"/>
      <c r="AD349" s="28"/>
      <c r="AE349" s="32"/>
      <c r="AF349" s="32"/>
      <c r="AG349" s="32"/>
      <c r="AH349" s="32"/>
      <c r="AI349" s="32"/>
      <c r="AJ349" s="32"/>
      <c r="AK349" s="32"/>
      <c r="AL349" s="32"/>
      <c r="AM349" s="32"/>
      <c r="AN349" s="32"/>
      <c r="AO349" s="32"/>
      <c r="AP349" s="32"/>
      <c r="AQ349" s="32"/>
      <c r="AR349" s="32"/>
      <c r="AS349" s="32"/>
      <c r="AT349" s="32"/>
      <c r="AU349" s="32"/>
      <c r="AV349" s="32"/>
      <c r="AW349" s="32"/>
      <c r="AX349" s="32"/>
      <c r="AY349" s="32"/>
      <c r="AZ349" s="32"/>
      <c r="BA349" s="32"/>
      <c r="BB349" s="32"/>
      <c r="BC349" s="32"/>
      <c r="BD349" s="32"/>
      <c r="BE349" s="32"/>
      <c r="BF349" s="32"/>
      <c r="BG349" s="32"/>
      <c r="BH349" s="32"/>
      <c r="BI349" s="32"/>
      <c r="BJ349" s="32"/>
      <c r="BK349" s="32"/>
      <c r="BL349" s="32"/>
      <c r="BM349" s="32"/>
      <c r="BN349" s="32"/>
      <c r="BO349" s="32"/>
      <c r="BP349" s="32"/>
      <c r="BQ349" s="32"/>
      <c r="BR349" s="32"/>
      <c r="BS349" s="32"/>
      <c r="BT349" s="32"/>
      <c r="BU349" s="32"/>
      <c r="BV349" s="32"/>
      <c r="BW349" s="32"/>
      <c r="BX349" s="32"/>
      <c r="BY349" s="32"/>
      <c r="BZ349" s="32"/>
      <c r="CA349" s="32"/>
      <c r="CB349" s="32"/>
      <c r="CC349" s="32"/>
    </row>
    <row r="350" spans="1:81" ht="18">
      <c r="A350" s="28"/>
      <c r="B350" s="29"/>
      <c r="C350" s="29"/>
      <c r="D350" s="29"/>
      <c r="E350" s="30"/>
      <c r="F350" s="30"/>
      <c r="G350" s="29"/>
      <c r="H350" s="40"/>
      <c r="I350" s="28"/>
      <c r="J350" s="28"/>
      <c r="K350" s="132"/>
      <c r="L350" s="133"/>
      <c r="M350" s="133"/>
      <c r="N350" s="133"/>
      <c r="O350" s="31"/>
      <c r="P350" s="28"/>
      <c r="Q350" s="28"/>
      <c r="R350" s="28"/>
      <c r="S350" s="28"/>
      <c r="T350" s="28"/>
      <c r="U350" s="28"/>
      <c r="V350" s="28"/>
      <c r="W350" s="28"/>
      <c r="X350" s="28"/>
      <c r="Y350" s="28"/>
      <c r="Z350" s="28"/>
      <c r="AA350" s="28"/>
      <c r="AB350" s="28"/>
      <c r="AC350" s="28"/>
      <c r="AD350" s="28"/>
      <c r="AE350" s="32"/>
      <c r="AF350" s="32"/>
      <c r="AG350" s="32"/>
      <c r="AH350" s="32"/>
      <c r="AI350" s="32"/>
      <c r="AJ350" s="32"/>
      <c r="AK350" s="32"/>
      <c r="AL350" s="32"/>
      <c r="AM350" s="32"/>
      <c r="AN350" s="32"/>
      <c r="AO350" s="32"/>
      <c r="AP350" s="32"/>
      <c r="AQ350" s="32"/>
      <c r="AR350" s="32"/>
      <c r="AS350" s="32"/>
      <c r="AT350" s="32"/>
      <c r="AU350" s="32"/>
      <c r="AV350" s="32"/>
      <c r="AW350" s="32"/>
      <c r="AX350" s="32"/>
      <c r="AY350" s="32"/>
      <c r="AZ350" s="32"/>
      <c r="BA350" s="32"/>
      <c r="BB350" s="32"/>
      <c r="BC350" s="32"/>
      <c r="BD350" s="32"/>
      <c r="BE350" s="32"/>
      <c r="BF350" s="32"/>
      <c r="BG350" s="32"/>
      <c r="BH350" s="32"/>
      <c r="BI350" s="32"/>
      <c r="BJ350" s="32"/>
      <c r="BK350" s="32"/>
      <c r="BL350" s="32"/>
      <c r="BM350" s="32"/>
      <c r="BN350" s="32"/>
      <c r="BO350" s="32"/>
      <c r="BP350" s="32"/>
      <c r="BQ350" s="32"/>
      <c r="BR350" s="32"/>
      <c r="BS350" s="32"/>
      <c r="BT350" s="32"/>
      <c r="BU350" s="32"/>
      <c r="BV350" s="32"/>
      <c r="BW350" s="32"/>
      <c r="BX350" s="32"/>
      <c r="BY350" s="32"/>
      <c r="BZ350" s="32"/>
      <c r="CA350" s="32"/>
      <c r="CB350" s="32"/>
      <c r="CC350" s="32"/>
    </row>
    <row r="351" spans="1:81" ht="18">
      <c r="A351" s="28"/>
      <c r="B351" s="29"/>
      <c r="C351" s="29"/>
      <c r="D351" s="29"/>
      <c r="E351" s="30"/>
      <c r="F351" s="30"/>
      <c r="G351" s="29"/>
      <c r="H351" s="40"/>
      <c r="I351" s="28"/>
      <c r="J351" s="28"/>
      <c r="K351" s="132"/>
      <c r="L351" s="133"/>
      <c r="M351" s="133"/>
      <c r="N351" s="133"/>
      <c r="O351" s="31"/>
      <c r="P351" s="28"/>
      <c r="Q351" s="28"/>
      <c r="R351" s="28"/>
      <c r="S351" s="28"/>
      <c r="T351" s="28"/>
      <c r="U351" s="28"/>
      <c r="V351" s="28"/>
      <c r="W351" s="28"/>
      <c r="X351" s="28"/>
      <c r="Y351" s="28"/>
      <c r="Z351" s="28"/>
      <c r="AA351" s="28"/>
      <c r="AB351" s="28"/>
      <c r="AC351" s="28"/>
      <c r="AD351" s="28"/>
      <c r="AE351" s="32"/>
      <c r="AF351" s="32"/>
      <c r="AG351" s="32"/>
      <c r="AH351" s="32"/>
      <c r="AI351" s="32"/>
      <c r="AJ351" s="32"/>
      <c r="AK351" s="32"/>
      <c r="AL351" s="32"/>
      <c r="AM351" s="32"/>
      <c r="AN351" s="32"/>
      <c r="AO351" s="32"/>
      <c r="AP351" s="32"/>
      <c r="AQ351" s="32"/>
      <c r="AR351" s="32"/>
      <c r="AS351" s="32"/>
      <c r="AT351" s="32"/>
      <c r="AU351" s="32"/>
      <c r="AV351" s="32"/>
      <c r="AW351" s="32"/>
      <c r="AX351" s="32"/>
      <c r="AY351" s="32"/>
      <c r="AZ351" s="32"/>
      <c r="BA351" s="32"/>
      <c r="BB351" s="32"/>
      <c r="BC351" s="32"/>
      <c r="BD351" s="32"/>
      <c r="BE351" s="32"/>
      <c r="BF351" s="32"/>
      <c r="BG351" s="32"/>
      <c r="BH351" s="32"/>
      <c r="BI351" s="32"/>
      <c r="BJ351" s="32"/>
      <c r="BK351" s="32"/>
      <c r="BL351" s="32"/>
      <c r="BM351" s="32"/>
      <c r="BN351" s="32"/>
      <c r="BO351" s="32"/>
      <c r="BP351" s="32"/>
      <c r="BQ351" s="32"/>
      <c r="BR351" s="32"/>
      <c r="BS351" s="32"/>
      <c r="BT351" s="32"/>
      <c r="BU351" s="32"/>
      <c r="BV351" s="32"/>
      <c r="BW351" s="32"/>
      <c r="BX351" s="32"/>
      <c r="BY351" s="32"/>
      <c r="BZ351" s="32"/>
      <c r="CA351" s="32"/>
      <c r="CB351" s="32"/>
      <c r="CC351" s="32"/>
    </row>
    <row r="352" spans="1:81" ht="18">
      <c r="A352" s="28"/>
      <c r="B352" s="29"/>
      <c r="C352" s="29"/>
      <c r="D352" s="29"/>
      <c r="E352" s="30"/>
      <c r="F352" s="30"/>
      <c r="G352" s="29"/>
      <c r="H352" s="40"/>
      <c r="I352" s="28"/>
      <c r="J352" s="28"/>
      <c r="K352" s="132"/>
      <c r="L352" s="133"/>
      <c r="M352" s="133"/>
      <c r="N352" s="133"/>
      <c r="O352" s="31"/>
      <c r="P352" s="28"/>
      <c r="Q352" s="28"/>
      <c r="R352" s="28"/>
      <c r="S352" s="28"/>
      <c r="T352" s="28"/>
      <c r="U352" s="28"/>
      <c r="V352" s="28"/>
      <c r="W352" s="28"/>
      <c r="X352" s="28"/>
      <c r="Y352" s="28"/>
      <c r="Z352" s="28"/>
      <c r="AA352" s="28"/>
      <c r="AB352" s="28"/>
      <c r="AC352" s="28"/>
      <c r="AD352" s="28"/>
      <c r="AE352" s="32"/>
      <c r="AF352" s="32"/>
      <c r="AG352" s="32"/>
      <c r="AH352" s="32"/>
      <c r="AI352" s="32"/>
      <c r="AJ352" s="32"/>
      <c r="AK352" s="32"/>
      <c r="AL352" s="32"/>
      <c r="AM352" s="32"/>
      <c r="AN352" s="32"/>
      <c r="AO352" s="32"/>
      <c r="AP352" s="32"/>
      <c r="AQ352" s="32"/>
      <c r="AR352" s="32"/>
      <c r="AS352" s="32"/>
      <c r="AT352" s="32"/>
      <c r="AU352" s="32"/>
      <c r="AV352" s="32"/>
      <c r="AW352" s="32"/>
      <c r="AX352" s="32"/>
      <c r="AY352" s="32"/>
      <c r="AZ352" s="32"/>
      <c r="BA352" s="32"/>
      <c r="BB352" s="32"/>
      <c r="BC352" s="32"/>
      <c r="BD352" s="32"/>
      <c r="BE352" s="32"/>
      <c r="BF352" s="32"/>
      <c r="BG352" s="32"/>
      <c r="BH352" s="32"/>
      <c r="BI352" s="32"/>
      <c r="BJ352" s="32"/>
      <c r="BK352" s="32"/>
      <c r="BL352" s="32"/>
      <c r="BM352" s="32"/>
      <c r="BN352" s="32"/>
      <c r="BO352" s="32"/>
      <c r="BP352" s="32"/>
      <c r="BQ352" s="32"/>
      <c r="BR352" s="32"/>
      <c r="BS352" s="32"/>
      <c r="BT352" s="32"/>
      <c r="BU352" s="32"/>
      <c r="BV352" s="32"/>
      <c r="BW352" s="32"/>
      <c r="BX352" s="32"/>
      <c r="BY352" s="32"/>
      <c r="BZ352" s="32"/>
      <c r="CA352" s="32"/>
      <c r="CB352" s="32"/>
      <c r="CC352" s="32"/>
    </row>
    <row r="353" spans="1:81" ht="18">
      <c r="A353" s="28"/>
      <c r="B353" s="29"/>
      <c r="C353" s="29"/>
      <c r="D353" s="29"/>
      <c r="E353" s="30"/>
      <c r="F353" s="30"/>
      <c r="G353" s="29"/>
      <c r="H353" s="40"/>
      <c r="I353" s="28"/>
      <c r="J353" s="28"/>
      <c r="K353" s="132"/>
      <c r="L353" s="133"/>
      <c r="M353" s="133"/>
      <c r="N353" s="133"/>
      <c r="O353" s="31"/>
      <c r="P353" s="28"/>
      <c r="Q353" s="28"/>
      <c r="R353" s="28"/>
      <c r="S353" s="28"/>
      <c r="T353" s="28"/>
      <c r="U353" s="28"/>
      <c r="V353" s="28"/>
      <c r="W353" s="28"/>
      <c r="X353" s="28"/>
      <c r="Y353" s="28"/>
      <c r="Z353" s="28"/>
      <c r="AA353" s="28"/>
      <c r="AB353" s="28"/>
      <c r="AC353" s="28"/>
      <c r="AD353" s="28"/>
      <c r="AE353" s="32"/>
      <c r="AF353" s="32"/>
      <c r="AG353" s="32"/>
      <c r="AH353" s="32"/>
      <c r="AI353" s="32"/>
      <c r="AJ353" s="32"/>
      <c r="AK353" s="32"/>
      <c r="AL353" s="32"/>
      <c r="AM353" s="32"/>
      <c r="AN353" s="32"/>
      <c r="AO353" s="32"/>
      <c r="AP353" s="32"/>
      <c r="AQ353" s="32"/>
      <c r="AR353" s="32"/>
      <c r="AS353" s="32"/>
      <c r="AT353" s="32"/>
      <c r="AU353" s="32"/>
      <c r="AV353" s="32"/>
      <c r="AW353" s="32"/>
      <c r="AX353" s="32"/>
      <c r="AY353" s="32"/>
      <c r="AZ353" s="32"/>
      <c r="BA353" s="32"/>
      <c r="BB353" s="32"/>
      <c r="BC353" s="32"/>
      <c r="BD353" s="32"/>
      <c r="BE353" s="32"/>
      <c r="BF353" s="32"/>
      <c r="BG353" s="32"/>
      <c r="BH353" s="32"/>
      <c r="BI353" s="32"/>
      <c r="BJ353" s="32"/>
      <c r="BK353" s="32"/>
      <c r="BL353" s="32"/>
      <c r="BM353" s="32"/>
      <c r="BN353" s="32"/>
      <c r="BO353" s="32"/>
      <c r="BP353" s="32"/>
      <c r="BQ353" s="32"/>
      <c r="BR353" s="32"/>
      <c r="BS353" s="32"/>
      <c r="BT353" s="32"/>
      <c r="BU353" s="32"/>
      <c r="BV353" s="32"/>
      <c r="BW353" s="32"/>
      <c r="BX353" s="32"/>
      <c r="BY353" s="32"/>
      <c r="BZ353" s="32"/>
      <c r="CA353" s="32"/>
      <c r="CB353" s="32"/>
      <c r="CC353" s="32"/>
    </row>
    <row r="354" spans="1:81" ht="18">
      <c r="A354" s="28"/>
      <c r="B354" s="29"/>
      <c r="C354" s="29"/>
      <c r="D354" s="29"/>
      <c r="E354" s="30"/>
      <c r="F354" s="30"/>
      <c r="G354" s="29"/>
      <c r="H354" s="40"/>
      <c r="I354" s="28"/>
      <c r="J354" s="28"/>
      <c r="K354" s="132"/>
      <c r="L354" s="133"/>
      <c r="M354" s="133"/>
      <c r="N354" s="133"/>
      <c r="O354" s="31"/>
      <c r="P354" s="28"/>
      <c r="Q354" s="28"/>
      <c r="R354" s="28"/>
      <c r="S354" s="28"/>
      <c r="T354" s="28"/>
      <c r="U354" s="28"/>
      <c r="V354" s="28"/>
      <c r="W354" s="28"/>
      <c r="X354" s="28"/>
      <c r="Y354" s="28"/>
      <c r="Z354" s="28"/>
      <c r="AA354" s="28"/>
      <c r="AB354" s="28"/>
      <c r="AC354" s="28"/>
      <c r="AD354" s="28"/>
      <c r="AE354" s="32"/>
      <c r="AF354" s="32"/>
      <c r="AG354" s="32"/>
      <c r="AH354" s="32"/>
      <c r="AI354" s="32"/>
      <c r="AJ354" s="32"/>
      <c r="AK354" s="32"/>
      <c r="AL354" s="32"/>
      <c r="AM354" s="32"/>
      <c r="AN354" s="32"/>
      <c r="AO354" s="32"/>
      <c r="AP354" s="32"/>
      <c r="AQ354" s="32"/>
      <c r="AR354" s="32"/>
      <c r="AS354" s="32"/>
      <c r="AT354" s="32"/>
      <c r="AU354" s="32"/>
      <c r="AV354" s="32"/>
      <c r="AW354" s="32"/>
      <c r="AX354" s="32"/>
      <c r="AY354" s="32"/>
      <c r="AZ354" s="32"/>
      <c r="BA354" s="32"/>
      <c r="BB354" s="32"/>
      <c r="BC354" s="32"/>
      <c r="BD354" s="32"/>
      <c r="BE354" s="32"/>
      <c r="BF354" s="32"/>
      <c r="BG354" s="32"/>
      <c r="BH354" s="32"/>
      <c r="BI354" s="32"/>
      <c r="BJ354" s="32"/>
      <c r="BK354" s="32"/>
      <c r="BL354" s="32"/>
      <c r="BM354" s="32"/>
      <c r="BN354" s="32"/>
      <c r="BO354" s="32"/>
      <c r="BP354" s="32"/>
      <c r="BQ354" s="32"/>
      <c r="BR354" s="32"/>
      <c r="BS354" s="32"/>
      <c r="BT354" s="32"/>
      <c r="BU354" s="32"/>
      <c r="BV354" s="32"/>
      <c r="BW354" s="32"/>
      <c r="BX354" s="32"/>
      <c r="BY354" s="32"/>
      <c r="BZ354" s="32"/>
      <c r="CA354" s="32"/>
      <c r="CB354" s="32"/>
      <c r="CC354" s="32"/>
    </row>
    <row r="355" spans="1:81" ht="18">
      <c r="A355" s="28"/>
      <c r="B355" s="29"/>
      <c r="C355" s="29"/>
      <c r="D355" s="29"/>
      <c r="E355" s="30"/>
      <c r="F355" s="30"/>
      <c r="G355" s="29"/>
      <c r="H355" s="40"/>
      <c r="I355" s="28"/>
      <c r="J355" s="28"/>
      <c r="K355" s="132"/>
      <c r="L355" s="133"/>
      <c r="M355" s="133"/>
      <c r="N355" s="133"/>
      <c r="O355" s="31"/>
      <c r="P355" s="28"/>
      <c r="Q355" s="28"/>
      <c r="R355" s="28"/>
      <c r="S355" s="28"/>
      <c r="T355" s="28"/>
      <c r="U355" s="28"/>
      <c r="V355" s="28"/>
      <c r="W355" s="28"/>
      <c r="X355" s="28"/>
      <c r="Y355" s="28"/>
      <c r="Z355" s="28"/>
      <c r="AA355" s="28"/>
      <c r="AB355" s="28"/>
      <c r="AC355" s="28"/>
      <c r="AD355" s="28"/>
      <c r="AE355" s="32"/>
      <c r="AF355" s="32"/>
      <c r="AG355" s="32"/>
      <c r="AH355" s="32"/>
      <c r="AI355" s="32"/>
      <c r="AJ355" s="32"/>
      <c r="AK355" s="32"/>
      <c r="AL355" s="32"/>
      <c r="AM355" s="32"/>
      <c r="AN355" s="32"/>
      <c r="AO355" s="32"/>
      <c r="AP355" s="32"/>
      <c r="AQ355" s="32"/>
      <c r="AR355" s="32"/>
      <c r="AS355" s="32"/>
      <c r="AT355" s="32"/>
      <c r="AU355" s="32"/>
      <c r="AV355" s="32"/>
      <c r="AW355" s="32"/>
      <c r="AX355" s="32"/>
      <c r="AY355" s="32"/>
      <c r="AZ355" s="32"/>
      <c r="BA355" s="32"/>
      <c r="BB355" s="32"/>
      <c r="BC355" s="32"/>
      <c r="BD355" s="32"/>
      <c r="BE355" s="32"/>
      <c r="BF355" s="32"/>
      <c r="BG355" s="32"/>
      <c r="BH355" s="32"/>
      <c r="BI355" s="32"/>
      <c r="BJ355" s="32"/>
      <c r="BK355" s="32"/>
      <c r="BL355" s="32"/>
      <c r="BM355" s="32"/>
      <c r="BN355" s="32"/>
      <c r="BO355" s="32"/>
      <c r="BP355" s="32"/>
      <c r="BQ355" s="32"/>
      <c r="BR355" s="32"/>
      <c r="BS355" s="32"/>
      <c r="BT355" s="32"/>
      <c r="BU355" s="32"/>
      <c r="BV355" s="32"/>
      <c r="BW355" s="32"/>
      <c r="BX355" s="32"/>
      <c r="BY355" s="32"/>
      <c r="BZ355" s="32"/>
      <c r="CA355" s="32"/>
      <c r="CB355" s="32"/>
      <c r="CC355" s="32"/>
    </row>
    <row r="356" spans="1:81" ht="18">
      <c r="A356" s="28"/>
      <c r="B356" s="29"/>
      <c r="C356" s="29"/>
      <c r="D356" s="29"/>
      <c r="E356" s="30"/>
      <c r="F356" s="30"/>
      <c r="G356" s="29"/>
      <c r="H356" s="40"/>
      <c r="I356" s="28"/>
      <c r="J356" s="28"/>
      <c r="K356" s="132"/>
      <c r="L356" s="133"/>
      <c r="M356" s="133"/>
      <c r="N356" s="133"/>
      <c r="O356" s="31"/>
      <c r="P356" s="28"/>
      <c r="Q356" s="28"/>
      <c r="R356" s="28"/>
      <c r="S356" s="28"/>
      <c r="T356" s="28"/>
      <c r="U356" s="28"/>
      <c r="V356" s="28"/>
      <c r="W356" s="28"/>
      <c r="X356" s="28"/>
      <c r="Y356" s="28"/>
      <c r="Z356" s="28"/>
      <c r="AA356" s="28"/>
      <c r="AB356" s="28"/>
      <c r="AC356" s="28"/>
      <c r="AD356" s="28"/>
      <c r="AE356" s="32"/>
      <c r="AF356" s="32"/>
      <c r="AG356" s="32"/>
      <c r="AH356" s="32"/>
      <c r="AI356" s="32"/>
      <c r="AJ356" s="32"/>
      <c r="AK356" s="32"/>
      <c r="AL356" s="32"/>
      <c r="AM356" s="32"/>
      <c r="AN356" s="32"/>
      <c r="AO356" s="32"/>
      <c r="AP356" s="32"/>
      <c r="AQ356" s="32"/>
      <c r="AR356" s="32"/>
      <c r="AS356" s="32"/>
      <c r="AT356" s="32"/>
      <c r="AU356" s="32"/>
      <c r="AV356" s="32"/>
      <c r="AW356" s="32"/>
      <c r="AX356" s="32"/>
      <c r="AY356" s="32"/>
      <c r="AZ356" s="32"/>
      <c r="BA356" s="32"/>
      <c r="BB356" s="32"/>
      <c r="BC356" s="32"/>
      <c r="BD356" s="32"/>
      <c r="BE356" s="32"/>
      <c r="BF356" s="32"/>
      <c r="BG356" s="32"/>
      <c r="BH356" s="32"/>
      <c r="BI356" s="32"/>
      <c r="BJ356" s="32"/>
      <c r="BK356" s="32"/>
      <c r="BL356" s="32"/>
      <c r="BM356" s="32"/>
      <c r="BN356" s="32"/>
      <c r="BO356" s="32"/>
      <c r="BP356" s="32"/>
      <c r="BQ356" s="32"/>
      <c r="BR356" s="32"/>
      <c r="BS356" s="32"/>
      <c r="BT356" s="32"/>
      <c r="BU356" s="32"/>
      <c r="BV356" s="32"/>
      <c r="BW356" s="32"/>
      <c r="BX356" s="32"/>
      <c r="BY356" s="32"/>
      <c r="BZ356" s="32"/>
      <c r="CA356" s="32"/>
      <c r="CB356" s="32"/>
      <c r="CC356" s="32"/>
    </row>
    <row r="357" spans="1:81" ht="18">
      <c r="A357" s="28"/>
      <c r="B357" s="29"/>
      <c r="C357" s="29"/>
      <c r="D357" s="29"/>
      <c r="E357" s="30"/>
      <c r="F357" s="30"/>
      <c r="G357" s="29"/>
      <c r="H357" s="40"/>
      <c r="I357" s="28"/>
      <c r="J357" s="28"/>
      <c r="K357" s="132"/>
      <c r="L357" s="133"/>
      <c r="M357" s="133"/>
      <c r="N357" s="133"/>
      <c r="O357" s="31"/>
      <c r="P357" s="28"/>
      <c r="Q357" s="28"/>
      <c r="R357" s="28"/>
      <c r="S357" s="28"/>
      <c r="T357" s="28"/>
      <c r="U357" s="28"/>
      <c r="V357" s="28"/>
      <c r="W357" s="28"/>
      <c r="X357" s="28"/>
      <c r="Y357" s="28"/>
      <c r="Z357" s="28"/>
      <c r="AA357" s="28"/>
      <c r="AB357" s="28"/>
      <c r="AC357" s="28"/>
      <c r="AD357" s="28"/>
      <c r="AE357" s="32"/>
      <c r="AF357" s="32"/>
      <c r="AG357" s="32"/>
      <c r="AH357" s="32"/>
      <c r="AI357" s="32"/>
      <c r="AJ357" s="32"/>
      <c r="AK357" s="32"/>
      <c r="AL357" s="32"/>
      <c r="AM357" s="32"/>
      <c r="AN357" s="32"/>
      <c r="AO357" s="32"/>
      <c r="AP357" s="32"/>
      <c r="AQ357" s="32"/>
      <c r="AR357" s="32"/>
      <c r="AS357" s="32"/>
      <c r="AT357" s="32"/>
      <c r="AU357" s="32"/>
      <c r="AV357" s="32"/>
      <c r="AW357" s="32"/>
      <c r="AX357" s="32"/>
      <c r="AY357" s="32"/>
      <c r="AZ357" s="32"/>
      <c r="BA357" s="32"/>
      <c r="BB357" s="32"/>
      <c r="BC357" s="32"/>
      <c r="BD357" s="32"/>
      <c r="BE357" s="32"/>
      <c r="BF357" s="32"/>
      <c r="BG357" s="32"/>
      <c r="BH357" s="32"/>
      <c r="BI357" s="32"/>
      <c r="BJ357" s="32"/>
      <c r="BK357" s="32"/>
      <c r="BL357" s="32"/>
      <c r="BM357" s="32"/>
      <c r="BN357" s="32"/>
      <c r="BO357" s="32"/>
      <c r="BP357" s="32"/>
      <c r="BQ357" s="32"/>
      <c r="BR357" s="32"/>
      <c r="BS357" s="32"/>
      <c r="BT357" s="32"/>
      <c r="BU357" s="32"/>
      <c r="BV357" s="32"/>
      <c r="BW357" s="32"/>
      <c r="BX357" s="32"/>
      <c r="BY357" s="32"/>
      <c r="BZ357" s="32"/>
      <c r="CA357" s="32"/>
      <c r="CB357" s="32"/>
      <c r="CC357" s="32"/>
    </row>
    <row r="358" spans="1:81" ht="18">
      <c r="A358" s="28"/>
      <c r="B358" s="29"/>
      <c r="C358" s="29"/>
      <c r="D358" s="29"/>
      <c r="E358" s="30"/>
      <c r="F358" s="30"/>
      <c r="G358" s="29"/>
      <c r="H358" s="40"/>
      <c r="I358" s="28"/>
      <c r="J358" s="28"/>
      <c r="K358" s="132"/>
      <c r="L358" s="133"/>
      <c r="M358" s="133"/>
      <c r="N358" s="133"/>
      <c r="O358" s="31"/>
      <c r="P358" s="28"/>
      <c r="Q358" s="28"/>
      <c r="R358" s="28"/>
      <c r="S358" s="28"/>
      <c r="T358" s="28"/>
      <c r="U358" s="28"/>
      <c r="V358" s="28"/>
      <c r="W358" s="28"/>
      <c r="X358" s="28"/>
      <c r="Y358" s="28"/>
      <c r="Z358" s="28"/>
      <c r="AA358" s="28"/>
      <c r="AB358" s="28"/>
      <c r="AC358" s="28"/>
      <c r="AD358" s="28"/>
      <c r="AE358" s="32"/>
      <c r="AF358" s="32"/>
      <c r="AG358" s="32"/>
      <c r="AH358" s="32"/>
      <c r="AI358" s="32"/>
      <c r="AJ358" s="32"/>
      <c r="AK358" s="32"/>
      <c r="AL358" s="32"/>
      <c r="AM358" s="32"/>
      <c r="AN358" s="32"/>
      <c r="AO358" s="32"/>
      <c r="AP358" s="32"/>
      <c r="AQ358" s="32"/>
      <c r="AR358" s="32"/>
      <c r="AS358" s="32"/>
      <c r="AT358" s="32"/>
      <c r="AU358" s="32"/>
      <c r="AV358" s="32"/>
      <c r="AW358" s="32"/>
      <c r="AX358" s="32"/>
      <c r="AY358" s="32"/>
      <c r="AZ358" s="32"/>
      <c r="BA358" s="32"/>
      <c r="BB358" s="32"/>
      <c r="BC358" s="32"/>
      <c r="BD358" s="32"/>
      <c r="BE358" s="32"/>
      <c r="BF358" s="32"/>
      <c r="BG358" s="32"/>
      <c r="BH358" s="32"/>
      <c r="BI358" s="32"/>
      <c r="BJ358" s="32"/>
      <c r="BK358" s="32"/>
      <c r="BL358" s="32"/>
      <c r="BM358" s="32"/>
      <c r="BN358" s="32"/>
      <c r="BO358" s="32"/>
      <c r="BP358" s="32"/>
      <c r="BQ358" s="32"/>
      <c r="BR358" s="32"/>
      <c r="BS358" s="32"/>
      <c r="BT358" s="32"/>
      <c r="BU358" s="32"/>
      <c r="BV358" s="32"/>
      <c r="BW358" s="32"/>
      <c r="BX358" s="32"/>
      <c r="BY358" s="32"/>
      <c r="BZ358" s="32"/>
      <c r="CA358" s="32"/>
      <c r="CB358" s="32"/>
      <c r="CC358" s="32"/>
    </row>
    <row r="359" spans="1:81" ht="18">
      <c r="A359" s="28"/>
      <c r="B359" s="29"/>
      <c r="C359" s="29"/>
      <c r="D359" s="29"/>
      <c r="E359" s="30"/>
      <c r="F359" s="30"/>
      <c r="G359" s="29"/>
      <c r="H359" s="40"/>
      <c r="I359" s="28"/>
      <c r="J359" s="28"/>
      <c r="K359" s="132"/>
      <c r="L359" s="133"/>
      <c r="M359" s="133"/>
      <c r="N359" s="133"/>
      <c r="O359" s="31"/>
      <c r="P359" s="28"/>
      <c r="Q359" s="28"/>
      <c r="R359" s="28"/>
      <c r="S359" s="28"/>
      <c r="T359" s="28"/>
      <c r="U359" s="28"/>
      <c r="V359" s="28"/>
      <c r="W359" s="28"/>
      <c r="X359" s="28"/>
      <c r="Y359" s="28"/>
      <c r="Z359" s="28"/>
      <c r="AA359" s="28"/>
      <c r="AB359" s="28"/>
      <c r="AC359" s="28"/>
      <c r="AD359" s="28"/>
      <c r="AE359" s="32"/>
      <c r="AF359" s="32"/>
      <c r="AG359" s="32"/>
      <c r="AH359" s="32"/>
      <c r="AI359" s="32"/>
      <c r="AJ359" s="32"/>
      <c r="AK359" s="32"/>
      <c r="AL359" s="32"/>
      <c r="AM359" s="32"/>
      <c r="AN359" s="32"/>
      <c r="AO359" s="32"/>
      <c r="AP359" s="32"/>
      <c r="AQ359" s="32"/>
      <c r="AR359" s="32"/>
      <c r="AS359" s="32"/>
      <c r="AT359" s="32"/>
      <c r="AU359" s="32"/>
      <c r="AV359" s="32"/>
      <c r="AW359" s="32"/>
      <c r="AX359" s="32"/>
      <c r="AY359" s="32"/>
      <c r="AZ359" s="32"/>
      <c r="BA359" s="32"/>
      <c r="BB359" s="32"/>
      <c r="BC359" s="32"/>
      <c r="BD359" s="32"/>
      <c r="BE359" s="32"/>
      <c r="BF359" s="32"/>
      <c r="BG359" s="32"/>
      <c r="BH359" s="32"/>
      <c r="BI359" s="32"/>
      <c r="BJ359" s="32"/>
      <c r="BK359" s="32"/>
      <c r="BL359" s="32"/>
      <c r="BM359" s="32"/>
      <c r="BN359" s="32"/>
      <c r="BO359" s="32"/>
      <c r="BP359" s="32"/>
      <c r="BQ359" s="32"/>
      <c r="BR359" s="32"/>
      <c r="BS359" s="32"/>
      <c r="BT359" s="32"/>
      <c r="BU359" s="32"/>
      <c r="BV359" s="32"/>
      <c r="BW359" s="32"/>
      <c r="BX359" s="32"/>
      <c r="BY359" s="32"/>
      <c r="BZ359" s="32"/>
      <c r="CA359" s="32"/>
      <c r="CB359" s="32"/>
      <c r="CC359" s="32"/>
    </row>
    <row r="360" spans="1:81" ht="18">
      <c r="A360" s="28"/>
      <c r="B360" s="29"/>
      <c r="C360" s="29"/>
      <c r="D360" s="29"/>
      <c r="E360" s="30"/>
      <c r="F360" s="30"/>
      <c r="G360" s="29"/>
      <c r="H360" s="40"/>
      <c r="I360" s="28"/>
      <c r="J360" s="28"/>
      <c r="K360" s="132"/>
      <c r="L360" s="133"/>
      <c r="M360" s="133"/>
      <c r="N360" s="133"/>
      <c r="O360" s="31"/>
      <c r="P360" s="28"/>
      <c r="Q360" s="28"/>
      <c r="R360" s="28"/>
      <c r="S360" s="28"/>
      <c r="T360" s="28"/>
      <c r="U360" s="28"/>
      <c r="V360" s="28"/>
      <c r="W360" s="28"/>
      <c r="X360" s="28"/>
      <c r="Y360" s="28"/>
      <c r="Z360" s="28"/>
      <c r="AA360" s="28"/>
      <c r="AB360" s="28"/>
      <c r="AC360" s="28"/>
      <c r="AD360" s="28"/>
      <c r="AE360" s="32"/>
      <c r="AF360" s="32"/>
      <c r="AG360" s="32"/>
      <c r="AH360" s="32"/>
      <c r="AI360" s="32"/>
      <c r="AJ360" s="32"/>
      <c r="AK360" s="32"/>
      <c r="AL360" s="32"/>
      <c r="AM360" s="32"/>
      <c r="AN360" s="32"/>
      <c r="AO360" s="32"/>
      <c r="AP360" s="32"/>
      <c r="AQ360" s="32"/>
      <c r="AR360" s="32"/>
      <c r="AS360" s="32"/>
      <c r="AT360" s="32"/>
      <c r="AU360" s="32"/>
      <c r="AV360" s="32"/>
      <c r="AW360" s="32"/>
      <c r="AX360" s="32"/>
      <c r="AY360" s="32"/>
      <c r="AZ360" s="32"/>
      <c r="BA360" s="32"/>
      <c r="BB360" s="32"/>
      <c r="BC360" s="32"/>
      <c r="BD360" s="32"/>
      <c r="BE360" s="32"/>
      <c r="BF360" s="32"/>
      <c r="BG360" s="32"/>
      <c r="BH360" s="32"/>
      <c r="BI360" s="32"/>
      <c r="BJ360" s="32"/>
      <c r="BK360" s="32"/>
      <c r="BL360" s="32"/>
      <c r="BM360" s="32"/>
      <c r="BN360" s="32"/>
      <c r="BO360" s="32"/>
      <c r="BP360" s="32"/>
      <c r="BQ360" s="32"/>
      <c r="BR360" s="32"/>
      <c r="BS360" s="32"/>
      <c r="BT360" s="32"/>
      <c r="BU360" s="32"/>
      <c r="BV360" s="32"/>
      <c r="BW360" s="32"/>
      <c r="BX360" s="32"/>
      <c r="BY360" s="32"/>
      <c r="BZ360" s="32"/>
      <c r="CA360" s="32"/>
      <c r="CB360" s="32"/>
      <c r="CC360" s="32"/>
    </row>
    <row r="361" spans="1:81" ht="18">
      <c r="A361" s="28"/>
      <c r="B361" s="29"/>
      <c r="C361" s="29"/>
      <c r="D361" s="29"/>
      <c r="E361" s="30"/>
      <c r="F361" s="30"/>
      <c r="G361" s="29"/>
      <c r="H361" s="40"/>
      <c r="I361" s="28"/>
      <c r="J361" s="28"/>
      <c r="K361" s="132"/>
      <c r="L361" s="133"/>
      <c r="M361" s="133"/>
      <c r="N361" s="133"/>
      <c r="O361" s="31"/>
      <c r="P361" s="28"/>
      <c r="Q361" s="28"/>
      <c r="R361" s="28"/>
      <c r="S361" s="28"/>
      <c r="T361" s="28"/>
      <c r="U361" s="28"/>
      <c r="V361" s="28"/>
      <c r="W361" s="28"/>
      <c r="X361" s="28"/>
      <c r="Y361" s="28"/>
      <c r="Z361" s="28"/>
      <c r="AA361" s="28"/>
      <c r="AB361" s="28"/>
      <c r="AC361" s="28"/>
      <c r="AD361" s="28"/>
      <c r="AE361" s="32"/>
      <c r="AF361" s="32"/>
      <c r="AG361" s="32"/>
      <c r="AH361" s="32"/>
      <c r="AI361" s="32"/>
      <c r="AJ361" s="32"/>
      <c r="AK361" s="32"/>
      <c r="AL361" s="32"/>
      <c r="AM361" s="32"/>
      <c r="AN361" s="32"/>
      <c r="AO361" s="32"/>
      <c r="AP361" s="32"/>
      <c r="AQ361" s="32"/>
      <c r="AR361" s="32"/>
      <c r="AS361" s="32"/>
      <c r="AT361" s="32"/>
      <c r="AU361" s="32"/>
      <c r="AV361" s="32"/>
      <c r="AW361" s="32"/>
      <c r="AX361" s="32"/>
      <c r="AY361" s="32"/>
      <c r="AZ361" s="32"/>
      <c r="BA361" s="32"/>
      <c r="BB361" s="32"/>
      <c r="BC361" s="32"/>
      <c r="BD361" s="32"/>
      <c r="BE361" s="32"/>
      <c r="BF361" s="32"/>
      <c r="BG361" s="32"/>
      <c r="BH361" s="32"/>
      <c r="BI361" s="32"/>
      <c r="BJ361" s="32"/>
      <c r="BK361" s="32"/>
      <c r="BL361" s="32"/>
      <c r="BM361" s="32"/>
      <c r="BN361" s="32"/>
      <c r="BO361" s="32"/>
      <c r="BP361" s="32"/>
      <c r="BQ361" s="32"/>
      <c r="BR361" s="32"/>
      <c r="BS361" s="32"/>
      <c r="BT361" s="32"/>
      <c r="BU361" s="32"/>
      <c r="BV361" s="32"/>
      <c r="BW361" s="32"/>
      <c r="BX361" s="32"/>
      <c r="BY361" s="32"/>
      <c r="BZ361" s="32"/>
      <c r="CA361" s="32"/>
      <c r="CB361" s="32"/>
      <c r="CC361" s="32"/>
    </row>
    <row r="362" spans="1:81" ht="18">
      <c r="A362" s="28"/>
      <c r="B362" s="29"/>
      <c r="C362" s="29"/>
      <c r="D362" s="29"/>
      <c r="E362" s="30"/>
      <c r="F362" s="30"/>
      <c r="G362" s="29"/>
      <c r="H362" s="40"/>
      <c r="I362" s="28"/>
      <c r="J362" s="28"/>
      <c r="K362" s="132"/>
      <c r="L362" s="133"/>
      <c r="M362" s="133"/>
      <c r="N362" s="133"/>
      <c r="O362" s="31"/>
      <c r="P362" s="28"/>
      <c r="Q362" s="28"/>
      <c r="R362" s="28"/>
      <c r="S362" s="28"/>
      <c r="T362" s="28"/>
      <c r="U362" s="28"/>
      <c r="V362" s="28"/>
      <c r="W362" s="28"/>
      <c r="X362" s="28"/>
      <c r="Y362" s="28"/>
      <c r="Z362" s="28"/>
      <c r="AA362" s="28"/>
      <c r="AB362" s="28"/>
      <c r="AC362" s="28"/>
      <c r="AD362" s="28"/>
      <c r="AE362" s="32"/>
      <c r="AF362" s="32"/>
      <c r="AG362" s="32"/>
      <c r="AH362" s="32"/>
      <c r="AI362" s="32"/>
      <c r="AJ362" s="32"/>
      <c r="AK362" s="32"/>
      <c r="AL362" s="32"/>
      <c r="AM362" s="32"/>
      <c r="AN362" s="32"/>
      <c r="AO362" s="32"/>
      <c r="AP362" s="32"/>
      <c r="AQ362" s="32"/>
      <c r="AR362" s="32"/>
      <c r="AS362" s="32"/>
      <c r="AT362" s="32"/>
      <c r="AU362" s="32"/>
      <c r="AV362" s="32"/>
      <c r="AW362" s="32"/>
      <c r="AX362" s="32"/>
      <c r="AY362" s="32"/>
      <c r="AZ362" s="32"/>
      <c r="BA362" s="32"/>
      <c r="BB362" s="32"/>
      <c r="BC362" s="32"/>
      <c r="BD362" s="32"/>
      <c r="BE362" s="32"/>
      <c r="BF362" s="32"/>
      <c r="BG362" s="32"/>
      <c r="BH362" s="32"/>
      <c r="BI362" s="32"/>
      <c r="BJ362" s="32"/>
      <c r="BK362" s="32"/>
      <c r="BL362" s="32"/>
      <c r="BM362" s="32"/>
      <c r="BN362" s="32"/>
      <c r="BO362" s="32"/>
      <c r="BP362" s="32"/>
      <c r="BQ362" s="32"/>
      <c r="BR362" s="32"/>
      <c r="BS362" s="32"/>
      <c r="BT362" s="32"/>
      <c r="BU362" s="32"/>
      <c r="BV362" s="32"/>
      <c r="BW362" s="32"/>
      <c r="BX362" s="32"/>
      <c r="BY362" s="32"/>
      <c r="BZ362" s="32"/>
      <c r="CA362" s="32"/>
      <c r="CB362" s="32"/>
      <c r="CC362" s="32"/>
    </row>
    <row r="363" spans="1:81" ht="18">
      <c r="A363" s="28"/>
      <c r="B363" s="29"/>
      <c r="C363" s="29"/>
      <c r="D363" s="29"/>
      <c r="E363" s="30"/>
      <c r="F363" s="30"/>
      <c r="G363" s="29"/>
      <c r="H363" s="40"/>
      <c r="I363" s="28"/>
      <c r="J363" s="28"/>
      <c r="K363" s="132"/>
      <c r="L363" s="133"/>
      <c r="M363" s="133"/>
      <c r="N363" s="133"/>
      <c r="O363" s="31"/>
      <c r="P363" s="28"/>
      <c r="Q363" s="28"/>
      <c r="R363" s="28"/>
      <c r="S363" s="28"/>
      <c r="T363" s="28"/>
      <c r="U363" s="28"/>
      <c r="V363" s="28"/>
      <c r="W363" s="28"/>
      <c r="X363" s="28"/>
      <c r="Y363" s="28"/>
      <c r="Z363" s="28"/>
      <c r="AA363" s="28"/>
      <c r="AB363" s="28"/>
      <c r="AC363" s="28"/>
      <c r="AD363" s="28"/>
      <c r="AE363" s="32"/>
      <c r="AF363" s="32"/>
      <c r="AG363" s="32"/>
      <c r="AH363" s="32"/>
      <c r="AI363" s="32"/>
      <c r="AJ363" s="32"/>
      <c r="AK363" s="32"/>
      <c r="AL363" s="32"/>
      <c r="AM363" s="32"/>
      <c r="AN363" s="32"/>
      <c r="AO363" s="32"/>
      <c r="AP363" s="32"/>
      <c r="AQ363" s="32"/>
      <c r="AR363" s="32"/>
      <c r="AS363" s="32"/>
      <c r="AT363" s="32"/>
      <c r="AU363" s="32"/>
      <c r="AV363" s="32"/>
      <c r="AW363" s="32"/>
      <c r="AX363" s="32"/>
      <c r="AY363" s="32"/>
      <c r="AZ363" s="32"/>
      <c r="BA363" s="32"/>
      <c r="BB363" s="32"/>
      <c r="BC363" s="32"/>
      <c r="BD363" s="32"/>
      <c r="BE363" s="32"/>
      <c r="BF363" s="32"/>
      <c r="BG363" s="32"/>
      <c r="BH363" s="32"/>
      <c r="BI363" s="32"/>
      <c r="BJ363" s="32"/>
      <c r="BK363" s="32"/>
      <c r="BL363" s="32"/>
      <c r="BM363" s="32"/>
      <c r="BN363" s="32"/>
      <c r="BO363" s="32"/>
      <c r="BP363" s="32"/>
      <c r="BQ363" s="32"/>
      <c r="BR363" s="32"/>
      <c r="BS363" s="32"/>
      <c r="BT363" s="32"/>
      <c r="BU363" s="32"/>
      <c r="BV363" s="32"/>
      <c r="BW363" s="32"/>
      <c r="BX363" s="32"/>
      <c r="BY363" s="32"/>
      <c r="BZ363" s="32"/>
      <c r="CA363" s="32"/>
      <c r="CB363" s="32"/>
      <c r="CC363" s="32"/>
    </row>
    <row r="364" spans="1:81" ht="18">
      <c r="A364" s="28"/>
      <c r="B364" s="29"/>
      <c r="C364" s="29"/>
      <c r="D364" s="29"/>
      <c r="E364" s="30"/>
      <c r="F364" s="30"/>
      <c r="G364" s="29"/>
      <c r="H364" s="40"/>
      <c r="I364" s="28"/>
      <c r="J364" s="28"/>
      <c r="K364" s="132"/>
      <c r="L364" s="133"/>
      <c r="M364" s="133"/>
      <c r="N364" s="133"/>
      <c r="O364" s="31"/>
      <c r="P364" s="28"/>
      <c r="Q364" s="28"/>
      <c r="R364" s="28"/>
      <c r="S364" s="28"/>
      <c r="T364" s="28"/>
      <c r="U364" s="28"/>
      <c r="V364" s="28"/>
      <c r="W364" s="28"/>
      <c r="X364" s="28"/>
      <c r="Y364" s="28"/>
      <c r="Z364" s="28"/>
      <c r="AA364" s="28"/>
      <c r="AB364" s="28"/>
      <c r="AC364" s="28"/>
      <c r="AD364" s="28"/>
      <c r="AE364" s="32"/>
      <c r="AF364" s="32"/>
      <c r="AG364" s="32"/>
      <c r="AH364" s="32"/>
      <c r="AI364" s="32"/>
      <c r="AJ364" s="32"/>
      <c r="AK364" s="32"/>
      <c r="AL364" s="32"/>
      <c r="AM364" s="32"/>
      <c r="AN364" s="32"/>
      <c r="AO364" s="32"/>
      <c r="AP364" s="32"/>
      <c r="AQ364" s="32"/>
      <c r="AR364" s="32"/>
      <c r="AS364" s="32"/>
      <c r="AT364" s="32"/>
      <c r="AU364" s="32"/>
      <c r="AV364" s="32"/>
      <c r="AW364" s="32"/>
      <c r="AX364" s="32"/>
      <c r="AY364" s="32"/>
      <c r="AZ364" s="32"/>
      <c r="BA364" s="32"/>
      <c r="BB364" s="32"/>
      <c r="BC364" s="32"/>
      <c r="BD364" s="32"/>
      <c r="BE364" s="32"/>
      <c r="BF364" s="32"/>
      <c r="BG364" s="32"/>
      <c r="BH364" s="32"/>
      <c r="BI364" s="32"/>
      <c r="BJ364" s="32"/>
      <c r="BK364" s="32"/>
      <c r="BL364" s="32"/>
      <c r="BM364" s="32"/>
      <c r="BN364" s="32"/>
      <c r="BO364" s="32"/>
      <c r="BP364" s="32"/>
      <c r="BQ364" s="32"/>
      <c r="BR364" s="32"/>
      <c r="BS364" s="32"/>
      <c r="BT364" s="32"/>
      <c r="BU364" s="32"/>
      <c r="BV364" s="32"/>
      <c r="BW364" s="32"/>
      <c r="BX364" s="32"/>
      <c r="BY364" s="32"/>
      <c r="BZ364" s="32"/>
      <c r="CA364" s="32"/>
      <c r="CB364" s="32"/>
      <c r="CC364" s="32"/>
    </row>
    <row r="365" spans="1:81" ht="18">
      <c r="A365" s="28"/>
      <c r="B365" s="29"/>
      <c r="C365" s="29"/>
      <c r="D365" s="29"/>
      <c r="E365" s="30"/>
      <c r="F365" s="30"/>
      <c r="G365" s="29"/>
      <c r="H365" s="40"/>
      <c r="I365" s="28"/>
      <c r="J365" s="28"/>
      <c r="K365" s="132"/>
      <c r="L365" s="133"/>
      <c r="M365" s="133"/>
      <c r="N365" s="133"/>
      <c r="O365" s="31"/>
      <c r="P365" s="28"/>
      <c r="Q365" s="28"/>
      <c r="R365" s="28"/>
      <c r="S365" s="28"/>
      <c r="T365" s="28"/>
      <c r="U365" s="28"/>
      <c r="V365" s="28"/>
      <c r="W365" s="28"/>
      <c r="X365" s="28"/>
      <c r="Y365" s="28"/>
      <c r="Z365" s="28"/>
      <c r="AA365" s="28"/>
      <c r="AB365" s="28"/>
      <c r="AC365" s="28"/>
      <c r="AD365" s="28"/>
      <c r="AE365" s="32"/>
      <c r="AF365" s="32"/>
      <c r="AG365" s="32"/>
      <c r="AH365" s="32"/>
      <c r="AI365" s="32"/>
      <c r="AJ365" s="32"/>
      <c r="AK365" s="32"/>
      <c r="AL365" s="32"/>
      <c r="AM365" s="32"/>
      <c r="AN365" s="32"/>
      <c r="AO365" s="32"/>
      <c r="AP365" s="32"/>
      <c r="AQ365" s="32"/>
      <c r="AR365" s="32"/>
      <c r="AS365" s="32"/>
      <c r="AT365" s="32"/>
      <c r="AU365" s="32"/>
      <c r="AV365" s="32"/>
      <c r="AW365" s="32"/>
      <c r="AX365" s="32"/>
      <c r="AY365" s="32"/>
      <c r="AZ365" s="32"/>
      <c r="BA365" s="32"/>
      <c r="BB365" s="32"/>
      <c r="BC365" s="32"/>
      <c r="BD365" s="32"/>
      <c r="BE365" s="32"/>
      <c r="BF365" s="32"/>
      <c r="BG365" s="32"/>
      <c r="BH365" s="32"/>
      <c r="BI365" s="32"/>
      <c r="BJ365" s="32"/>
      <c r="BK365" s="32"/>
      <c r="BL365" s="32"/>
      <c r="BM365" s="32"/>
      <c r="BN365" s="32"/>
      <c r="BO365" s="32"/>
      <c r="BP365" s="32"/>
      <c r="BQ365" s="32"/>
      <c r="BR365" s="32"/>
      <c r="BS365" s="32"/>
      <c r="BT365" s="32"/>
      <c r="BU365" s="32"/>
      <c r="BV365" s="32"/>
      <c r="BW365" s="32"/>
      <c r="BX365" s="32"/>
      <c r="BY365" s="32"/>
      <c r="BZ365" s="32"/>
      <c r="CA365" s="32"/>
      <c r="CB365" s="32"/>
      <c r="CC365" s="32"/>
    </row>
    <row r="366" spans="1:81" ht="18">
      <c r="A366" s="28"/>
      <c r="B366" s="29"/>
      <c r="C366" s="29"/>
      <c r="D366" s="29"/>
      <c r="E366" s="30"/>
      <c r="F366" s="30"/>
      <c r="G366" s="29"/>
      <c r="H366" s="40"/>
      <c r="I366" s="28"/>
      <c r="J366" s="28"/>
      <c r="K366" s="132"/>
      <c r="L366" s="133"/>
      <c r="M366" s="133"/>
      <c r="N366" s="133"/>
      <c r="O366" s="31"/>
      <c r="P366" s="28"/>
      <c r="Q366" s="28"/>
      <c r="R366" s="28"/>
      <c r="S366" s="28"/>
      <c r="T366" s="28"/>
      <c r="U366" s="28"/>
      <c r="V366" s="28"/>
      <c r="W366" s="28"/>
      <c r="X366" s="28"/>
      <c r="Y366" s="28"/>
      <c r="Z366" s="28"/>
      <c r="AA366" s="28"/>
      <c r="AB366" s="28"/>
      <c r="AC366" s="28"/>
      <c r="AD366" s="28"/>
      <c r="AE366" s="32"/>
      <c r="AF366" s="32"/>
      <c r="AG366" s="32"/>
      <c r="AH366" s="32"/>
      <c r="AI366" s="32"/>
      <c r="AJ366" s="32"/>
      <c r="AK366" s="32"/>
      <c r="AL366" s="32"/>
      <c r="AM366" s="32"/>
      <c r="AN366" s="32"/>
      <c r="AO366" s="32"/>
      <c r="AP366" s="32"/>
      <c r="AQ366" s="32"/>
      <c r="AR366" s="32"/>
      <c r="AS366" s="32"/>
      <c r="AT366" s="32"/>
      <c r="AU366" s="32"/>
      <c r="AV366" s="32"/>
      <c r="AW366" s="32"/>
      <c r="AX366" s="32"/>
      <c r="AY366" s="32"/>
      <c r="AZ366" s="32"/>
      <c r="BA366" s="32"/>
      <c r="BB366" s="32"/>
      <c r="BC366" s="32"/>
      <c r="BD366" s="32"/>
      <c r="BE366" s="32"/>
      <c r="BF366" s="32"/>
      <c r="BG366" s="32"/>
      <c r="BH366" s="32"/>
      <c r="BI366" s="32"/>
      <c r="BJ366" s="32"/>
      <c r="BK366" s="32"/>
      <c r="BL366" s="32"/>
      <c r="BM366" s="32"/>
      <c r="BN366" s="32"/>
      <c r="BO366" s="32"/>
      <c r="BP366" s="32"/>
      <c r="BQ366" s="32"/>
      <c r="BR366" s="32"/>
      <c r="BS366" s="32"/>
      <c r="BT366" s="32"/>
      <c r="BU366" s="32"/>
      <c r="BV366" s="32"/>
      <c r="BW366" s="32"/>
      <c r="BX366" s="32"/>
      <c r="BY366" s="32"/>
      <c r="BZ366" s="32"/>
      <c r="CA366" s="32"/>
      <c r="CB366" s="32"/>
      <c r="CC366" s="32"/>
    </row>
    <row r="367" spans="1:81" ht="18">
      <c r="A367" s="28"/>
      <c r="B367" s="29"/>
      <c r="C367" s="29"/>
      <c r="D367" s="29"/>
      <c r="E367" s="30"/>
      <c r="F367" s="30"/>
      <c r="G367" s="29"/>
      <c r="H367" s="40"/>
      <c r="I367" s="28"/>
      <c r="J367" s="28"/>
      <c r="K367" s="132"/>
      <c r="L367" s="133"/>
      <c r="M367" s="133"/>
      <c r="N367" s="133"/>
      <c r="O367" s="31"/>
      <c r="P367" s="28"/>
      <c r="Q367" s="28"/>
      <c r="R367" s="28"/>
      <c r="S367" s="28"/>
      <c r="T367" s="28"/>
      <c r="U367" s="28"/>
      <c r="V367" s="28"/>
      <c r="W367" s="28"/>
      <c r="X367" s="28"/>
      <c r="Y367" s="28"/>
      <c r="Z367" s="28"/>
      <c r="AA367" s="28"/>
      <c r="AB367" s="28"/>
      <c r="AC367" s="28"/>
      <c r="AD367" s="28"/>
      <c r="AE367" s="32"/>
      <c r="AF367" s="32"/>
      <c r="AG367" s="32"/>
      <c r="AH367" s="32"/>
      <c r="AI367" s="32"/>
      <c r="AJ367" s="32"/>
      <c r="AK367" s="32"/>
      <c r="AL367" s="32"/>
      <c r="AM367" s="32"/>
      <c r="AN367" s="32"/>
      <c r="AO367" s="32"/>
      <c r="AP367" s="32"/>
      <c r="AQ367" s="32"/>
      <c r="AR367" s="32"/>
      <c r="AS367" s="32"/>
      <c r="AT367" s="32"/>
      <c r="AU367" s="32"/>
      <c r="AV367" s="32"/>
      <c r="AW367" s="32"/>
      <c r="AX367" s="32"/>
      <c r="AY367" s="32"/>
      <c r="AZ367" s="32"/>
      <c r="BA367" s="32"/>
      <c r="BB367" s="32"/>
      <c r="BC367" s="32"/>
      <c r="BD367" s="32"/>
      <c r="BE367" s="32"/>
      <c r="BF367" s="32"/>
      <c r="BG367" s="32"/>
      <c r="BH367" s="32"/>
      <c r="BI367" s="32"/>
      <c r="BJ367" s="32"/>
      <c r="BK367" s="32"/>
      <c r="BL367" s="32"/>
      <c r="BM367" s="32"/>
      <c r="BN367" s="32"/>
      <c r="BO367" s="32"/>
      <c r="BP367" s="32"/>
      <c r="BQ367" s="32"/>
      <c r="BR367" s="32"/>
      <c r="BS367" s="32"/>
      <c r="BT367" s="32"/>
      <c r="BU367" s="32"/>
      <c r="BV367" s="32"/>
      <c r="BW367" s="32"/>
      <c r="BX367" s="32"/>
      <c r="BY367" s="32"/>
      <c r="BZ367" s="32"/>
      <c r="CA367" s="32"/>
      <c r="CB367" s="32"/>
      <c r="CC367" s="32"/>
    </row>
    <row r="368" spans="1:81" ht="18">
      <c r="A368" s="28"/>
      <c r="B368" s="29"/>
      <c r="C368" s="29"/>
      <c r="D368" s="29"/>
      <c r="E368" s="30"/>
      <c r="F368" s="30"/>
      <c r="G368" s="29"/>
      <c r="H368" s="40"/>
      <c r="I368" s="28"/>
      <c r="J368" s="28"/>
      <c r="K368" s="132"/>
      <c r="L368" s="133"/>
      <c r="M368" s="133"/>
      <c r="N368" s="133"/>
      <c r="O368" s="31"/>
      <c r="P368" s="28"/>
      <c r="Q368" s="28"/>
      <c r="R368" s="28"/>
      <c r="S368" s="28"/>
      <c r="T368" s="28"/>
      <c r="U368" s="28"/>
      <c r="V368" s="28"/>
      <c r="W368" s="28"/>
      <c r="X368" s="28"/>
      <c r="Y368" s="28"/>
      <c r="Z368" s="28"/>
      <c r="AA368" s="28"/>
      <c r="AB368" s="28"/>
      <c r="AC368" s="28"/>
      <c r="AD368" s="28"/>
      <c r="AE368" s="32"/>
      <c r="AF368" s="32"/>
      <c r="AG368" s="32"/>
      <c r="AH368" s="32"/>
      <c r="AI368" s="32"/>
      <c r="AJ368" s="32"/>
      <c r="AK368" s="32"/>
      <c r="AL368" s="32"/>
      <c r="AM368" s="32"/>
      <c r="AN368" s="32"/>
      <c r="AO368" s="32"/>
      <c r="AP368" s="32"/>
      <c r="AQ368" s="32"/>
      <c r="AR368" s="32"/>
      <c r="AS368" s="32"/>
      <c r="AT368" s="32"/>
      <c r="AU368" s="32"/>
      <c r="AV368" s="32"/>
      <c r="AW368" s="32"/>
      <c r="AX368" s="32"/>
      <c r="AY368" s="32"/>
      <c r="AZ368" s="32"/>
      <c r="BA368" s="32"/>
      <c r="BB368" s="32"/>
      <c r="BC368" s="32"/>
      <c r="BD368" s="32"/>
      <c r="BE368" s="32"/>
      <c r="BF368" s="32"/>
      <c r="BG368" s="32"/>
      <c r="BH368" s="32"/>
      <c r="BI368" s="32"/>
      <c r="BJ368" s="32"/>
      <c r="BK368" s="32"/>
      <c r="BL368" s="32"/>
      <c r="BM368" s="32"/>
      <c r="BN368" s="32"/>
      <c r="BO368" s="32"/>
      <c r="BP368" s="32"/>
      <c r="BQ368" s="32"/>
      <c r="BR368" s="32"/>
      <c r="BS368" s="32"/>
      <c r="BT368" s="32"/>
      <c r="BU368" s="32"/>
      <c r="BV368" s="32"/>
      <c r="BW368" s="32"/>
      <c r="BX368" s="32"/>
      <c r="BY368" s="32"/>
      <c r="BZ368" s="32"/>
      <c r="CA368" s="32"/>
      <c r="CB368" s="32"/>
      <c r="CC368" s="32"/>
    </row>
    <row r="369" spans="1:81" ht="18">
      <c r="A369" s="28"/>
      <c r="B369" s="29"/>
      <c r="C369" s="29"/>
      <c r="D369" s="29"/>
      <c r="E369" s="30"/>
      <c r="F369" s="30"/>
      <c r="G369" s="29"/>
      <c r="H369" s="40"/>
      <c r="I369" s="28"/>
      <c r="J369" s="28"/>
      <c r="K369" s="132"/>
      <c r="L369" s="133"/>
      <c r="M369" s="133"/>
      <c r="N369" s="133"/>
      <c r="O369" s="31"/>
      <c r="P369" s="28"/>
      <c r="Q369" s="28"/>
      <c r="R369" s="28"/>
      <c r="S369" s="28"/>
      <c r="T369" s="28"/>
      <c r="U369" s="28"/>
      <c r="V369" s="28"/>
      <c r="W369" s="28"/>
      <c r="X369" s="28"/>
      <c r="Y369" s="28"/>
      <c r="Z369" s="28"/>
      <c r="AA369" s="28"/>
      <c r="AB369" s="28"/>
      <c r="AC369" s="28"/>
      <c r="AD369" s="28"/>
      <c r="AE369" s="32"/>
      <c r="AF369" s="32"/>
      <c r="AG369" s="32"/>
      <c r="AH369" s="32"/>
      <c r="AI369" s="32"/>
      <c r="AJ369" s="32"/>
      <c r="AK369" s="32"/>
      <c r="AL369" s="32"/>
      <c r="AM369" s="32"/>
      <c r="AN369" s="32"/>
      <c r="AO369" s="32"/>
      <c r="AP369" s="32"/>
      <c r="AQ369" s="32"/>
      <c r="AR369" s="32"/>
      <c r="AS369" s="32"/>
      <c r="AT369" s="32"/>
      <c r="AU369" s="32"/>
      <c r="AV369" s="32"/>
      <c r="AW369" s="32"/>
      <c r="AX369" s="32"/>
      <c r="AY369" s="32"/>
      <c r="AZ369" s="32"/>
      <c r="BA369" s="32"/>
      <c r="BB369" s="32"/>
      <c r="BC369" s="32"/>
      <c r="BD369" s="32"/>
      <c r="BE369" s="32"/>
      <c r="BF369" s="32"/>
      <c r="BG369" s="32"/>
      <c r="BH369" s="32"/>
      <c r="BI369" s="32"/>
      <c r="BJ369" s="32"/>
      <c r="BK369" s="32"/>
      <c r="BL369" s="32"/>
      <c r="BM369" s="32"/>
      <c r="BN369" s="32"/>
      <c r="BO369" s="32"/>
      <c r="BP369" s="32"/>
      <c r="BQ369" s="32"/>
      <c r="BR369" s="32"/>
      <c r="BS369" s="32"/>
      <c r="BT369" s="32"/>
      <c r="BU369" s="32"/>
      <c r="BV369" s="32"/>
      <c r="BW369" s="32"/>
      <c r="BX369" s="32"/>
      <c r="BY369" s="32"/>
      <c r="BZ369" s="32"/>
      <c r="CA369" s="32"/>
      <c r="CB369" s="32"/>
      <c r="CC369" s="32"/>
    </row>
    <row r="370" spans="1:81" ht="18">
      <c r="A370" s="28"/>
      <c r="B370" s="29"/>
      <c r="C370" s="29"/>
      <c r="D370" s="29"/>
      <c r="E370" s="30"/>
      <c r="F370" s="30"/>
      <c r="G370" s="29"/>
      <c r="H370" s="40"/>
      <c r="I370" s="28"/>
      <c r="J370" s="28"/>
      <c r="K370" s="132"/>
      <c r="L370" s="133"/>
      <c r="M370" s="133"/>
      <c r="N370" s="133"/>
      <c r="O370" s="31"/>
      <c r="P370" s="28"/>
      <c r="Q370" s="28"/>
      <c r="R370" s="28"/>
      <c r="S370" s="28"/>
      <c r="T370" s="28"/>
      <c r="U370" s="28"/>
      <c r="V370" s="28"/>
      <c r="W370" s="28"/>
      <c r="X370" s="28"/>
      <c r="Y370" s="28"/>
      <c r="Z370" s="28"/>
      <c r="AA370" s="28"/>
      <c r="AB370" s="28"/>
      <c r="AC370" s="28"/>
      <c r="AD370" s="28"/>
      <c r="AE370" s="32"/>
      <c r="AF370" s="32"/>
      <c r="AG370" s="32"/>
      <c r="AH370" s="32"/>
      <c r="AI370" s="32"/>
      <c r="AJ370" s="32"/>
      <c r="AK370" s="32"/>
      <c r="AL370" s="32"/>
      <c r="AM370" s="32"/>
      <c r="AN370" s="32"/>
      <c r="AO370" s="32"/>
      <c r="AP370" s="32"/>
      <c r="AQ370" s="32"/>
      <c r="AR370" s="32"/>
      <c r="AS370" s="32"/>
      <c r="AT370" s="32"/>
      <c r="AU370" s="32"/>
      <c r="AV370" s="32"/>
      <c r="AW370" s="32"/>
      <c r="AX370" s="32"/>
      <c r="AY370" s="32"/>
      <c r="AZ370" s="32"/>
      <c r="BA370" s="32"/>
      <c r="BB370" s="32"/>
      <c r="BC370" s="32"/>
      <c r="BD370" s="32"/>
      <c r="BE370" s="32"/>
      <c r="BF370" s="32"/>
      <c r="BG370" s="32"/>
      <c r="BH370" s="32"/>
      <c r="BI370" s="32"/>
      <c r="BJ370" s="32"/>
      <c r="BK370" s="32"/>
      <c r="BL370" s="32"/>
      <c r="BM370" s="32"/>
      <c r="BN370" s="32"/>
      <c r="BO370" s="32"/>
      <c r="BP370" s="32"/>
      <c r="BQ370" s="32"/>
      <c r="BR370" s="32"/>
      <c r="BS370" s="32"/>
      <c r="BT370" s="32"/>
      <c r="BU370" s="32"/>
      <c r="BV370" s="32"/>
      <c r="BW370" s="32"/>
      <c r="BX370" s="32"/>
      <c r="BY370" s="32"/>
      <c r="BZ370" s="32"/>
      <c r="CA370" s="32"/>
      <c r="CB370" s="32"/>
      <c r="CC370" s="32"/>
    </row>
    <row r="371" spans="1:81" ht="18">
      <c r="A371" s="28"/>
      <c r="B371" s="29"/>
      <c r="C371" s="29"/>
      <c r="D371" s="29"/>
      <c r="E371" s="30"/>
      <c r="F371" s="30"/>
      <c r="G371" s="29"/>
      <c r="H371" s="40"/>
      <c r="I371" s="28"/>
      <c r="J371" s="28"/>
      <c r="K371" s="132"/>
      <c r="L371" s="133"/>
      <c r="M371" s="133"/>
      <c r="N371" s="133"/>
      <c r="O371" s="31"/>
      <c r="P371" s="28"/>
      <c r="Q371" s="28"/>
      <c r="R371" s="28"/>
      <c r="S371" s="28"/>
      <c r="T371" s="28"/>
      <c r="U371" s="28"/>
      <c r="V371" s="28"/>
      <c r="W371" s="28"/>
      <c r="X371" s="28"/>
      <c r="Y371" s="28"/>
      <c r="Z371" s="28"/>
      <c r="AA371" s="28"/>
      <c r="AB371" s="28"/>
      <c r="AC371" s="28"/>
      <c r="AD371" s="28"/>
      <c r="AE371" s="32"/>
      <c r="AF371" s="32"/>
      <c r="AG371" s="32"/>
      <c r="AH371" s="32"/>
      <c r="AI371" s="32"/>
      <c r="AJ371" s="32"/>
      <c r="AK371" s="32"/>
      <c r="AL371" s="32"/>
      <c r="AM371" s="32"/>
      <c r="AN371" s="32"/>
      <c r="AO371" s="32"/>
      <c r="AP371" s="32"/>
      <c r="AQ371" s="32"/>
      <c r="AR371" s="32"/>
      <c r="AS371" s="32"/>
      <c r="AT371" s="32"/>
      <c r="AU371" s="32"/>
      <c r="AV371" s="32"/>
      <c r="AW371" s="32"/>
      <c r="AX371" s="32"/>
      <c r="AY371" s="32"/>
      <c r="AZ371" s="32"/>
      <c r="BA371" s="32"/>
      <c r="BB371" s="32"/>
      <c r="BC371" s="32"/>
      <c r="BD371" s="32"/>
      <c r="BE371" s="32"/>
      <c r="BF371" s="32"/>
      <c r="BG371" s="32"/>
      <c r="BH371" s="32"/>
      <c r="BI371" s="32"/>
      <c r="BJ371" s="32"/>
      <c r="BK371" s="32"/>
      <c r="BL371" s="32"/>
      <c r="BM371" s="32"/>
      <c r="BN371" s="32"/>
      <c r="BO371" s="32"/>
      <c r="BP371" s="32"/>
      <c r="BQ371" s="32"/>
      <c r="BR371" s="32"/>
      <c r="BS371" s="32"/>
      <c r="BT371" s="32"/>
      <c r="BU371" s="32"/>
      <c r="BV371" s="32"/>
      <c r="BW371" s="32"/>
      <c r="BX371" s="32"/>
      <c r="BY371" s="32"/>
      <c r="BZ371" s="32"/>
      <c r="CA371" s="32"/>
      <c r="CB371" s="32"/>
      <c r="CC371" s="32"/>
    </row>
    <row r="372" spans="1:81" ht="18">
      <c r="A372" s="28"/>
      <c r="B372" s="29"/>
      <c r="C372" s="29"/>
      <c r="D372" s="29"/>
      <c r="E372" s="30"/>
      <c r="F372" s="30"/>
      <c r="G372" s="29"/>
      <c r="H372" s="40"/>
      <c r="I372" s="28"/>
      <c r="J372" s="28"/>
      <c r="K372" s="132"/>
      <c r="L372" s="133"/>
      <c r="M372" s="133"/>
      <c r="N372" s="133"/>
      <c r="O372" s="31"/>
      <c r="P372" s="28"/>
      <c r="Q372" s="28"/>
      <c r="R372" s="28"/>
      <c r="S372" s="28"/>
      <c r="T372" s="28"/>
      <c r="U372" s="28"/>
      <c r="V372" s="28"/>
      <c r="W372" s="28"/>
      <c r="X372" s="28"/>
      <c r="Y372" s="28"/>
      <c r="Z372" s="28"/>
      <c r="AA372" s="28"/>
      <c r="AB372" s="28"/>
      <c r="AC372" s="28"/>
      <c r="AD372" s="28"/>
      <c r="AE372" s="32"/>
      <c r="AF372" s="32"/>
      <c r="AG372" s="32"/>
      <c r="AH372" s="32"/>
      <c r="AI372" s="32"/>
      <c r="AJ372" s="32"/>
      <c r="AK372" s="32"/>
      <c r="AL372" s="32"/>
      <c r="AM372" s="32"/>
      <c r="AN372" s="32"/>
      <c r="AO372" s="32"/>
      <c r="AP372" s="32"/>
      <c r="AQ372" s="32"/>
      <c r="AR372" s="32"/>
      <c r="AS372" s="32"/>
      <c r="AT372" s="32"/>
      <c r="AU372" s="32"/>
      <c r="AV372" s="32"/>
      <c r="AW372" s="32"/>
      <c r="AX372" s="32"/>
      <c r="AY372" s="32"/>
      <c r="AZ372" s="32"/>
      <c r="BA372" s="32"/>
      <c r="BB372" s="32"/>
      <c r="BC372" s="32"/>
      <c r="BD372" s="32"/>
      <c r="BE372" s="32"/>
      <c r="BF372" s="32"/>
      <c r="BG372" s="32"/>
      <c r="BH372" s="32"/>
      <c r="BI372" s="32"/>
      <c r="BJ372" s="32"/>
      <c r="BK372" s="32"/>
      <c r="BL372" s="32"/>
      <c r="BM372" s="32"/>
      <c r="BN372" s="32"/>
      <c r="BO372" s="32"/>
      <c r="BP372" s="32"/>
      <c r="BQ372" s="32"/>
      <c r="BR372" s="32"/>
      <c r="BS372" s="32"/>
      <c r="BT372" s="32"/>
      <c r="BU372" s="32"/>
      <c r="BV372" s="32"/>
      <c r="BW372" s="32"/>
      <c r="BX372" s="32"/>
      <c r="BY372" s="32"/>
      <c r="BZ372" s="32"/>
      <c r="CA372" s="32"/>
      <c r="CB372" s="32"/>
      <c r="CC372" s="32"/>
    </row>
    <row r="373" spans="1:81" ht="18">
      <c r="A373" s="28"/>
      <c r="B373" s="29"/>
      <c r="C373" s="29"/>
      <c r="D373" s="29"/>
      <c r="E373" s="30"/>
      <c r="F373" s="30"/>
      <c r="G373" s="29"/>
      <c r="H373" s="40"/>
      <c r="I373" s="28"/>
      <c r="J373" s="28"/>
      <c r="K373" s="132"/>
      <c r="L373" s="133"/>
      <c r="M373" s="133"/>
      <c r="N373" s="133"/>
      <c r="O373" s="31"/>
      <c r="P373" s="28"/>
      <c r="Q373" s="28"/>
      <c r="R373" s="28"/>
      <c r="S373" s="28"/>
      <c r="T373" s="28"/>
      <c r="U373" s="28"/>
      <c r="V373" s="28"/>
      <c r="W373" s="28"/>
      <c r="X373" s="28"/>
      <c r="Y373" s="28"/>
      <c r="Z373" s="28"/>
      <c r="AA373" s="28"/>
      <c r="AB373" s="28"/>
      <c r="AC373" s="28"/>
      <c r="AD373" s="28"/>
      <c r="AE373" s="32"/>
      <c r="AF373" s="32"/>
      <c r="AG373" s="32"/>
      <c r="AH373" s="32"/>
      <c r="AI373" s="32"/>
      <c r="AJ373" s="32"/>
      <c r="AK373" s="32"/>
      <c r="AL373" s="32"/>
      <c r="AM373" s="32"/>
      <c r="AN373" s="32"/>
      <c r="AO373" s="32"/>
      <c r="AP373" s="32"/>
      <c r="AQ373" s="32"/>
      <c r="AR373" s="32"/>
      <c r="AS373" s="32"/>
      <c r="AT373" s="32"/>
      <c r="AU373" s="32"/>
      <c r="AV373" s="32"/>
      <c r="AW373" s="32"/>
      <c r="AX373" s="32"/>
      <c r="AY373" s="32"/>
      <c r="AZ373" s="32"/>
      <c r="BA373" s="32"/>
      <c r="BB373" s="32"/>
      <c r="BC373" s="32"/>
      <c r="BD373" s="32"/>
      <c r="BE373" s="32"/>
      <c r="BF373" s="32"/>
      <c r="BG373" s="32"/>
      <c r="BH373" s="32"/>
      <c r="BI373" s="32"/>
      <c r="BJ373" s="32"/>
      <c r="BK373" s="32"/>
      <c r="BL373" s="32"/>
      <c r="BM373" s="32"/>
      <c r="BN373" s="32"/>
      <c r="BO373" s="32"/>
      <c r="BP373" s="32"/>
      <c r="BQ373" s="32"/>
      <c r="BR373" s="32"/>
      <c r="BS373" s="32"/>
      <c r="BT373" s="32"/>
      <c r="BU373" s="32"/>
      <c r="BV373" s="32"/>
      <c r="BW373" s="32"/>
      <c r="BX373" s="32"/>
      <c r="BY373" s="32"/>
      <c r="BZ373" s="32"/>
      <c r="CA373" s="32"/>
      <c r="CB373" s="32"/>
      <c r="CC373" s="32"/>
    </row>
    <row r="374" spans="1:81" ht="18">
      <c r="A374" s="28"/>
      <c r="B374" s="29"/>
      <c r="C374" s="29"/>
      <c r="D374" s="29"/>
      <c r="E374" s="30"/>
      <c r="F374" s="30"/>
      <c r="G374" s="29"/>
      <c r="H374" s="40"/>
      <c r="I374" s="28"/>
      <c r="J374" s="28"/>
      <c r="K374" s="132"/>
      <c r="L374" s="133"/>
      <c r="M374" s="133"/>
      <c r="N374" s="133"/>
      <c r="O374" s="31"/>
      <c r="P374" s="28"/>
      <c r="Q374" s="28"/>
      <c r="R374" s="28"/>
      <c r="S374" s="28"/>
      <c r="T374" s="28"/>
      <c r="U374" s="28"/>
      <c r="V374" s="28"/>
      <c r="W374" s="28"/>
      <c r="X374" s="28"/>
      <c r="Y374" s="28"/>
      <c r="Z374" s="28"/>
      <c r="AA374" s="28"/>
      <c r="AB374" s="28"/>
      <c r="AC374" s="28"/>
      <c r="AD374" s="28"/>
      <c r="AE374" s="32"/>
      <c r="AF374" s="32"/>
      <c r="AG374" s="32"/>
      <c r="AH374" s="32"/>
      <c r="AI374" s="32"/>
      <c r="AJ374" s="32"/>
      <c r="AK374" s="32"/>
      <c r="AL374" s="32"/>
      <c r="AM374" s="32"/>
      <c r="AN374" s="32"/>
      <c r="AO374" s="32"/>
      <c r="AP374" s="32"/>
      <c r="AQ374" s="32"/>
      <c r="AR374" s="32"/>
      <c r="AS374" s="32"/>
      <c r="AT374" s="32"/>
      <c r="AU374" s="32"/>
      <c r="AV374" s="32"/>
      <c r="AW374" s="32"/>
      <c r="AX374" s="32"/>
      <c r="AY374" s="32"/>
      <c r="AZ374" s="32"/>
      <c r="BA374" s="32"/>
      <c r="BB374" s="32"/>
      <c r="BC374" s="32"/>
      <c r="BD374" s="32"/>
      <c r="BE374" s="32"/>
      <c r="BF374" s="32"/>
      <c r="BG374" s="32"/>
      <c r="BH374" s="32"/>
      <c r="BI374" s="32"/>
      <c r="BJ374" s="32"/>
      <c r="BK374" s="32"/>
      <c r="BL374" s="32"/>
      <c r="BM374" s="32"/>
      <c r="BN374" s="32"/>
      <c r="BO374" s="32"/>
      <c r="BP374" s="32"/>
      <c r="BQ374" s="32"/>
      <c r="BR374" s="32"/>
      <c r="BS374" s="32"/>
      <c r="BT374" s="32"/>
      <c r="BU374" s="32"/>
      <c r="BV374" s="32"/>
      <c r="BW374" s="32"/>
      <c r="BX374" s="32"/>
      <c r="BY374" s="32"/>
      <c r="BZ374" s="32"/>
      <c r="CA374" s="32"/>
      <c r="CB374" s="32"/>
      <c r="CC374" s="32"/>
    </row>
    <row r="375" spans="1:81" ht="18">
      <c r="A375" s="28"/>
      <c r="B375" s="29"/>
      <c r="C375" s="29"/>
      <c r="D375" s="29"/>
      <c r="E375" s="30"/>
      <c r="F375" s="30"/>
      <c r="G375" s="29"/>
      <c r="H375" s="40"/>
      <c r="I375" s="28"/>
      <c r="J375" s="28"/>
      <c r="K375" s="132"/>
      <c r="L375" s="133"/>
      <c r="M375" s="133"/>
      <c r="N375" s="133"/>
      <c r="O375" s="31"/>
      <c r="P375" s="28"/>
      <c r="Q375" s="28"/>
      <c r="R375" s="28"/>
      <c r="S375" s="28"/>
      <c r="T375" s="28"/>
      <c r="U375" s="28"/>
      <c r="V375" s="28"/>
      <c r="W375" s="28"/>
      <c r="X375" s="28"/>
      <c r="Y375" s="28"/>
      <c r="Z375" s="28"/>
      <c r="AA375" s="28"/>
      <c r="AB375" s="28"/>
      <c r="AC375" s="28"/>
      <c r="AD375" s="28"/>
      <c r="AE375" s="32"/>
      <c r="AF375" s="32"/>
      <c r="AG375" s="32"/>
      <c r="AH375" s="32"/>
      <c r="AI375" s="32"/>
      <c r="AJ375" s="32"/>
      <c r="AK375" s="32"/>
      <c r="AL375" s="32"/>
      <c r="AM375" s="32"/>
      <c r="AN375" s="32"/>
      <c r="AO375" s="32"/>
      <c r="AP375" s="32"/>
      <c r="AQ375" s="32"/>
      <c r="AR375" s="32"/>
      <c r="AS375" s="32"/>
      <c r="AT375" s="32"/>
      <c r="AU375" s="32"/>
      <c r="AV375" s="32"/>
      <c r="AW375" s="32"/>
      <c r="AX375" s="32"/>
      <c r="AY375" s="32"/>
      <c r="AZ375" s="32"/>
      <c r="BA375" s="32"/>
      <c r="BB375" s="32"/>
      <c r="BC375" s="32"/>
      <c r="BD375" s="32"/>
      <c r="BE375" s="32"/>
      <c r="BF375" s="32"/>
      <c r="BG375" s="32"/>
      <c r="BH375" s="32"/>
      <c r="BI375" s="32"/>
      <c r="BJ375" s="32"/>
      <c r="BK375" s="32"/>
      <c r="BL375" s="32"/>
      <c r="BM375" s="32"/>
      <c r="BN375" s="32"/>
      <c r="BO375" s="32"/>
      <c r="BP375" s="32"/>
      <c r="BQ375" s="32"/>
      <c r="BR375" s="32"/>
      <c r="BS375" s="32"/>
      <c r="BT375" s="32"/>
      <c r="BU375" s="32"/>
      <c r="BV375" s="32"/>
      <c r="BW375" s="32"/>
      <c r="BX375" s="32"/>
      <c r="BY375" s="32"/>
      <c r="BZ375" s="32"/>
      <c r="CA375" s="32"/>
      <c r="CB375" s="32"/>
      <c r="CC375" s="32"/>
    </row>
    <row r="376" spans="1:81" ht="18">
      <c r="A376" s="28"/>
      <c r="B376" s="29"/>
      <c r="C376" s="29"/>
      <c r="D376" s="29"/>
      <c r="E376" s="30"/>
      <c r="F376" s="30"/>
      <c r="G376" s="29"/>
      <c r="H376" s="40"/>
      <c r="I376" s="28"/>
      <c r="J376" s="28"/>
      <c r="K376" s="132"/>
      <c r="L376" s="133"/>
      <c r="M376" s="133"/>
      <c r="N376" s="133"/>
      <c r="O376" s="31"/>
      <c r="P376" s="28"/>
      <c r="Q376" s="28"/>
      <c r="R376" s="28"/>
      <c r="S376" s="28"/>
      <c r="T376" s="28"/>
      <c r="U376" s="28"/>
      <c r="V376" s="28"/>
      <c r="W376" s="28"/>
      <c r="X376" s="28"/>
      <c r="Y376" s="28"/>
      <c r="Z376" s="28"/>
      <c r="AA376" s="28"/>
      <c r="AB376" s="28"/>
      <c r="AC376" s="28"/>
      <c r="AD376" s="28"/>
      <c r="AE376" s="32"/>
      <c r="AF376" s="32"/>
      <c r="AG376" s="32"/>
      <c r="AH376" s="32"/>
      <c r="AI376" s="32"/>
      <c r="AJ376" s="32"/>
      <c r="AK376" s="32"/>
      <c r="AL376" s="32"/>
      <c r="AM376" s="32"/>
      <c r="AN376" s="32"/>
      <c r="AO376" s="32"/>
      <c r="AP376" s="32"/>
      <c r="AQ376" s="32"/>
      <c r="AR376" s="32"/>
      <c r="AS376" s="32"/>
      <c r="AT376" s="32"/>
      <c r="AU376" s="32"/>
      <c r="AV376" s="32"/>
      <c r="AW376" s="32"/>
      <c r="AX376" s="32"/>
      <c r="AY376" s="32"/>
      <c r="AZ376" s="32"/>
      <c r="BA376" s="32"/>
      <c r="BB376" s="32"/>
      <c r="BC376" s="32"/>
      <c r="BD376" s="32"/>
      <c r="BE376" s="32"/>
      <c r="BF376" s="32"/>
      <c r="BG376" s="32"/>
      <c r="BH376" s="32"/>
      <c r="BI376" s="32"/>
      <c r="BJ376" s="32"/>
      <c r="BK376" s="32"/>
      <c r="BL376" s="32"/>
      <c r="BM376" s="32"/>
      <c r="BN376" s="32"/>
      <c r="BO376" s="32"/>
      <c r="BP376" s="32"/>
      <c r="BQ376" s="32"/>
      <c r="BR376" s="32"/>
      <c r="BS376" s="32"/>
      <c r="BT376" s="32"/>
      <c r="BU376" s="32"/>
      <c r="BV376" s="32"/>
      <c r="BW376" s="32"/>
      <c r="BX376" s="32"/>
      <c r="BY376" s="32"/>
      <c r="BZ376" s="32"/>
      <c r="CA376" s="32"/>
      <c r="CB376" s="32"/>
      <c r="CC376" s="32"/>
    </row>
    <row r="377" spans="1:81" ht="18">
      <c r="A377" s="28"/>
      <c r="B377" s="29"/>
      <c r="C377" s="29"/>
      <c r="D377" s="29"/>
      <c r="E377" s="30"/>
      <c r="F377" s="30"/>
      <c r="G377" s="29"/>
      <c r="H377" s="40"/>
      <c r="I377" s="28"/>
      <c r="J377" s="28"/>
      <c r="K377" s="132"/>
      <c r="L377" s="133"/>
      <c r="M377" s="133"/>
      <c r="N377" s="133"/>
      <c r="O377" s="31"/>
      <c r="P377" s="28"/>
      <c r="Q377" s="28"/>
      <c r="R377" s="28"/>
      <c r="S377" s="28"/>
      <c r="T377" s="28"/>
      <c r="U377" s="28"/>
      <c r="V377" s="28"/>
      <c r="W377" s="28"/>
      <c r="X377" s="28"/>
      <c r="Y377" s="28"/>
      <c r="Z377" s="28"/>
      <c r="AA377" s="28"/>
      <c r="AB377" s="28"/>
      <c r="AC377" s="28"/>
      <c r="AD377" s="28"/>
      <c r="AE377" s="32"/>
      <c r="AF377" s="32"/>
      <c r="AG377" s="32"/>
      <c r="AH377" s="32"/>
      <c r="AI377" s="32"/>
      <c r="AJ377" s="32"/>
      <c r="AK377" s="32"/>
      <c r="AL377" s="32"/>
      <c r="AM377" s="32"/>
      <c r="AN377" s="32"/>
      <c r="AO377" s="32"/>
      <c r="AP377" s="32"/>
      <c r="AQ377" s="32"/>
      <c r="AR377" s="32"/>
      <c r="AS377" s="32"/>
      <c r="AT377" s="32"/>
      <c r="AU377" s="32"/>
      <c r="AV377" s="32"/>
      <c r="AW377" s="32"/>
      <c r="AX377" s="32"/>
      <c r="AY377" s="32"/>
      <c r="AZ377" s="32"/>
      <c r="BA377" s="32"/>
      <c r="BB377" s="32"/>
      <c r="BC377" s="32"/>
      <c r="BD377" s="32"/>
      <c r="BE377" s="32"/>
      <c r="BF377" s="32"/>
      <c r="BG377" s="32"/>
      <c r="BH377" s="32"/>
      <c r="BI377" s="32"/>
      <c r="BJ377" s="32"/>
      <c r="BK377" s="32"/>
      <c r="BL377" s="32"/>
      <c r="BM377" s="32"/>
      <c r="BN377" s="32"/>
      <c r="BO377" s="32"/>
      <c r="BP377" s="32"/>
      <c r="BQ377" s="32"/>
      <c r="BR377" s="32"/>
      <c r="BS377" s="32"/>
      <c r="BT377" s="32"/>
      <c r="BU377" s="32"/>
      <c r="BV377" s="32"/>
      <c r="BW377" s="32"/>
      <c r="BX377" s="32"/>
      <c r="BY377" s="32"/>
      <c r="BZ377" s="32"/>
      <c r="CA377" s="32"/>
      <c r="CB377" s="32"/>
      <c r="CC377" s="32"/>
    </row>
    <row r="378" spans="1:81" ht="18">
      <c r="A378" s="28"/>
      <c r="B378" s="29"/>
      <c r="C378" s="29"/>
      <c r="D378" s="29"/>
      <c r="E378" s="30"/>
      <c r="F378" s="30"/>
      <c r="G378" s="29"/>
      <c r="H378" s="40"/>
      <c r="I378" s="28"/>
      <c r="J378" s="28"/>
      <c r="K378" s="132"/>
      <c r="L378" s="133"/>
      <c r="M378" s="133"/>
      <c r="N378" s="133"/>
      <c r="O378" s="31"/>
      <c r="P378" s="28"/>
      <c r="Q378" s="28"/>
      <c r="R378" s="28"/>
      <c r="S378" s="28"/>
      <c r="T378" s="28"/>
      <c r="U378" s="28"/>
      <c r="V378" s="28"/>
      <c r="W378" s="28"/>
      <c r="X378" s="28"/>
      <c r="Y378" s="28"/>
      <c r="Z378" s="28"/>
      <c r="AA378" s="28"/>
      <c r="AB378" s="28"/>
      <c r="AC378" s="28"/>
      <c r="AD378" s="28"/>
      <c r="AE378" s="32"/>
      <c r="AF378" s="32"/>
      <c r="AG378" s="32"/>
      <c r="AH378" s="32"/>
      <c r="AI378" s="32"/>
      <c r="AJ378" s="32"/>
      <c r="AK378" s="32"/>
      <c r="AL378" s="32"/>
      <c r="AM378" s="32"/>
      <c r="AN378" s="32"/>
      <c r="AO378" s="32"/>
      <c r="AP378" s="32"/>
      <c r="AQ378" s="32"/>
      <c r="AR378" s="32"/>
      <c r="AS378" s="32"/>
      <c r="AT378" s="32"/>
      <c r="AU378" s="32"/>
      <c r="AV378" s="32"/>
      <c r="AW378" s="32"/>
      <c r="AX378" s="32"/>
      <c r="AY378" s="32"/>
      <c r="AZ378" s="32"/>
      <c r="BA378" s="32"/>
      <c r="BB378" s="32"/>
      <c r="BC378" s="32"/>
      <c r="BD378" s="32"/>
      <c r="BE378" s="32"/>
      <c r="BF378" s="32"/>
      <c r="BG378" s="32"/>
      <c r="BH378" s="32"/>
      <c r="BI378" s="32"/>
      <c r="BJ378" s="32"/>
      <c r="BK378" s="32"/>
      <c r="BL378" s="32"/>
      <c r="BM378" s="32"/>
      <c r="BN378" s="32"/>
      <c r="BO378" s="32"/>
      <c r="BP378" s="32"/>
      <c r="BQ378" s="32"/>
      <c r="BR378" s="32"/>
      <c r="BS378" s="32"/>
      <c r="BT378" s="32"/>
      <c r="BU378" s="32"/>
      <c r="BV378" s="32"/>
      <c r="BW378" s="32"/>
      <c r="BX378" s="32"/>
      <c r="BY378" s="32"/>
      <c r="BZ378" s="32"/>
      <c r="CA378" s="32"/>
      <c r="CB378" s="32"/>
      <c r="CC378" s="32"/>
    </row>
    <row r="379" spans="1:81" ht="18">
      <c r="A379" s="28"/>
      <c r="B379" s="29"/>
      <c r="C379" s="29"/>
      <c r="D379" s="29"/>
      <c r="E379" s="30"/>
      <c r="F379" s="30"/>
      <c r="G379" s="29"/>
      <c r="H379" s="40"/>
      <c r="I379" s="28"/>
      <c r="J379" s="28"/>
      <c r="K379" s="132"/>
      <c r="L379" s="133"/>
      <c r="M379" s="133"/>
      <c r="N379" s="133"/>
      <c r="O379" s="31"/>
      <c r="P379" s="28"/>
      <c r="Q379" s="28"/>
      <c r="R379" s="28"/>
      <c r="S379" s="28"/>
      <c r="T379" s="28"/>
      <c r="U379" s="28"/>
      <c r="V379" s="28"/>
      <c r="W379" s="28"/>
      <c r="X379" s="28"/>
      <c r="Y379" s="28"/>
      <c r="Z379" s="28"/>
      <c r="AA379" s="28"/>
      <c r="AB379" s="28"/>
      <c r="AC379" s="28"/>
      <c r="AD379" s="28"/>
      <c r="AE379" s="32"/>
      <c r="AF379" s="32"/>
      <c r="AG379" s="32"/>
      <c r="AH379" s="32"/>
      <c r="AI379" s="32"/>
      <c r="AJ379" s="32"/>
      <c r="AK379" s="32"/>
      <c r="AL379" s="32"/>
      <c r="AM379" s="32"/>
      <c r="AN379" s="32"/>
      <c r="AO379" s="32"/>
      <c r="AP379" s="32"/>
      <c r="AQ379" s="32"/>
      <c r="AR379" s="32"/>
      <c r="AS379" s="32"/>
      <c r="AT379" s="32"/>
      <c r="AU379" s="32"/>
      <c r="AV379" s="32"/>
      <c r="AW379" s="32"/>
      <c r="AX379" s="32"/>
      <c r="AY379" s="32"/>
      <c r="AZ379" s="32"/>
      <c r="BA379" s="32"/>
      <c r="BB379" s="32"/>
      <c r="BC379" s="32"/>
      <c r="BD379" s="32"/>
      <c r="BE379" s="32"/>
      <c r="BF379" s="32"/>
      <c r="BG379" s="32"/>
      <c r="BH379" s="32"/>
      <c r="BI379" s="32"/>
      <c r="BJ379" s="32"/>
      <c r="BK379" s="32"/>
      <c r="BL379" s="32"/>
      <c r="BM379" s="32"/>
      <c r="BN379" s="32"/>
      <c r="BO379" s="32"/>
      <c r="BP379" s="32"/>
      <c r="BQ379" s="32"/>
      <c r="BR379" s="32"/>
      <c r="BS379" s="32"/>
      <c r="BT379" s="32"/>
      <c r="BU379" s="32"/>
      <c r="BV379" s="32"/>
      <c r="BW379" s="32"/>
      <c r="BX379" s="32"/>
      <c r="BY379" s="32"/>
      <c r="BZ379" s="32"/>
      <c r="CA379" s="32"/>
      <c r="CB379" s="32"/>
      <c r="CC379" s="32"/>
    </row>
    <row r="380" spans="1:81" ht="18">
      <c r="A380" s="28"/>
      <c r="B380" s="29"/>
      <c r="C380" s="29"/>
      <c r="D380" s="29"/>
      <c r="E380" s="30"/>
      <c r="F380" s="30"/>
      <c r="G380" s="29"/>
      <c r="H380" s="40"/>
      <c r="I380" s="28"/>
      <c r="J380" s="28"/>
      <c r="K380" s="132"/>
      <c r="L380" s="133"/>
      <c r="M380" s="133"/>
      <c r="N380" s="133"/>
      <c r="O380" s="31"/>
      <c r="P380" s="28"/>
      <c r="Q380" s="28"/>
      <c r="R380" s="28"/>
      <c r="S380" s="28"/>
      <c r="T380" s="28"/>
      <c r="U380" s="28"/>
      <c r="V380" s="28"/>
      <c r="W380" s="28"/>
      <c r="X380" s="28"/>
      <c r="Y380" s="28"/>
      <c r="Z380" s="28"/>
      <c r="AA380" s="28"/>
      <c r="AB380" s="28"/>
      <c r="AC380" s="28"/>
      <c r="AD380" s="28"/>
      <c r="AE380" s="32"/>
      <c r="AF380" s="32"/>
      <c r="AG380" s="32"/>
      <c r="AH380" s="32"/>
      <c r="AI380" s="32"/>
      <c r="AJ380" s="32"/>
      <c r="AK380" s="32"/>
      <c r="AL380" s="32"/>
      <c r="AM380" s="32"/>
      <c r="AN380" s="32"/>
      <c r="AO380" s="32"/>
      <c r="AP380" s="32"/>
      <c r="AQ380" s="32"/>
      <c r="AR380" s="32"/>
      <c r="AS380" s="32"/>
      <c r="AT380" s="32"/>
      <c r="AU380" s="32"/>
      <c r="AV380" s="32"/>
      <c r="AW380" s="32"/>
      <c r="AX380" s="32"/>
      <c r="AY380" s="32"/>
      <c r="AZ380" s="32"/>
      <c r="BA380" s="32"/>
      <c r="BB380" s="32"/>
      <c r="BC380" s="32"/>
      <c r="BD380" s="32"/>
      <c r="BE380" s="32"/>
      <c r="BF380" s="32"/>
      <c r="BG380" s="32"/>
      <c r="BH380" s="32"/>
      <c r="BI380" s="32"/>
      <c r="BJ380" s="32"/>
      <c r="BK380" s="32"/>
      <c r="BL380" s="32"/>
      <c r="BM380" s="32"/>
      <c r="BN380" s="32"/>
      <c r="BO380" s="32"/>
      <c r="BP380" s="32"/>
      <c r="BQ380" s="32"/>
      <c r="BR380" s="32"/>
      <c r="BS380" s="32"/>
      <c r="BT380" s="32"/>
      <c r="BU380" s="32"/>
      <c r="BV380" s="32"/>
      <c r="BW380" s="32"/>
      <c r="BX380" s="32"/>
      <c r="BY380" s="32"/>
      <c r="BZ380" s="32"/>
      <c r="CA380" s="32"/>
      <c r="CB380" s="32"/>
      <c r="CC380" s="32"/>
    </row>
    <row r="381" spans="1:81" ht="18">
      <c r="A381" s="28"/>
      <c r="B381" s="29"/>
      <c r="C381" s="29"/>
      <c r="D381" s="29"/>
      <c r="E381" s="30"/>
      <c r="F381" s="30"/>
      <c r="G381" s="29"/>
      <c r="H381" s="40"/>
      <c r="I381" s="28"/>
      <c r="J381" s="28"/>
      <c r="K381" s="132"/>
      <c r="L381" s="133"/>
      <c r="M381" s="133"/>
      <c r="N381" s="133"/>
      <c r="O381" s="31"/>
      <c r="P381" s="28"/>
      <c r="Q381" s="28"/>
      <c r="R381" s="28"/>
      <c r="S381" s="28"/>
      <c r="T381" s="28"/>
      <c r="U381" s="28"/>
      <c r="V381" s="28"/>
      <c r="W381" s="28"/>
      <c r="X381" s="28"/>
      <c r="Y381" s="28"/>
      <c r="Z381" s="28"/>
      <c r="AA381" s="28"/>
      <c r="AB381" s="28"/>
      <c r="AC381" s="28"/>
      <c r="AD381" s="28"/>
      <c r="AE381" s="32"/>
      <c r="AF381" s="32"/>
      <c r="AG381" s="32"/>
      <c r="AH381" s="32"/>
      <c r="AI381" s="32"/>
      <c r="AJ381" s="32"/>
      <c r="AK381" s="32"/>
      <c r="AL381" s="32"/>
      <c r="AM381" s="32"/>
      <c r="AN381" s="32"/>
      <c r="AO381" s="32"/>
      <c r="AP381" s="32"/>
      <c r="AQ381" s="32"/>
      <c r="AR381" s="32"/>
      <c r="AS381" s="32"/>
      <c r="AT381" s="32"/>
      <c r="AU381" s="32"/>
      <c r="AV381" s="32"/>
      <c r="AW381" s="32"/>
      <c r="AX381" s="32"/>
      <c r="AY381" s="32"/>
      <c r="AZ381" s="32"/>
      <c r="BA381" s="32"/>
      <c r="BB381" s="32"/>
      <c r="BC381" s="32"/>
      <c r="BD381" s="32"/>
      <c r="BE381" s="32"/>
      <c r="BF381" s="32"/>
      <c r="BG381" s="32"/>
      <c r="BH381" s="32"/>
      <c r="BI381" s="32"/>
      <c r="BJ381" s="32"/>
      <c r="BK381" s="32"/>
      <c r="BL381" s="32"/>
      <c r="BM381" s="32"/>
      <c r="BN381" s="32"/>
      <c r="BO381" s="32"/>
      <c r="BP381" s="32"/>
      <c r="BQ381" s="32"/>
      <c r="BR381" s="32"/>
      <c r="BS381" s="32"/>
      <c r="BT381" s="32"/>
      <c r="BU381" s="32"/>
      <c r="BV381" s="32"/>
      <c r="BW381" s="32"/>
      <c r="BX381" s="32"/>
      <c r="BY381" s="32"/>
      <c r="BZ381" s="32"/>
      <c r="CA381" s="32"/>
      <c r="CB381" s="32"/>
      <c r="CC381" s="32"/>
    </row>
    <row r="382" spans="1:81" ht="18">
      <c r="A382" s="28"/>
      <c r="B382" s="29"/>
      <c r="C382" s="29"/>
      <c r="D382" s="29"/>
      <c r="E382" s="30"/>
      <c r="F382" s="30"/>
      <c r="G382" s="29"/>
      <c r="H382" s="40"/>
      <c r="I382" s="28"/>
      <c r="J382" s="28"/>
      <c r="K382" s="132"/>
      <c r="L382" s="133"/>
      <c r="M382" s="133"/>
      <c r="N382" s="133"/>
      <c r="O382" s="31"/>
      <c r="P382" s="28"/>
      <c r="Q382" s="28"/>
      <c r="R382" s="28"/>
      <c r="S382" s="28"/>
      <c r="T382" s="28"/>
      <c r="U382" s="28"/>
      <c r="V382" s="28"/>
      <c r="W382" s="28"/>
      <c r="X382" s="28"/>
      <c r="Y382" s="28"/>
      <c r="Z382" s="28"/>
      <c r="AA382" s="28"/>
      <c r="AB382" s="28"/>
      <c r="AC382" s="28"/>
      <c r="AD382" s="28"/>
      <c r="AE382" s="32"/>
      <c r="AF382" s="32"/>
      <c r="AG382" s="32"/>
      <c r="AH382" s="32"/>
      <c r="AI382" s="32"/>
      <c r="AJ382" s="32"/>
      <c r="AK382" s="32"/>
      <c r="AL382" s="32"/>
      <c r="AM382" s="32"/>
      <c r="AN382" s="32"/>
      <c r="AO382" s="32"/>
      <c r="AP382" s="32"/>
      <c r="AQ382" s="32"/>
      <c r="AR382" s="32"/>
      <c r="AS382" s="32"/>
      <c r="AT382" s="32"/>
      <c r="AU382" s="32"/>
      <c r="AV382" s="32"/>
      <c r="AW382" s="32"/>
      <c r="AX382" s="32"/>
      <c r="AY382" s="32"/>
      <c r="AZ382" s="32"/>
      <c r="BA382" s="32"/>
      <c r="BB382" s="32"/>
      <c r="BC382" s="32"/>
      <c r="BD382" s="32"/>
      <c r="BE382" s="32"/>
      <c r="BF382" s="32"/>
      <c r="BG382" s="32"/>
      <c r="BH382" s="32"/>
      <c r="BI382" s="32"/>
      <c r="BJ382" s="32"/>
      <c r="BK382" s="32"/>
      <c r="BL382" s="32"/>
      <c r="BM382" s="32"/>
      <c r="BN382" s="32"/>
      <c r="BO382" s="32"/>
      <c r="BP382" s="32"/>
      <c r="BQ382" s="32"/>
      <c r="BR382" s="32"/>
      <c r="BS382" s="32"/>
      <c r="BT382" s="32"/>
      <c r="BU382" s="32"/>
      <c r="BV382" s="32"/>
      <c r="BW382" s="32"/>
      <c r="BX382" s="32"/>
      <c r="BY382" s="32"/>
      <c r="BZ382" s="32"/>
      <c r="CA382" s="32"/>
      <c r="CB382" s="32"/>
      <c r="CC382" s="32"/>
    </row>
    <row r="383" spans="1:81" ht="18">
      <c r="A383" s="28"/>
      <c r="B383" s="29"/>
      <c r="C383" s="29"/>
      <c r="D383" s="29"/>
      <c r="E383" s="30"/>
      <c r="F383" s="30"/>
      <c r="G383" s="29"/>
      <c r="H383" s="40"/>
      <c r="I383" s="28"/>
      <c r="J383" s="28"/>
      <c r="K383" s="132"/>
      <c r="L383" s="133"/>
      <c r="M383" s="133"/>
      <c r="N383" s="133"/>
      <c r="O383" s="31"/>
      <c r="P383" s="28"/>
      <c r="Q383" s="28"/>
      <c r="R383" s="28"/>
      <c r="S383" s="28"/>
      <c r="T383" s="28"/>
      <c r="U383" s="28"/>
      <c r="V383" s="28"/>
      <c r="W383" s="28"/>
      <c r="X383" s="28"/>
      <c r="Y383" s="28"/>
      <c r="Z383" s="28"/>
      <c r="AA383" s="28"/>
      <c r="AB383" s="28"/>
      <c r="AC383" s="28"/>
      <c r="AD383" s="28"/>
      <c r="AE383" s="32"/>
      <c r="AF383" s="32"/>
      <c r="AG383" s="32"/>
      <c r="AH383" s="32"/>
      <c r="AI383" s="32"/>
      <c r="AJ383" s="32"/>
      <c r="AK383" s="32"/>
      <c r="AL383" s="32"/>
      <c r="AM383" s="32"/>
      <c r="AN383" s="32"/>
      <c r="AO383" s="32"/>
      <c r="AP383" s="32"/>
      <c r="AQ383" s="32"/>
      <c r="AR383" s="32"/>
      <c r="AS383" s="32"/>
      <c r="AT383" s="32"/>
      <c r="AU383" s="32"/>
      <c r="AV383" s="32"/>
      <c r="AW383" s="32"/>
      <c r="AX383" s="32"/>
      <c r="AY383" s="32"/>
      <c r="AZ383" s="32"/>
      <c r="BA383" s="32"/>
      <c r="BB383" s="32"/>
      <c r="BC383" s="32"/>
      <c r="BD383" s="32"/>
      <c r="BE383" s="32"/>
      <c r="BF383" s="32"/>
      <c r="BG383" s="32"/>
      <c r="BH383" s="32"/>
      <c r="BI383" s="32"/>
      <c r="BJ383" s="32"/>
      <c r="BK383" s="32"/>
      <c r="BL383" s="32"/>
      <c r="BM383" s="32"/>
      <c r="BN383" s="32"/>
      <c r="BO383" s="32"/>
      <c r="BP383" s="32"/>
      <c r="BQ383" s="32"/>
      <c r="BR383" s="32"/>
      <c r="BS383" s="32"/>
      <c r="BT383" s="32"/>
      <c r="BU383" s="32"/>
      <c r="BV383" s="32"/>
      <c r="BW383" s="32"/>
      <c r="BX383" s="32"/>
      <c r="BY383" s="32"/>
      <c r="BZ383" s="32"/>
      <c r="CA383" s="32"/>
      <c r="CB383" s="32"/>
      <c r="CC383" s="32"/>
    </row>
    <row r="384" spans="1:81" ht="18">
      <c r="A384" s="28"/>
      <c r="B384" s="29"/>
      <c r="C384" s="29"/>
      <c r="D384" s="29"/>
      <c r="E384" s="30"/>
      <c r="F384" s="30"/>
      <c r="G384" s="29"/>
      <c r="H384" s="40"/>
      <c r="I384" s="28"/>
      <c r="J384" s="28"/>
      <c r="K384" s="132"/>
      <c r="L384" s="133"/>
      <c r="M384" s="133"/>
      <c r="N384" s="133"/>
      <c r="O384" s="31"/>
      <c r="P384" s="28"/>
      <c r="Q384" s="28"/>
      <c r="R384" s="28"/>
      <c r="S384" s="28"/>
      <c r="T384" s="28"/>
      <c r="U384" s="28"/>
      <c r="V384" s="28"/>
      <c r="W384" s="28"/>
      <c r="X384" s="28"/>
      <c r="Y384" s="28"/>
      <c r="Z384" s="28"/>
      <c r="AA384" s="28"/>
      <c r="AB384" s="28"/>
      <c r="AC384" s="28"/>
      <c r="AD384" s="28"/>
      <c r="AE384" s="32"/>
      <c r="AF384" s="32"/>
      <c r="AG384" s="32"/>
      <c r="AH384" s="32"/>
      <c r="AI384" s="32"/>
      <c r="AJ384" s="32"/>
      <c r="AK384" s="32"/>
      <c r="AL384" s="32"/>
      <c r="AM384" s="32"/>
      <c r="AN384" s="32"/>
      <c r="AO384" s="32"/>
      <c r="AP384" s="32"/>
      <c r="AQ384" s="32"/>
      <c r="AR384" s="32"/>
      <c r="AS384" s="32"/>
      <c r="AT384" s="32"/>
      <c r="AU384" s="32"/>
      <c r="AV384" s="32"/>
      <c r="AW384" s="32"/>
      <c r="AX384" s="32"/>
      <c r="AY384" s="32"/>
      <c r="AZ384" s="32"/>
      <c r="BA384" s="32"/>
      <c r="BB384" s="32"/>
      <c r="BC384" s="32"/>
      <c r="BD384" s="32"/>
      <c r="BE384" s="32"/>
      <c r="BF384" s="32"/>
      <c r="BG384" s="32"/>
      <c r="BH384" s="32"/>
      <c r="BI384" s="32"/>
      <c r="BJ384" s="32"/>
      <c r="BK384" s="32"/>
      <c r="BL384" s="32"/>
      <c r="BM384" s="32"/>
      <c r="BN384" s="32"/>
      <c r="BO384" s="32"/>
      <c r="BP384" s="32"/>
      <c r="BQ384" s="32"/>
      <c r="BR384" s="32"/>
      <c r="BS384" s="32"/>
      <c r="BT384" s="32"/>
      <c r="BU384" s="32"/>
      <c r="BV384" s="32"/>
      <c r="BW384" s="32"/>
      <c r="BX384" s="32"/>
      <c r="BY384" s="32"/>
      <c r="BZ384" s="32"/>
      <c r="CA384" s="32"/>
      <c r="CB384" s="32"/>
      <c r="CC384" s="32"/>
    </row>
    <row r="385" spans="1:81" ht="18">
      <c r="A385" s="28"/>
      <c r="B385" s="29"/>
      <c r="C385" s="29"/>
      <c r="D385" s="29"/>
      <c r="E385" s="30"/>
      <c r="F385" s="30"/>
      <c r="G385" s="29"/>
      <c r="H385" s="40"/>
      <c r="I385" s="28"/>
      <c r="J385" s="28"/>
      <c r="K385" s="132"/>
      <c r="L385" s="133"/>
      <c r="M385" s="133"/>
      <c r="N385" s="133"/>
      <c r="O385" s="31"/>
      <c r="P385" s="28"/>
      <c r="Q385" s="28"/>
      <c r="R385" s="28"/>
      <c r="S385" s="28"/>
      <c r="T385" s="28"/>
      <c r="U385" s="28"/>
      <c r="V385" s="28"/>
      <c r="W385" s="28"/>
      <c r="X385" s="28"/>
      <c r="Y385" s="28"/>
      <c r="Z385" s="28"/>
      <c r="AA385" s="28"/>
      <c r="AB385" s="28"/>
      <c r="AC385" s="28"/>
      <c r="AD385" s="28"/>
      <c r="AE385" s="32"/>
      <c r="AF385" s="32"/>
      <c r="AG385" s="32"/>
      <c r="AH385" s="32"/>
      <c r="AI385" s="32"/>
      <c r="AJ385" s="32"/>
      <c r="AK385" s="32"/>
      <c r="AL385" s="32"/>
      <c r="AM385" s="32"/>
      <c r="AN385" s="32"/>
      <c r="AO385" s="32"/>
      <c r="AP385" s="32"/>
      <c r="AQ385" s="32"/>
      <c r="AR385" s="32"/>
      <c r="AS385" s="32"/>
      <c r="AT385" s="32"/>
      <c r="AU385" s="32"/>
      <c r="AV385" s="32"/>
      <c r="AW385" s="32"/>
      <c r="AX385" s="32"/>
      <c r="AY385" s="32"/>
      <c r="AZ385" s="32"/>
      <c r="BA385" s="32"/>
      <c r="BB385" s="32"/>
      <c r="BC385" s="32"/>
      <c r="BD385" s="32"/>
      <c r="BE385" s="32"/>
      <c r="BF385" s="32"/>
      <c r="BG385" s="32"/>
      <c r="BH385" s="32"/>
      <c r="BI385" s="32"/>
      <c r="BJ385" s="32"/>
      <c r="BK385" s="32"/>
      <c r="BL385" s="32"/>
      <c r="BM385" s="32"/>
      <c r="BN385" s="32"/>
      <c r="BO385" s="32"/>
      <c r="BP385" s="32"/>
      <c r="BQ385" s="32"/>
      <c r="BR385" s="32"/>
      <c r="BS385" s="32"/>
      <c r="BT385" s="32"/>
      <c r="BU385" s="32"/>
      <c r="BV385" s="32"/>
      <c r="BW385" s="32"/>
      <c r="BX385" s="32"/>
      <c r="BY385" s="32"/>
      <c r="BZ385" s="32"/>
      <c r="CA385" s="32"/>
      <c r="CB385" s="32"/>
      <c r="CC385" s="32"/>
    </row>
    <row r="386" spans="1:81" ht="18">
      <c r="A386" s="28"/>
      <c r="B386" s="29"/>
      <c r="C386" s="29"/>
      <c r="D386" s="29"/>
      <c r="E386" s="30"/>
      <c r="F386" s="30"/>
      <c r="G386" s="29"/>
      <c r="H386" s="40"/>
      <c r="I386" s="28"/>
      <c r="J386" s="28"/>
      <c r="K386" s="132"/>
      <c r="L386" s="133"/>
      <c r="M386" s="133"/>
      <c r="N386" s="133"/>
      <c r="O386" s="31"/>
      <c r="P386" s="28"/>
      <c r="Q386" s="28"/>
      <c r="R386" s="28"/>
      <c r="S386" s="28"/>
      <c r="T386" s="28"/>
      <c r="U386" s="28"/>
      <c r="V386" s="28"/>
      <c r="W386" s="28"/>
      <c r="X386" s="28"/>
      <c r="Y386" s="28"/>
      <c r="Z386" s="28"/>
      <c r="AA386" s="28"/>
      <c r="AB386" s="28"/>
      <c r="AC386" s="28"/>
      <c r="AD386" s="28"/>
      <c r="AE386" s="32"/>
      <c r="AF386" s="32"/>
      <c r="AG386" s="32"/>
      <c r="AH386" s="32"/>
      <c r="AI386" s="32"/>
      <c r="AJ386" s="32"/>
      <c r="AK386" s="32"/>
      <c r="AL386" s="32"/>
      <c r="AM386" s="32"/>
      <c r="AN386" s="32"/>
      <c r="AO386" s="32"/>
      <c r="AP386" s="32"/>
      <c r="AQ386" s="32"/>
      <c r="AR386" s="32"/>
      <c r="AS386" s="32"/>
      <c r="AT386" s="32"/>
      <c r="AU386" s="32"/>
      <c r="AV386" s="32"/>
      <c r="AW386" s="32"/>
      <c r="AX386" s="32"/>
      <c r="AY386" s="32"/>
      <c r="AZ386" s="32"/>
      <c r="BA386" s="32"/>
      <c r="BB386" s="32"/>
      <c r="BC386" s="32"/>
      <c r="BD386" s="32"/>
      <c r="BE386" s="32"/>
      <c r="BF386" s="32"/>
      <c r="BG386" s="32"/>
      <c r="BH386" s="32"/>
      <c r="BI386" s="32"/>
      <c r="BJ386" s="32"/>
      <c r="BK386" s="32"/>
      <c r="BL386" s="32"/>
      <c r="BM386" s="32"/>
      <c r="BN386" s="32"/>
      <c r="BO386" s="32"/>
      <c r="BP386" s="32"/>
      <c r="BQ386" s="32"/>
      <c r="BR386" s="32"/>
      <c r="BS386" s="32"/>
      <c r="BT386" s="32"/>
      <c r="BU386" s="32"/>
      <c r="BV386" s="32"/>
      <c r="BW386" s="32"/>
      <c r="BX386" s="32"/>
      <c r="BY386" s="32"/>
      <c r="BZ386" s="32"/>
      <c r="CA386" s="32"/>
      <c r="CB386" s="32"/>
      <c r="CC386" s="32"/>
    </row>
    <row r="387" spans="1:81" ht="18">
      <c r="A387" s="28"/>
      <c r="B387" s="29"/>
      <c r="C387" s="29"/>
      <c r="D387" s="29"/>
      <c r="E387" s="30"/>
      <c r="F387" s="30"/>
      <c r="G387" s="29"/>
      <c r="H387" s="40"/>
      <c r="I387" s="28"/>
      <c r="J387" s="28"/>
      <c r="K387" s="132"/>
      <c r="L387" s="133"/>
      <c r="M387" s="133"/>
      <c r="N387" s="133"/>
      <c r="O387" s="31"/>
      <c r="P387" s="28"/>
      <c r="Q387" s="28"/>
      <c r="R387" s="28"/>
      <c r="S387" s="28"/>
      <c r="T387" s="28"/>
      <c r="U387" s="28"/>
      <c r="V387" s="28"/>
      <c r="W387" s="28"/>
      <c r="X387" s="28"/>
      <c r="Y387" s="28"/>
      <c r="Z387" s="28"/>
      <c r="AA387" s="28"/>
      <c r="AB387" s="28"/>
      <c r="AC387" s="28"/>
      <c r="AD387" s="28"/>
      <c r="AE387" s="32"/>
      <c r="AF387" s="32"/>
      <c r="AG387" s="32"/>
      <c r="AH387" s="32"/>
      <c r="AI387" s="32"/>
      <c r="AJ387" s="32"/>
      <c r="AK387" s="32"/>
      <c r="AL387" s="32"/>
      <c r="AM387" s="32"/>
      <c r="AN387" s="32"/>
      <c r="AO387" s="32"/>
      <c r="AP387" s="32"/>
      <c r="AQ387" s="32"/>
      <c r="AR387" s="32"/>
      <c r="AS387" s="32"/>
      <c r="AT387" s="32"/>
      <c r="AU387" s="32"/>
      <c r="AV387" s="32"/>
      <c r="AW387" s="32"/>
      <c r="AX387" s="32"/>
      <c r="AY387" s="32"/>
      <c r="AZ387" s="32"/>
      <c r="BA387" s="32"/>
      <c r="BB387" s="32"/>
      <c r="BC387" s="32"/>
      <c r="BD387" s="32"/>
      <c r="BE387" s="32"/>
      <c r="BF387" s="32"/>
      <c r="BG387" s="32"/>
      <c r="BH387" s="32"/>
      <c r="BI387" s="32"/>
      <c r="BJ387" s="32"/>
      <c r="BK387" s="32"/>
      <c r="BL387" s="32"/>
      <c r="BM387" s="32"/>
      <c r="BN387" s="32"/>
      <c r="BO387" s="32"/>
      <c r="BP387" s="32"/>
      <c r="BQ387" s="32"/>
      <c r="BR387" s="32"/>
      <c r="BS387" s="32"/>
      <c r="BT387" s="32"/>
      <c r="BU387" s="32"/>
      <c r="BV387" s="32"/>
      <c r="BW387" s="32"/>
      <c r="BX387" s="32"/>
      <c r="BY387" s="32"/>
      <c r="BZ387" s="32"/>
      <c r="CA387" s="32"/>
      <c r="CB387" s="32"/>
      <c r="CC387" s="32"/>
    </row>
    <row r="388" spans="1:81" ht="18">
      <c r="A388" s="28"/>
      <c r="B388" s="29"/>
      <c r="C388" s="29"/>
      <c r="D388" s="29"/>
      <c r="E388" s="30"/>
      <c r="F388" s="30"/>
      <c r="G388" s="29"/>
      <c r="H388" s="40"/>
      <c r="I388" s="28"/>
      <c r="J388" s="28"/>
      <c r="K388" s="132"/>
      <c r="L388" s="133"/>
      <c r="M388" s="133"/>
      <c r="N388" s="133"/>
      <c r="O388" s="31"/>
      <c r="P388" s="28"/>
      <c r="Q388" s="28"/>
      <c r="R388" s="28"/>
      <c r="S388" s="28"/>
      <c r="T388" s="28"/>
      <c r="U388" s="28"/>
      <c r="V388" s="28"/>
      <c r="W388" s="28"/>
      <c r="X388" s="28"/>
      <c r="Y388" s="28"/>
      <c r="Z388" s="28"/>
      <c r="AA388" s="28"/>
      <c r="AB388" s="28"/>
      <c r="AC388" s="28"/>
      <c r="AD388" s="28"/>
      <c r="AE388" s="32"/>
      <c r="AF388" s="32"/>
      <c r="AG388" s="32"/>
      <c r="AH388" s="32"/>
      <c r="AI388" s="32"/>
      <c r="AJ388" s="32"/>
      <c r="AK388" s="32"/>
      <c r="AL388" s="32"/>
      <c r="AM388" s="32"/>
      <c r="AN388" s="32"/>
      <c r="AO388" s="32"/>
      <c r="AP388" s="32"/>
      <c r="AQ388" s="32"/>
      <c r="AR388" s="32"/>
      <c r="AS388" s="32"/>
      <c r="AT388" s="32"/>
      <c r="AU388" s="32"/>
      <c r="AV388" s="32"/>
      <c r="AW388" s="32"/>
      <c r="AX388" s="32"/>
      <c r="AY388" s="32"/>
      <c r="AZ388" s="32"/>
      <c r="BA388" s="32"/>
      <c r="BB388" s="32"/>
      <c r="BC388" s="32"/>
      <c r="BD388" s="32"/>
      <c r="BE388" s="32"/>
      <c r="BF388" s="32"/>
      <c r="BG388" s="32"/>
      <c r="BH388" s="32"/>
      <c r="BI388" s="32"/>
      <c r="BJ388" s="32"/>
      <c r="BK388" s="32"/>
      <c r="BL388" s="32"/>
      <c r="BM388" s="32"/>
      <c r="BN388" s="32"/>
      <c r="BO388" s="32"/>
      <c r="BP388" s="32"/>
      <c r="BQ388" s="32"/>
      <c r="BR388" s="32"/>
      <c r="BS388" s="32"/>
      <c r="BT388" s="32"/>
      <c r="BU388" s="32"/>
      <c r="BV388" s="32"/>
      <c r="BW388" s="32"/>
      <c r="BX388" s="32"/>
      <c r="BY388" s="32"/>
      <c r="BZ388" s="32"/>
      <c r="CA388" s="32"/>
      <c r="CB388" s="32"/>
      <c r="CC388" s="32"/>
    </row>
    <row r="389" spans="1:81" ht="18">
      <c r="A389" s="28"/>
      <c r="B389" s="29"/>
      <c r="C389" s="29"/>
      <c r="D389" s="29"/>
      <c r="E389" s="30"/>
      <c r="F389" s="30"/>
      <c r="G389" s="29"/>
      <c r="H389" s="40"/>
      <c r="I389" s="28"/>
      <c r="J389" s="28"/>
      <c r="K389" s="132"/>
      <c r="L389" s="133"/>
      <c r="M389" s="133"/>
      <c r="N389" s="133"/>
      <c r="O389" s="31"/>
      <c r="P389" s="28"/>
      <c r="Q389" s="28"/>
      <c r="R389" s="28"/>
      <c r="S389" s="28"/>
      <c r="T389" s="28"/>
      <c r="U389" s="28"/>
      <c r="V389" s="28"/>
      <c r="W389" s="28"/>
      <c r="X389" s="28"/>
      <c r="Y389" s="28"/>
      <c r="Z389" s="28"/>
      <c r="AA389" s="28"/>
      <c r="AB389" s="28"/>
      <c r="AC389" s="28"/>
      <c r="AD389" s="28"/>
      <c r="AE389" s="32"/>
      <c r="AF389" s="32"/>
      <c r="AG389" s="32"/>
      <c r="AH389" s="32"/>
      <c r="AI389" s="32"/>
      <c r="AJ389" s="32"/>
      <c r="AK389" s="32"/>
      <c r="AL389" s="32"/>
      <c r="AM389" s="32"/>
      <c r="AN389" s="32"/>
      <c r="AO389" s="32"/>
      <c r="AP389" s="32"/>
      <c r="AQ389" s="32"/>
      <c r="AR389" s="32"/>
      <c r="AS389" s="32"/>
      <c r="AT389" s="32"/>
      <c r="AU389" s="32"/>
      <c r="AV389" s="32"/>
      <c r="AW389" s="32"/>
      <c r="AX389" s="32"/>
      <c r="AY389" s="32"/>
      <c r="AZ389" s="32"/>
      <c r="BA389" s="32"/>
      <c r="BB389" s="32"/>
      <c r="BC389" s="32"/>
      <c r="BD389" s="32"/>
      <c r="BE389" s="32"/>
      <c r="BF389" s="32"/>
      <c r="BG389" s="32"/>
      <c r="BH389" s="32"/>
      <c r="BI389" s="32"/>
      <c r="BJ389" s="32"/>
      <c r="BK389" s="32"/>
      <c r="BL389" s="32"/>
      <c r="BM389" s="32"/>
      <c r="BN389" s="32"/>
      <c r="BO389" s="32"/>
      <c r="BP389" s="32"/>
      <c r="BQ389" s="32"/>
      <c r="BR389" s="32"/>
      <c r="BS389" s="32"/>
      <c r="BT389" s="32"/>
      <c r="BU389" s="32"/>
      <c r="BV389" s="32"/>
      <c r="BW389" s="32"/>
      <c r="BX389" s="32"/>
      <c r="BY389" s="32"/>
      <c r="BZ389" s="32"/>
      <c r="CA389" s="32"/>
      <c r="CB389" s="32"/>
      <c r="CC389" s="32"/>
    </row>
    <row r="390" spans="1:81" ht="18">
      <c r="A390" s="28"/>
      <c r="B390" s="29"/>
      <c r="C390" s="29"/>
      <c r="D390" s="29"/>
      <c r="E390" s="30"/>
      <c r="F390" s="30"/>
      <c r="G390" s="29"/>
      <c r="H390" s="40"/>
      <c r="I390" s="28"/>
      <c r="J390" s="28"/>
      <c r="K390" s="132"/>
      <c r="L390" s="133"/>
      <c r="M390" s="133"/>
      <c r="N390" s="133"/>
      <c r="O390" s="31"/>
      <c r="P390" s="28"/>
      <c r="Q390" s="28"/>
      <c r="R390" s="28"/>
      <c r="S390" s="28"/>
      <c r="T390" s="28"/>
      <c r="U390" s="28"/>
      <c r="V390" s="28"/>
      <c r="W390" s="28"/>
      <c r="X390" s="28"/>
      <c r="Y390" s="28"/>
      <c r="Z390" s="28"/>
      <c r="AA390" s="28"/>
      <c r="AB390" s="28"/>
      <c r="AC390" s="28"/>
      <c r="AD390" s="28"/>
      <c r="AE390" s="32"/>
      <c r="AF390" s="32"/>
      <c r="AG390" s="32"/>
      <c r="AH390" s="32"/>
      <c r="AI390" s="32"/>
      <c r="AJ390" s="32"/>
      <c r="AK390" s="32"/>
      <c r="AL390" s="32"/>
      <c r="AM390" s="32"/>
      <c r="AN390" s="32"/>
      <c r="AO390" s="32"/>
      <c r="AP390" s="32"/>
      <c r="AQ390" s="32"/>
      <c r="AR390" s="32"/>
      <c r="AS390" s="32"/>
      <c r="AT390" s="32"/>
      <c r="AU390" s="32"/>
      <c r="AV390" s="32"/>
      <c r="AW390" s="32"/>
      <c r="AX390" s="32"/>
      <c r="AY390" s="32"/>
      <c r="AZ390" s="32"/>
      <c r="BA390" s="32"/>
      <c r="BB390" s="32"/>
      <c r="BC390" s="32"/>
      <c r="BD390" s="32"/>
      <c r="BE390" s="32"/>
      <c r="BF390" s="32"/>
      <c r="BG390" s="32"/>
      <c r="BH390" s="32"/>
      <c r="BI390" s="32"/>
      <c r="BJ390" s="32"/>
      <c r="BK390" s="32"/>
      <c r="BL390" s="32"/>
      <c r="BM390" s="32"/>
      <c r="BN390" s="32"/>
      <c r="BO390" s="32"/>
      <c r="BP390" s="32"/>
      <c r="BQ390" s="32"/>
      <c r="BR390" s="32"/>
      <c r="BS390" s="32"/>
      <c r="BT390" s="32"/>
      <c r="BU390" s="32"/>
      <c r="BV390" s="32"/>
      <c r="BW390" s="32"/>
      <c r="BX390" s="32"/>
      <c r="BY390" s="32"/>
      <c r="BZ390" s="32"/>
      <c r="CA390" s="32"/>
      <c r="CB390" s="32"/>
      <c r="CC390" s="32"/>
    </row>
    <row r="391" spans="1:81" ht="18">
      <c r="A391" s="28"/>
      <c r="B391" s="29"/>
      <c r="C391" s="29"/>
      <c r="D391" s="29"/>
      <c r="E391" s="30"/>
      <c r="F391" s="30"/>
      <c r="G391" s="29"/>
      <c r="H391" s="40"/>
      <c r="I391" s="28"/>
      <c r="J391" s="28"/>
      <c r="K391" s="132"/>
      <c r="L391" s="133"/>
      <c r="M391" s="133"/>
      <c r="N391" s="133"/>
      <c r="O391" s="31"/>
      <c r="P391" s="28"/>
      <c r="Q391" s="28"/>
      <c r="R391" s="28"/>
      <c r="S391" s="28"/>
      <c r="T391" s="28"/>
      <c r="U391" s="28"/>
      <c r="V391" s="28"/>
      <c r="W391" s="28"/>
      <c r="X391" s="28"/>
      <c r="Y391" s="28"/>
      <c r="Z391" s="28"/>
      <c r="AA391" s="28"/>
      <c r="AB391" s="28"/>
      <c r="AC391" s="28"/>
      <c r="AD391" s="28"/>
      <c r="AE391" s="32"/>
      <c r="AF391" s="32"/>
      <c r="AG391" s="32"/>
      <c r="AH391" s="32"/>
      <c r="AI391" s="32"/>
      <c r="AJ391" s="32"/>
      <c r="AK391" s="32"/>
      <c r="AL391" s="32"/>
      <c r="AM391" s="32"/>
      <c r="AN391" s="32"/>
      <c r="AO391" s="32"/>
      <c r="AP391" s="32"/>
      <c r="AQ391" s="32"/>
      <c r="AR391" s="32"/>
      <c r="AS391" s="32"/>
      <c r="AT391" s="32"/>
      <c r="AU391" s="32"/>
      <c r="AV391" s="32"/>
      <c r="AW391" s="32"/>
      <c r="AX391" s="32"/>
      <c r="AY391" s="32"/>
      <c r="AZ391" s="32"/>
      <c r="BA391" s="32"/>
      <c r="BB391" s="32"/>
      <c r="BC391" s="32"/>
      <c r="BD391" s="32"/>
      <c r="BE391" s="32"/>
      <c r="BF391" s="32"/>
      <c r="BG391" s="32"/>
      <c r="BH391" s="32"/>
      <c r="BI391" s="32"/>
      <c r="BJ391" s="32"/>
      <c r="BK391" s="32"/>
      <c r="BL391" s="32"/>
      <c r="BM391" s="32"/>
      <c r="BN391" s="32"/>
      <c r="BO391" s="32"/>
      <c r="BP391" s="32"/>
      <c r="BQ391" s="32"/>
      <c r="BR391" s="32"/>
      <c r="BS391" s="32"/>
      <c r="BT391" s="32"/>
      <c r="BU391" s="32"/>
      <c r="BV391" s="32"/>
      <c r="BW391" s="32"/>
      <c r="BX391" s="32"/>
      <c r="BY391" s="32"/>
      <c r="BZ391" s="32"/>
      <c r="CA391" s="32"/>
      <c r="CB391" s="32"/>
      <c r="CC391" s="32"/>
    </row>
    <row r="392" spans="1:81" ht="18">
      <c r="A392" s="28"/>
      <c r="B392" s="29"/>
      <c r="C392" s="29"/>
      <c r="D392" s="29"/>
      <c r="E392" s="30"/>
      <c r="F392" s="30"/>
      <c r="G392" s="29"/>
      <c r="H392" s="40"/>
      <c r="I392" s="28"/>
      <c r="J392" s="28"/>
      <c r="K392" s="132"/>
      <c r="L392" s="133"/>
      <c r="M392" s="133"/>
      <c r="N392" s="133"/>
      <c r="O392" s="31"/>
      <c r="P392" s="28"/>
      <c r="Q392" s="28"/>
      <c r="R392" s="28"/>
      <c r="S392" s="28"/>
      <c r="T392" s="28"/>
      <c r="U392" s="28"/>
      <c r="V392" s="28"/>
      <c r="W392" s="28"/>
      <c r="X392" s="28"/>
      <c r="Y392" s="28"/>
      <c r="Z392" s="28"/>
      <c r="AA392" s="28"/>
      <c r="AB392" s="28"/>
      <c r="AC392" s="28"/>
      <c r="AD392" s="28"/>
      <c r="AE392" s="32"/>
      <c r="AF392" s="32"/>
      <c r="AG392" s="32"/>
      <c r="AH392" s="32"/>
      <c r="AI392" s="32"/>
      <c r="AJ392" s="32"/>
      <c r="AK392" s="32"/>
      <c r="AL392" s="32"/>
      <c r="AM392" s="32"/>
      <c r="AN392" s="32"/>
      <c r="AO392" s="32"/>
      <c r="AP392" s="32"/>
      <c r="AQ392" s="32"/>
      <c r="AR392" s="32"/>
      <c r="AS392" s="32"/>
      <c r="AT392" s="32"/>
      <c r="AU392" s="32"/>
      <c r="AV392" s="32"/>
      <c r="AW392" s="32"/>
      <c r="AX392" s="32"/>
      <c r="AY392" s="32"/>
      <c r="AZ392" s="32"/>
      <c r="BA392" s="32"/>
      <c r="BB392" s="32"/>
      <c r="BC392" s="32"/>
      <c r="BD392" s="32"/>
      <c r="BE392" s="32"/>
      <c r="BF392" s="32"/>
      <c r="BG392" s="32"/>
      <c r="BH392" s="32"/>
      <c r="BI392" s="32"/>
      <c r="BJ392" s="32"/>
      <c r="BK392" s="32"/>
      <c r="BL392" s="32"/>
      <c r="BM392" s="32"/>
      <c r="BN392" s="32"/>
      <c r="BO392" s="32"/>
      <c r="BP392" s="32"/>
      <c r="BQ392" s="32"/>
      <c r="BR392" s="32"/>
      <c r="BS392" s="32"/>
      <c r="BT392" s="32"/>
      <c r="BU392" s="32"/>
      <c r="BV392" s="32"/>
      <c r="BW392" s="32"/>
      <c r="BX392" s="32"/>
      <c r="BY392" s="32"/>
      <c r="BZ392" s="32"/>
      <c r="CA392" s="32"/>
      <c r="CB392" s="32"/>
      <c r="CC392" s="32"/>
    </row>
    <row r="393" spans="1:81" ht="18">
      <c r="A393" s="28"/>
      <c r="B393" s="29"/>
      <c r="C393" s="29"/>
      <c r="D393" s="29"/>
      <c r="E393" s="30"/>
      <c r="F393" s="30"/>
      <c r="G393" s="29"/>
      <c r="H393" s="40"/>
      <c r="I393" s="28"/>
      <c r="J393" s="28"/>
      <c r="K393" s="132"/>
      <c r="L393" s="133"/>
      <c r="M393" s="133"/>
      <c r="N393" s="133"/>
      <c r="O393" s="31"/>
      <c r="P393" s="28"/>
      <c r="Q393" s="28"/>
      <c r="R393" s="28"/>
      <c r="S393" s="28"/>
      <c r="T393" s="28"/>
      <c r="U393" s="28"/>
      <c r="V393" s="28"/>
      <c r="W393" s="28"/>
      <c r="X393" s="28"/>
      <c r="Y393" s="28"/>
      <c r="Z393" s="28"/>
      <c r="AA393" s="28"/>
      <c r="AB393" s="28"/>
      <c r="AC393" s="28"/>
      <c r="AD393" s="28"/>
      <c r="AE393" s="32"/>
      <c r="AF393" s="32"/>
      <c r="AG393" s="32"/>
      <c r="AH393" s="32"/>
      <c r="AI393" s="32"/>
      <c r="AJ393" s="32"/>
      <c r="AK393" s="32"/>
      <c r="AL393" s="32"/>
      <c r="AM393" s="32"/>
      <c r="AN393" s="32"/>
      <c r="AO393" s="32"/>
      <c r="AP393" s="32"/>
      <c r="AQ393" s="32"/>
      <c r="AR393" s="32"/>
      <c r="AS393" s="32"/>
      <c r="AT393" s="32"/>
      <c r="AU393" s="32"/>
      <c r="AV393" s="32"/>
      <c r="AW393" s="32"/>
      <c r="AX393" s="32"/>
      <c r="AY393" s="32"/>
      <c r="AZ393" s="32"/>
      <c r="BA393" s="32"/>
      <c r="BB393" s="32"/>
      <c r="BC393" s="32"/>
      <c r="BD393" s="32"/>
      <c r="BE393" s="32"/>
      <c r="BF393" s="32"/>
      <c r="BG393" s="32"/>
      <c r="BH393" s="32"/>
      <c r="BI393" s="32"/>
      <c r="BJ393" s="32"/>
      <c r="BK393" s="32"/>
      <c r="BL393" s="32"/>
      <c r="BM393" s="32"/>
      <c r="BN393" s="32"/>
      <c r="BO393" s="32"/>
      <c r="BP393" s="32"/>
      <c r="BQ393" s="32"/>
      <c r="BR393" s="32"/>
      <c r="BS393" s="32"/>
      <c r="BT393" s="32"/>
      <c r="BU393" s="32"/>
      <c r="BV393" s="32"/>
      <c r="BW393" s="32"/>
      <c r="BX393" s="32"/>
      <c r="BY393" s="32"/>
      <c r="BZ393" s="32"/>
      <c r="CA393" s="32"/>
      <c r="CB393" s="32"/>
      <c r="CC393" s="32"/>
    </row>
    <row r="394" spans="1:81" ht="18">
      <c r="A394" s="28"/>
      <c r="B394" s="29"/>
      <c r="C394" s="29"/>
      <c r="D394" s="29"/>
      <c r="E394" s="30"/>
      <c r="F394" s="30"/>
      <c r="G394" s="29"/>
      <c r="H394" s="40"/>
      <c r="I394" s="28"/>
      <c r="J394" s="28"/>
      <c r="K394" s="132"/>
      <c r="L394" s="133"/>
      <c r="M394" s="133"/>
      <c r="N394" s="133"/>
      <c r="O394" s="31"/>
      <c r="P394" s="28"/>
      <c r="Q394" s="28"/>
      <c r="R394" s="28"/>
      <c r="S394" s="28"/>
      <c r="T394" s="28"/>
      <c r="U394" s="28"/>
      <c r="V394" s="28"/>
      <c r="W394" s="28"/>
      <c r="X394" s="28"/>
      <c r="Y394" s="28"/>
      <c r="Z394" s="28"/>
      <c r="AA394" s="28"/>
      <c r="AB394" s="28"/>
      <c r="AC394" s="28"/>
      <c r="AD394" s="28"/>
      <c r="AE394" s="32"/>
      <c r="AF394" s="32"/>
      <c r="AG394" s="32"/>
      <c r="AH394" s="32"/>
      <c r="AI394" s="32"/>
      <c r="AJ394" s="32"/>
      <c r="AK394" s="32"/>
      <c r="AL394" s="32"/>
      <c r="AM394" s="32"/>
      <c r="AN394" s="32"/>
      <c r="AO394" s="32"/>
      <c r="AP394" s="32"/>
      <c r="AQ394" s="32"/>
      <c r="AR394" s="32"/>
      <c r="AS394" s="32"/>
      <c r="AT394" s="32"/>
      <c r="AU394" s="32"/>
      <c r="AV394" s="32"/>
      <c r="AW394" s="32"/>
      <c r="AX394" s="32"/>
      <c r="AY394" s="32"/>
      <c r="AZ394" s="32"/>
      <c r="BA394" s="32"/>
      <c r="BB394" s="32"/>
      <c r="BC394" s="32"/>
      <c r="BD394" s="32"/>
      <c r="BE394" s="32"/>
      <c r="BF394" s="32"/>
      <c r="BG394" s="32"/>
      <c r="BH394" s="32"/>
      <c r="BI394" s="32"/>
      <c r="BJ394" s="32"/>
      <c r="BK394" s="32"/>
      <c r="BL394" s="32"/>
      <c r="BM394" s="32"/>
      <c r="BN394" s="32"/>
      <c r="BO394" s="32"/>
      <c r="BP394" s="32"/>
      <c r="BQ394" s="32"/>
      <c r="BR394" s="32"/>
      <c r="BS394" s="32"/>
      <c r="BT394" s="32"/>
      <c r="BU394" s="32"/>
      <c r="BV394" s="32"/>
      <c r="BW394" s="32"/>
      <c r="BX394" s="32"/>
      <c r="BY394" s="32"/>
      <c r="BZ394" s="32"/>
      <c r="CA394" s="32"/>
      <c r="CB394" s="32"/>
      <c r="CC394" s="32"/>
    </row>
    <row r="395" spans="1:81" ht="18">
      <c r="A395" s="28"/>
      <c r="B395" s="29"/>
      <c r="C395" s="29"/>
      <c r="D395" s="29"/>
      <c r="E395" s="30"/>
      <c r="F395" s="30"/>
      <c r="G395" s="29"/>
      <c r="H395" s="40"/>
      <c r="I395" s="28"/>
      <c r="J395" s="28"/>
      <c r="K395" s="132"/>
      <c r="L395" s="133"/>
      <c r="M395" s="133"/>
      <c r="N395" s="133"/>
      <c r="O395" s="31"/>
      <c r="P395" s="28"/>
      <c r="Q395" s="28"/>
      <c r="R395" s="28"/>
      <c r="S395" s="28"/>
      <c r="T395" s="28"/>
      <c r="U395" s="28"/>
      <c r="V395" s="28"/>
      <c r="W395" s="28"/>
      <c r="X395" s="28"/>
      <c r="Y395" s="28"/>
      <c r="Z395" s="28"/>
      <c r="AA395" s="28"/>
      <c r="AB395" s="28"/>
      <c r="AC395" s="28"/>
      <c r="AD395" s="28"/>
      <c r="AE395" s="32"/>
      <c r="AF395" s="32"/>
      <c r="AG395" s="32"/>
      <c r="AH395" s="32"/>
      <c r="AI395" s="32"/>
      <c r="AJ395" s="32"/>
      <c r="AK395" s="32"/>
      <c r="AL395" s="32"/>
      <c r="AM395" s="32"/>
      <c r="AN395" s="32"/>
      <c r="AO395" s="32"/>
      <c r="AP395" s="32"/>
      <c r="AQ395" s="32"/>
      <c r="AR395" s="32"/>
      <c r="AS395" s="32"/>
      <c r="AT395" s="32"/>
      <c r="AU395" s="32"/>
      <c r="AV395" s="32"/>
      <c r="AW395" s="32"/>
      <c r="AX395" s="32"/>
      <c r="AY395" s="32"/>
      <c r="AZ395" s="32"/>
      <c r="BA395" s="32"/>
      <c r="BB395" s="32"/>
      <c r="BC395" s="32"/>
      <c r="BD395" s="32"/>
      <c r="BE395" s="32"/>
      <c r="BF395" s="32"/>
      <c r="BG395" s="32"/>
      <c r="BH395" s="32"/>
      <c r="BI395" s="32"/>
      <c r="BJ395" s="32"/>
      <c r="BK395" s="32"/>
      <c r="BL395" s="32"/>
      <c r="BM395" s="32"/>
      <c r="BN395" s="32"/>
      <c r="BO395" s="32"/>
      <c r="BP395" s="32"/>
      <c r="BQ395" s="32"/>
      <c r="BR395" s="32"/>
      <c r="BS395" s="32"/>
      <c r="BT395" s="32"/>
      <c r="BU395" s="32"/>
      <c r="BV395" s="32"/>
      <c r="BW395" s="32"/>
      <c r="BX395" s="32"/>
      <c r="BY395" s="32"/>
      <c r="BZ395" s="32"/>
      <c r="CA395" s="32"/>
      <c r="CB395" s="32"/>
      <c r="CC395" s="32"/>
    </row>
    <row r="396" spans="1:81" ht="18">
      <c r="A396" s="28"/>
      <c r="B396" s="29"/>
      <c r="C396" s="29"/>
      <c r="D396" s="29"/>
      <c r="E396" s="30"/>
      <c r="F396" s="30"/>
      <c r="G396" s="29"/>
      <c r="H396" s="40"/>
      <c r="I396" s="28"/>
      <c r="J396" s="28"/>
      <c r="K396" s="132"/>
      <c r="L396" s="133"/>
      <c r="M396" s="133"/>
      <c r="N396" s="133"/>
      <c r="O396" s="31"/>
      <c r="P396" s="28"/>
      <c r="Q396" s="28"/>
      <c r="R396" s="28"/>
      <c r="S396" s="28"/>
      <c r="T396" s="28"/>
      <c r="U396" s="28"/>
      <c r="V396" s="28"/>
      <c r="W396" s="28"/>
      <c r="X396" s="28"/>
      <c r="Y396" s="28"/>
      <c r="Z396" s="28"/>
      <c r="AA396" s="28"/>
      <c r="AB396" s="28"/>
      <c r="AC396" s="28"/>
      <c r="AD396" s="28"/>
      <c r="AE396" s="32"/>
      <c r="AF396" s="32"/>
      <c r="AG396" s="32"/>
      <c r="AH396" s="32"/>
      <c r="AI396" s="32"/>
      <c r="AJ396" s="32"/>
      <c r="AK396" s="32"/>
      <c r="AL396" s="32"/>
      <c r="AM396" s="32"/>
      <c r="AN396" s="32"/>
      <c r="AO396" s="32"/>
      <c r="AP396" s="32"/>
      <c r="AQ396" s="32"/>
      <c r="AR396" s="32"/>
      <c r="AS396" s="32"/>
      <c r="AT396" s="32"/>
      <c r="AU396" s="32"/>
      <c r="AV396" s="32"/>
      <c r="AW396" s="32"/>
      <c r="AX396" s="32"/>
      <c r="AY396" s="32"/>
      <c r="AZ396" s="32"/>
      <c r="BA396" s="32"/>
      <c r="BB396" s="32"/>
      <c r="BC396" s="32"/>
      <c r="BD396" s="32"/>
      <c r="BE396" s="32"/>
      <c r="BF396" s="32"/>
      <c r="BG396" s="32"/>
      <c r="BH396" s="32"/>
      <c r="BI396" s="32"/>
      <c r="BJ396" s="32"/>
      <c r="BK396" s="32"/>
      <c r="BL396" s="32"/>
      <c r="BM396" s="32"/>
      <c r="BN396" s="32"/>
      <c r="BO396" s="32"/>
      <c r="BP396" s="32"/>
      <c r="BQ396" s="32"/>
      <c r="BR396" s="32"/>
      <c r="BS396" s="32"/>
      <c r="BT396" s="32"/>
      <c r="BU396" s="32"/>
      <c r="BV396" s="32"/>
      <c r="BW396" s="32"/>
      <c r="BX396" s="32"/>
      <c r="BY396" s="32"/>
      <c r="BZ396" s="32"/>
      <c r="CA396" s="32"/>
      <c r="CB396" s="32"/>
      <c r="CC396" s="32"/>
    </row>
    <row r="397" spans="1:81" ht="18">
      <c r="A397" s="28"/>
      <c r="B397" s="29"/>
      <c r="C397" s="29"/>
      <c r="D397" s="29"/>
      <c r="E397" s="30"/>
      <c r="F397" s="30"/>
      <c r="G397" s="29"/>
      <c r="H397" s="40"/>
      <c r="I397" s="28"/>
      <c r="J397" s="28"/>
      <c r="K397" s="132"/>
      <c r="L397" s="133"/>
      <c r="M397" s="133"/>
      <c r="N397" s="133"/>
      <c r="O397" s="31"/>
      <c r="P397" s="28"/>
      <c r="Q397" s="28"/>
      <c r="R397" s="28"/>
      <c r="S397" s="28"/>
      <c r="T397" s="28"/>
      <c r="U397" s="28"/>
      <c r="V397" s="28"/>
      <c r="W397" s="28"/>
      <c r="X397" s="28"/>
      <c r="Y397" s="28"/>
      <c r="Z397" s="28"/>
      <c r="AA397" s="28"/>
      <c r="AB397" s="28"/>
      <c r="AC397" s="28"/>
      <c r="AD397" s="28"/>
      <c r="AE397" s="32"/>
      <c r="AF397" s="32"/>
      <c r="AG397" s="32"/>
      <c r="AH397" s="32"/>
      <c r="AI397" s="32"/>
      <c r="AJ397" s="32"/>
      <c r="AK397" s="32"/>
      <c r="AL397" s="32"/>
      <c r="AM397" s="32"/>
      <c r="AN397" s="32"/>
      <c r="AO397" s="32"/>
      <c r="AP397" s="32"/>
      <c r="AQ397" s="32"/>
      <c r="AR397" s="32"/>
      <c r="AS397" s="32"/>
      <c r="AT397" s="32"/>
      <c r="AU397" s="32"/>
      <c r="AV397" s="32"/>
      <c r="AW397" s="32"/>
      <c r="AX397" s="32"/>
      <c r="AY397" s="32"/>
      <c r="AZ397" s="32"/>
      <c r="BA397" s="32"/>
      <c r="BB397" s="32"/>
      <c r="BC397" s="32"/>
      <c r="BD397" s="32"/>
      <c r="BE397" s="32"/>
      <c r="BF397" s="32"/>
      <c r="BG397" s="32"/>
      <c r="BH397" s="32"/>
      <c r="BI397" s="32"/>
      <c r="BJ397" s="32"/>
      <c r="BK397" s="32"/>
      <c r="BL397" s="32"/>
      <c r="BM397" s="32"/>
      <c r="BN397" s="32"/>
      <c r="BO397" s="32"/>
      <c r="BP397" s="32"/>
      <c r="BQ397" s="32"/>
      <c r="BR397" s="32"/>
      <c r="BS397" s="32"/>
      <c r="BT397" s="32"/>
      <c r="BU397" s="32"/>
      <c r="BV397" s="32"/>
      <c r="BW397" s="32"/>
      <c r="BX397" s="32"/>
      <c r="BY397" s="32"/>
      <c r="BZ397" s="32"/>
      <c r="CA397" s="32"/>
      <c r="CB397" s="32"/>
      <c r="CC397" s="32"/>
    </row>
    <row r="398" spans="1:81" ht="18">
      <c r="A398" s="28"/>
      <c r="B398" s="29"/>
      <c r="C398" s="29"/>
      <c r="D398" s="29"/>
      <c r="E398" s="30"/>
      <c r="F398" s="30"/>
      <c r="G398" s="29"/>
      <c r="H398" s="40"/>
      <c r="I398" s="28"/>
      <c r="J398" s="28"/>
      <c r="K398" s="132"/>
      <c r="L398" s="133"/>
      <c r="M398" s="133"/>
      <c r="N398" s="133"/>
      <c r="O398" s="31"/>
      <c r="P398" s="28"/>
      <c r="Q398" s="28"/>
      <c r="R398" s="28"/>
      <c r="S398" s="28"/>
      <c r="T398" s="28"/>
      <c r="U398" s="28"/>
      <c r="V398" s="28"/>
      <c r="W398" s="28"/>
      <c r="X398" s="28"/>
      <c r="Y398" s="28"/>
      <c r="Z398" s="28"/>
      <c r="AA398" s="28"/>
      <c r="AB398" s="28"/>
      <c r="AC398" s="28"/>
      <c r="AD398" s="28"/>
      <c r="AE398" s="32"/>
      <c r="AF398" s="32"/>
      <c r="AG398" s="32"/>
      <c r="AH398" s="32"/>
      <c r="AI398" s="32"/>
      <c r="AJ398" s="32"/>
      <c r="AK398" s="32"/>
      <c r="AL398" s="32"/>
      <c r="AM398" s="32"/>
      <c r="AN398" s="32"/>
      <c r="AO398" s="32"/>
      <c r="AP398" s="32"/>
      <c r="AQ398" s="32"/>
      <c r="AR398" s="32"/>
      <c r="AS398" s="32"/>
      <c r="AT398" s="32"/>
      <c r="AU398" s="32"/>
      <c r="AV398" s="32"/>
      <c r="AW398" s="32"/>
      <c r="AX398" s="32"/>
      <c r="AY398" s="32"/>
      <c r="AZ398" s="32"/>
      <c r="BA398" s="32"/>
      <c r="BB398" s="32"/>
      <c r="BC398" s="32"/>
      <c r="BD398" s="32"/>
      <c r="BE398" s="32"/>
      <c r="BF398" s="32"/>
      <c r="BG398" s="32"/>
      <c r="BH398" s="32"/>
      <c r="BI398" s="32"/>
      <c r="BJ398" s="32"/>
      <c r="BK398" s="32"/>
      <c r="BL398" s="32"/>
      <c r="BM398" s="32"/>
      <c r="BN398" s="32"/>
      <c r="BO398" s="32"/>
      <c r="BP398" s="32"/>
      <c r="BQ398" s="32"/>
      <c r="BR398" s="32"/>
      <c r="BS398" s="32"/>
      <c r="BT398" s="32"/>
      <c r="BU398" s="32"/>
      <c r="BV398" s="32"/>
      <c r="BW398" s="32"/>
      <c r="BX398" s="32"/>
      <c r="BY398" s="32"/>
      <c r="BZ398" s="32"/>
      <c r="CA398" s="32"/>
      <c r="CB398" s="32"/>
      <c r="CC398" s="32"/>
    </row>
    <row r="399" spans="1:81" ht="18">
      <c r="A399" s="28"/>
      <c r="B399" s="29"/>
      <c r="C399" s="29"/>
      <c r="D399" s="29"/>
      <c r="E399" s="30"/>
      <c r="F399" s="30"/>
      <c r="G399" s="29"/>
      <c r="H399" s="40"/>
      <c r="I399" s="28"/>
      <c r="J399" s="28"/>
      <c r="K399" s="132"/>
      <c r="L399" s="133"/>
      <c r="M399" s="133"/>
      <c r="N399" s="133"/>
      <c r="O399" s="31"/>
      <c r="P399" s="28"/>
      <c r="Q399" s="28"/>
      <c r="R399" s="28"/>
      <c r="S399" s="28"/>
      <c r="T399" s="28"/>
      <c r="U399" s="28"/>
      <c r="V399" s="28"/>
      <c r="W399" s="28"/>
      <c r="X399" s="28"/>
      <c r="Y399" s="28"/>
      <c r="Z399" s="28"/>
      <c r="AA399" s="28"/>
      <c r="AB399" s="28"/>
      <c r="AC399" s="28"/>
      <c r="AD399" s="28"/>
      <c r="AE399" s="32"/>
      <c r="AF399" s="32"/>
      <c r="AG399" s="32"/>
      <c r="AH399" s="32"/>
      <c r="AI399" s="32"/>
      <c r="AJ399" s="32"/>
      <c r="AK399" s="32"/>
      <c r="AL399" s="32"/>
      <c r="AM399" s="32"/>
      <c r="AN399" s="32"/>
      <c r="AO399" s="32"/>
      <c r="AP399" s="32"/>
      <c r="AQ399" s="32"/>
      <c r="AR399" s="32"/>
      <c r="AS399" s="32"/>
      <c r="AT399" s="32"/>
      <c r="AU399" s="32"/>
      <c r="AV399" s="32"/>
      <c r="AW399" s="32"/>
      <c r="AX399" s="32"/>
      <c r="AY399" s="32"/>
      <c r="AZ399" s="32"/>
      <c r="BA399" s="32"/>
      <c r="BB399" s="32"/>
      <c r="BC399" s="32"/>
      <c r="BD399" s="32"/>
      <c r="BE399" s="32"/>
      <c r="BF399" s="32"/>
      <c r="BG399" s="32"/>
      <c r="BH399" s="32"/>
      <c r="BI399" s="32"/>
      <c r="BJ399" s="32"/>
      <c r="BK399" s="32"/>
      <c r="BL399" s="32"/>
      <c r="BM399" s="32"/>
      <c r="BN399" s="32"/>
      <c r="BO399" s="32"/>
      <c r="BP399" s="32"/>
      <c r="BQ399" s="32"/>
      <c r="BR399" s="32"/>
      <c r="BS399" s="32"/>
      <c r="BT399" s="32"/>
      <c r="BU399" s="32"/>
      <c r="BV399" s="32"/>
      <c r="BW399" s="32"/>
      <c r="BX399" s="32"/>
      <c r="BY399" s="32"/>
      <c r="BZ399" s="32"/>
      <c r="CA399" s="32"/>
      <c r="CB399" s="32"/>
      <c r="CC399" s="32"/>
    </row>
    <row r="400" spans="1:81" ht="18">
      <c r="A400" s="28"/>
      <c r="B400" s="29"/>
      <c r="C400" s="29"/>
      <c r="D400" s="29"/>
      <c r="E400" s="30"/>
      <c r="F400" s="30"/>
      <c r="G400" s="29"/>
      <c r="H400" s="40"/>
      <c r="I400" s="28"/>
      <c r="J400" s="28"/>
      <c r="K400" s="132"/>
      <c r="L400" s="133"/>
      <c r="M400" s="133"/>
      <c r="N400" s="133"/>
      <c r="O400" s="31"/>
      <c r="P400" s="28"/>
      <c r="Q400" s="28"/>
      <c r="R400" s="28"/>
      <c r="S400" s="28"/>
      <c r="T400" s="28"/>
      <c r="U400" s="28"/>
      <c r="V400" s="28"/>
      <c r="W400" s="28"/>
      <c r="X400" s="28"/>
      <c r="Y400" s="28"/>
      <c r="Z400" s="28"/>
      <c r="AA400" s="28"/>
      <c r="AB400" s="28"/>
      <c r="AC400" s="28"/>
      <c r="AD400" s="28"/>
      <c r="AE400" s="32"/>
      <c r="AF400" s="32"/>
      <c r="AG400" s="32"/>
      <c r="AH400" s="32"/>
      <c r="AI400" s="32"/>
      <c r="AJ400" s="32"/>
      <c r="AK400" s="32"/>
      <c r="AL400" s="32"/>
      <c r="AM400" s="32"/>
      <c r="AN400" s="32"/>
      <c r="AO400" s="32"/>
      <c r="AP400" s="32"/>
      <c r="AQ400" s="32"/>
      <c r="AR400" s="32"/>
      <c r="AS400" s="32"/>
      <c r="AT400" s="32"/>
      <c r="AU400" s="32"/>
      <c r="AV400" s="32"/>
      <c r="AW400" s="32"/>
      <c r="AX400" s="32"/>
      <c r="AY400" s="32"/>
      <c r="AZ400" s="32"/>
      <c r="BA400" s="32"/>
      <c r="BB400" s="32"/>
      <c r="BC400" s="32"/>
      <c r="BD400" s="32"/>
      <c r="BE400" s="32"/>
      <c r="BF400" s="32"/>
      <c r="BG400" s="32"/>
      <c r="BH400" s="32"/>
      <c r="BI400" s="32"/>
      <c r="BJ400" s="32"/>
      <c r="BK400" s="32"/>
      <c r="BL400" s="32"/>
      <c r="BM400" s="32"/>
      <c r="BN400" s="32"/>
      <c r="BO400" s="32"/>
      <c r="BP400" s="32"/>
      <c r="BQ400" s="32"/>
      <c r="BR400" s="32"/>
      <c r="BS400" s="32"/>
      <c r="BT400" s="32"/>
      <c r="BU400" s="32"/>
      <c r="BV400" s="32"/>
      <c r="BW400" s="32"/>
      <c r="BX400" s="32"/>
      <c r="BY400" s="32"/>
      <c r="BZ400" s="32"/>
      <c r="CA400" s="32"/>
      <c r="CB400" s="32"/>
      <c r="CC400" s="32"/>
    </row>
    <row r="401" spans="1:81" ht="18">
      <c r="A401" s="28"/>
      <c r="B401" s="29"/>
      <c r="C401" s="29"/>
      <c r="D401" s="29"/>
      <c r="E401" s="30"/>
      <c r="F401" s="30"/>
      <c r="G401" s="29"/>
      <c r="H401" s="40"/>
      <c r="I401" s="28"/>
      <c r="J401" s="28"/>
      <c r="K401" s="132"/>
      <c r="L401" s="133"/>
      <c r="M401" s="133"/>
      <c r="N401" s="133"/>
      <c r="O401" s="31"/>
      <c r="P401" s="28"/>
      <c r="Q401" s="28"/>
      <c r="R401" s="28"/>
      <c r="S401" s="28"/>
      <c r="T401" s="28"/>
      <c r="U401" s="28"/>
      <c r="V401" s="28"/>
      <c r="W401" s="28"/>
      <c r="X401" s="28"/>
      <c r="Y401" s="28"/>
      <c r="Z401" s="28"/>
      <c r="AA401" s="28"/>
      <c r="AB401" s="28"/>
      <c r="AC401" s="28"/>
      <c r="AD401" s="28"/>
      <c r="AE401" s="32"/>
      <c r="AF401" s="32"/>
      <c r="AG401" s="32"/>
      <c r="AH401" s="32"/>
      <c r="AI401" s="32"/>
      <c r="AJ401" s="32"/>
      <c r="AK401" s="32"/>
      <c r="AL401" s="32"/>
      <c r="AM401" s="32"/>
      <c r="AN401" s="32"/>
      <c r="AO401" s="32"/>
      <c r="AP401" s="32"/>
      <c r="AQ401" s="32"/>
      <c r="AR401" s="32"/>
      <c r="AS401" s="32"/>
      <c r="AT401" s="32"/>
      <c r="AU401" s="32"/>
      <c r="AV401" s="32"/>
      <c r="AW401" s="32"/>
      <c r="AX401" s="32"/>
      <c r="AY401" s="32"/>
      <c r="AZ401" s="32"/>
      <c r="BA401" s="32"/>
      <c r="BB401" s="32"/>
      <c r="BC401" s="32"/>
      <c r="BD401" s="32"/>
      <c r="BE401" s="32"/>
      <c r="BF401" s="32"/>
      <c r="BG401" s="32"/>
      <c r="BH401" s="32"/>
      <c r="BI401" s="32"/>
      <c r="BJ401" s="32"/>
      <c r="BK401" s="32"/>
      <c r="BL401" s="32"/>
      <c r="BM401" s="32"/>
      <c r="BN401" s="32"/>
      <c r="BO401" s="32"/>
      <c r="BP401" s="32"/>
      <c r="BQ401" s="32"/>
      <c r="BR401" s="32"/>
      <c r="BS401" s="32"/>
      <c r="BT401" s="32"/>
      <c r="BU401" s="32"/>
      <c r="BV401" s="32"/>
      <c r="BW401" s="32"/>
      <c r="BX401" s="32"/>
      <c r="BY401" s="32"/>
      <c r="BZ401" s="32"/>
      <c r="CA401" s="32"/>
      <c r="CB401" s="32"/>
      <c r="CC401" s="32"/>
    </row>
    <row r="402" spans="1:81" ht="18">
      <c r="A402" s="28"/>
      <c r="B402" s="29"/>
      <c r="C402" s="29"/>
      <c r="D402" s="29"/>
      <c r="E402" s="30"/>
      <c r="F402" s="30"/>
      <c r="G402" s="29"/>
      <c r="H402" s="40"/>
      <c r="I402" s="28"/>
      <c r="J402" s="28"/>
      <c r="K402" s="132"/>
      <c r="L402" s="133"/>
      <c r="M402" s="133"/>
      <c r="N402" s="133"/>
      <c r="O402" s="31"/>
      <c r="P402" s="28"/>
      <c r="Q402" s="28"/>
      <c r="R402" s="28"/>
      <c r="S402" s="28"/>
      <c r="T402" s="28"/>
      <c r="U402" s="28"/>
      <c r="V402" s="28"/>
      <c r="W402" s="28"/>
      <c r="X402" s="28"/>
      <c r="Y402" s="28"/>
      <c r="Z402" s="28"/>
      <c r="AA402" s="28"/>
      <c r="AB402" s="28"/>
      <c r="AC402" s="28"/>
      <c r="AD402" s="28"/>
      <c r="AE402" s="32"/>
      <c r="AF402" s="32"/>
      <c r="AG402" s="32"/>
      <c r="AH402" s="32"/>
      <c r="AI402" s="32"/>
      <c r="AJ402" s="32"/>
      <c r="AK402" s="32"/>
      <c r="AL402" s="32"/>
      <c r="AM402" s="32"/>
      <c r="AN402" s="32"/>
      <c r="AO402" s="32"/>
      <c r="AP402" s="32"/>
      <c r="AQ402" s="32"/>
      <c r="AR402" s="32"/>
      <c r="AS402" s="32"/>
      <c r="AT402" s="32"/>
      <c r="AU402" s="32"/>
      <c r="AV402" s="32"/>
      <c r="AW402" s="32"/>
      <c r="AX402" s="32"/>
      <c r="AY402" s="32"/>
      <c r="AZ402" s="32"/>
      <c r="BA402" s="32"/>
      <c r="BB402" s="32"/>
      <c r="BC402" s="32"/>
      <c r="BD402" s="32"/>
      <c r="BE402" s="32"/>
      <c r="BF402" s="32"/>
      <c r="BG402" s="32"/>
      <c r="BH402" s="32"/>
      <c r="BI402" s="32"/>
      <c r="BJ402" s="32"/>
      <c r="BK402" s="32"/>
      <c r="BL402" s="32"/>
      <c r="BM402" s="32"/>
      <c r="BN402" s="32"/>
      <c r="BO402" s="32"/>
      <c r="BP402" s="32"/>
      <c r="BQ402" s="32"/>
      <c r="BR402" s="32"/>
      <c r="BS402" s="32"/>
      <c r="BT402" s="32"/>
      <c r="BU402" s="32"/>
      <c r="BV402" s="32"/>
      <c r="BW402" s="32"/>
      <c r="BX402" s="32"/>
      <c r="BY402" s="32"/>
      <c r="BZ402" s="32"/>
      <c r="CA402" s="32"/>
      <c r="CB402" s="32"/>
      <c r="CC402" s="32"/>
    </row>
    <row r="403" spans="1:81" ht="18">
      <c r="A403" s="28"/>
      <c r="B403" s="29"/>
      <c r="C403" s="29"/>
      <c r="D403" s="29"/>
      <c r="E403" s="30"/>
      <c r="F403" s="30"/>
      <c r="G403" s="29"/>
      <c r="H403" s="40"/>
      <c r="I403" s="28"/>
      <c r="J403" s="28"/>
      <c r="K403" s="132"/>
      <c r="L403" s="133"/>
      <c r="M403" s="133"/>
      <c r="N403" s="133"/>
      <c r="O403" s="31"/>
      <c r="P403" s="28"/>
      <c r="Q403" s="28"/>
      <c r="R403" s="28"/>
      <c r="S403" s="28"/>
      <c r="T403" s="28"/>
      <c r="U403" s="28"/>
      <c r="V403" s="28"/>
      <c r="W403" s="28"/>
      <c r="X403" s="28"/>
      <c r="Y403" s="28"/>
      <c r="Z403" s="28"/>
      <c r="AA403" s="28"/>
      <c r="AB403" s="28"/>
      <c r="AC403" s="28"/>
      <c r="AD403" s="28"/>
      <c r="AE403" s="32"/>
      <c r="AF403" s="32"/>
      <c r="AG403" s="32"/>
      <c r="AH403" s="32"/>
      <c r="AI403" s="32"/>
      <c r="AJ403" s="32"/>
      <c r="AK403" s="32"/>
      <c r="AL403" s="32"/>
      <c r="AM403" s="32"/>
      <c r="AN403" s="32"/>
      <c r="AO403" s="32"/>
      <c r="AP403" s="32"/>
      <c r="AQ403" s="32"/>
      <c r="AR403" s="32"/>
      <c r="AS403" s="32"/>
      <c r="AT403" s="32"/>
      <c r="AU403" s="32"/>
      <c r="AV403" s="32"/>
      <c r="AW403" s="32"/>
      <c r="AX403" s="32"/>
      <c r="AY403" s="32"/>
      <c r="AZ403" s="32"/>
      <c r="BA403" s="32"/>
      <c r="BB403" s="32"/>
      <c r="BC403" s="32"/>
      <c r="BD403" s="32"/>
      <c r="BE403" s="32"/>
      <c r="BF403" s="32"/>
      <c r="BG403" s="32"/>
      <c r="BH403" s="32"/>
      <c r="BI403" s="32"/>
      <c r="BJ403" s="32"/>
      <c r="BK403" s="32"/>
      <c r="BL403" s="32"/>
      <c r="BM403" s="32"/>
      <c r="BN403" s="32"/>
      <c r="BO403" s="32"/>
      <c r="BP403" s="32"/>
      <c r="BQ403" s="32"/>
      <c r="BR403" s="32"/>
      <c r="BS403" s="32"/>
      <c r="BT403" s="32"/>
      <c r="BU403" s="32"/>
      <c r="BV403" s="32"/>
      <c r="BW403" s="32"/>
      <c r="BX403" s="32"/>
      <c r="BY403" s="32"/>
      <c r="BZ403" s="32"/>
      <c r="CA403" s="32"/>
      <c r="CB403" s="32"/>
      <c r="CC403" s="32"/>
    </row>
    <row r="404" spans="1:81" ht="18">
      <c r="A404" s="28"/>
      <c r="B404" s="29"/>
      <c r="C404" s="29"/>
      <c r="D404" s="29"/>
      <c r="E404" s="30"/>
      <c r="F404" s="30"/>
      <c r="G404" s="29"/>
      <c r="H404" s="40"/>
      <c r="I404" s="28"/>
      <c r="J404" s="28"/>
      <c r="K404" s="132"/>
      <c r="L404" s="133"/>
      <c r="M404" s="133"/>
      <c r="N404" s="133"/>
      <c r="O404" s="31"/>
      <c r="P404" s="28"/>
      <c r="Q404" s="28"/>
      <c r="R404" s="28"/>
      <c r="S404" s="28"/>
      <c r="T404" s="28"/>
      <c r="U404" s="28"/>
      <c r="V404" s="28"/>
      <c r="W404" s="28"/>
      <c r="X404" s="28"/>
      <c r="Y404" s="28"/>
      <c r="Z404" s="28"/>
      <c r="AA404" s="28"/>
      <c r="AB404" s="28"/>
      <c r="AC404" s="28"/>
      <c r="AD404" s="28"/>
      <c r="AE404" s="32"/>
      <c r="AF404" s="32"/>
      <c r="AG404" s="32"/>
      <c r="AH404" s="32"/>
      <c r="AI404" s="32"/>
      <c r="AJ404" s="32"/>
      <c r="AK404" s="32"/>
      <c r="AL404" s="32"/>
      <c r="AM404" s="32"/>
      <c r="AN404" s="32"/>
      <c r="AO404" s="32"/>
      <c r="AP404" s="32"/>
      <c r="AQ404" s="32"/>
      <c r="AR404" s="32"/>
      <c r="AS404" s="32"/>
      <c r="AT404" s="32"/>
      <c r="AU404" s="32"/>
      <c r="AV404" s="32"/>
      <c r="AW404" s="32"/>
      <c r="AX404" s="32"/>
      <c r="AY404" s="32"/>
      <c r="AZ404" s="32"/>
      <c r="BA404" s="32"/>
      <c r="BB404" s="32"/>
      <c r="BC404" s="32"/>
      <c r="BD404" s="32"/>
      <c r="BE404" s="32"/>
      <c r="BF404" s="32"/>
      <c r="BG404" s="32"/>
      <c r="BH404" s="32"/>
      <c r="BI404" s="32"/>
      <c r="BJ404" s="32"/>
      <c r="BK404" s="32"/>
      <c r="BL404" s="32"/>
      <c r="BM404" s="32"/>
      <c r="BN404" s="32"/>
      <c r="BO404" s="32"/>
      <c r="BP404" s="32"/>
      <c r="BQ404" s="32"/>
      <c r="BR404" s="32"/>
      <c r="BS404" s="32"/>
      <c r="BT404" s="32"/>
      <c r="BU404" s="32"/>
      <c r="BV404" s="32"/>
      <c r="BW404" s="32"/>
      <c r="BX404" s="32"/>
      <c r="BY404" s="32"/>
      <c r="BZ404" s="32"/>
      <c r="CA404" s="32"/>
      <c r="CB404" s="32"/>
      <c r="CC404" s="32"/>
    </row>
    <row r="405" spans="1:81" ht="18">
      <c r="A405" s="28"/>
      <c r="B405" s="29"/>
      <c r="C405" s="29"/>
      <c r="D405" s="29"/>
      <c r="E405" s="30"/>
      <c r="F405" s="30"/>
      <c r="G405" s="29"/>
      <c r="H405" s="40"/>
      <c r="I405" s="28"/>
      <c r="J405" s="28"/>
      <c r="K405" s="132"/>
      <c r="L405" s="133"/>
      <c r="M405" s="133"/>
      <c r="N405" s="133"/>
      <c r="O405" s="31"/>
      <c r="P405" s="28"/>
      <c r="Q405" s="28"/>
      <c r="R405" s="28"/>
      <c r="S405" s="28"/>
      <c r="T405" s="28"/>
      <c r="U405" s="28"/>
      <c r="V405" s="28"/>
      <c r="W405" s="28"/>
      <c r="X405" s="28"/>
      <c r="Y405" s="28"/>
      <c r="Z405" s="28"/>
      <c r="AA405" s="28"/>
      <c r="AB405" s="28"/>
      <c r="AC405" s="28"/>
      <c r="AD405" s="28"/>
      <c r="AE405" s="32"/>
      <c r="AF405" s="32"/>
      <c r="AG405" s="32"/>
      <c r="AH405" s="32"/>
      <c r="AI405" s="32"/>
      <c r="AJ405" s="32"/>
      <c r="AK405" s="32"/>
      <c r="AL405" s="32"/>
      <c r="AM405" s="32"/>
      <c r="AN405" s="32"/>
      <c r="AO405" s="32"/>
      <c r="AP405" s="32"/>
      <c r="AQ405" s="32"/>
      <c r="AR405" s="32"/>
      <c r="AS405" s="32"/>
      <c r="AT405" s="32"/>
      <c r="AU405" s="32"/>
      <c r="AV405" s="32"/>
      <c r="AW405" s="32"/>
      <c r="AX405" s="32"/>
      <c r="AY405" s="32"/>
      <c r="AZ405" s="32"/>
      <c r="BA405" s="32"/>
      <c r="BB405" s="32"/>
      <c r="BC405" s="32"/>
      <c r="BD405" s="32"/>
      <c r="BE405" s="32"/>
      <c r="BF405" s="32"/>
      <c r="BG405" s="32"/>
      <c r="BH405" s="32"/>
      <c r="BI405" s="32"/>
      <c r="BJ405" s="32"/>
      <c r="BK405" s="32"/>
      <c r="BL405" s="32"/>
      <c r="BM405" s="32"/>
      <c r="BN405" s="32"/>
      <c r="BO405" s="32"/>
      <c r="BP405" s="32"/>
      <c r="BQ405" s="32"/>
      <c r="BR405" s="32"/>
      <c r="BS405" s="32"/>
      <c r="BT405" s="32"/>
      <c r="BU405" s="32"/>
      <c r="BV405" s="32"/>
      <c r="BW405" s="32"/>
      <c r="BX405" s="32"/>
      <c r="BY405" s="32"/>
      <c r="BZ405" s="32"/>
      <c r="CA405" s="32"/>
      <c r="CB405" s="32"/>
      <c r="CC405" s="32"/>
    </row>
    <row r="406" spans="1:81" ht="18">
      <c r="A406" s="28"/>
      <c r="B406" s="29"/>
      <c r="C406" s="29"/>
      <c r="D406" s="29"/>
      <c r="E406" s="30"/>
      <c r="F406" s="30"/>
      <c r="G406" s="29"/>
      <c r="H406" s="40"/>
      <c r="I406" s="28"/>
      <c r="J406" s="28"/>
      <c r="K406" s="132"/>
      <c r="L406" s="133"/>
      <c r="M406" s="133"/>
      <c r="N406" s="133"/>
      <c r="O406" s="31"/>
      <c r="P406" s="28"/>
      <c r="Q406" s="28"/>
      <c r="R406" s="28"/>
      <c r="S406" s="28"/>
      <c r="T406" s="28"/>
      <c r="U406" s="28"/>
      <c r="V406" s="28"/>
      <c r="W406" s="28"/>
      <c r="X406" s="28"/>
      <c r="Y406" s="28"/>
      <c r="Z406" s="28"/>
      <c r="AA406" s="28"/>
      <c r="AB406" s="28"/>
      <c r="AC406" s="28"/>
      <c r="AD406" s="28"/>
      <c r="AE406" s="32"/>
      <c r="AF406" s="32"/>
      <c r="AG406" s="32"/>
      <c r="AH406" s="32"/>
      <c r="AI406" s="32"/>
      <c r="AJ406" s="32"/>
      <c r="AK406" s="32"/>
      <c r="AL406" s="32"/>
      <c r="AM406" s="32"/>
      <c r="AN406" s="32"/>
      <c r="AO406" s="32"/>
      <c r="AP406" s="32"/>
      <c r="AQ406" s="32"/>
      <c r="AR406" s="32"/>
      <c r="AS406" s="32"/>
      <c r="AT406" s="32"/>
      <c r="AU406" s="32"/>
      <c r="AV406" s="32"/>
      <c r="AW406" s="32"/>
      <c r="AX406" s="32"/>
      <c r="AY406" s="32"/>
      <c r="AZ406" s="32"/>
      <c r="BA406" s="32"/>
      <c r="BB406" s="32"/>
      <c r="BC406" s="32"/>
      <c r="BD406" s="32"/>
      <c r="BE406" s="32"/>
      <c r="BF406" s="32"/>
      <c r="BG406" s="32"/>
      <c r="BH406" s="32"/>
      <c r="BI406" s="32"/>
      <c r="BJ406" s="32"/>
      <c r="BK406" s="32"/>
      <c r="BL406" s="32"/>
      <c r="BM406" s="32"/>
      <c r="BN406" s="32"/>
      <c r="BO406" s="32"/>
      <c r="BP406" s="32"/>
      <c r="BQ406" s="32"/>
      <c r="BR406" s="32"/>
      <c r="BS406" s="32"/>
      <c r="BT406" s="32"/>
      <c r="BU406" s="32"/>
      <c r="BV406" s="32"/>
      <c r="BW406" s="32"/>
      <c r="BX406" s="32"/>
      <c r="BY406" s="32"/>
      <c r="BZ406" s="32"/>
      <c r="CA406" s="32"/>
      <c r="CB406" s="32"/>
      <c r="CC406" s="32"/>
    </row>
    <row r="407" spans="1:81" ht="18">
      <c r="A407" s="117"/>
      <c r="B407" s="29"/>
      <c r="C407" s="29"/>
      <c r="D407" s="29"/>
      <c r="E407" s="30"/>
      <c r="F407" s="30"/>
      <c r="G407" s="29"/>
      <c r="H407" s="40"/>
      <c r="I407" s="28"/>
      <c r="J407" s="28"/>
      <c r="K407" s="132"/>
      <c r="L407" s="133"/>
      <c r="M407" s="133"/>
      <c r="N407" s="133"/>
      <c r="O407" s="31"/>
      <c r="P407" s="28"/>
      <c r="Q407" s="28"/>
      <c r="R407" s="28"/>
      <c r="S407" s="28"/>
      <c r="T407" s="28"/>
      <c r="U407" s="28"/>
      <c r="V407" s="28"/>
      <c r="W407" s="28"/>
      <c r="X407" s="28"/>
      <c r="Y407" s="28"/>
      <c r="Z407" s="28"/>
      <c r="AA407" s="28"/>
      <c r="AB407" s="28"/>
      <c r="AC407" s="28"/>
      <c r="AD407" s="28"/>
      <c r="AE407" s="32"/>
      <c r="AF407" s="32"/>
      <c r="AG407" s="32"/>
      <c r="AH407" s="32"/>
      <c r="AI407" s="32"/>
      <c r="AJ407" s="32"/>
      <c r="AK407" s="32"/>
      <c r="AL407" s="32"/>
      <c r="AM407" s="32"/>
      <c r="AN407" s="32"/>
      <c r="AO407" s="32"/>
      <c r="AP407" s="32"/>
      <c r="AQ407" s="32"/>
      <c r="AR407" s="32"/>
      <c r="AS407" s="32"/>
      <c r="AT407" s="32"/>
      <c r="AU407" s="32"/>
      <c r="AV407" s="32"/>
      <c r="AW407" s="32"/>
      <c r="AX407" s="32"/>
      <c r="AY407" s="32"/>
      <c r="AZ407" s="32"/>
      <c r="BA407" s="32"/>
      <c r="BB407" s="32"/>
      <c r="BC407" s="32"/>
      <c r="BD407" s="32"/>
      <c r="BE407" s="32"/>
      <c r="BF407" s="32"/>
      <c r="BG407" s="32"/>
      <c r="BH407" s="32"/>
      <c r="BI407" s="32"/>
      <c r="BJ407" s="32"/>
      <c r="BK407" s="32"/>
      <c r="BL407" s="32"/>
      <c r="BM407" s="32"/>
      <c r="BN407" s="32"/>
      <c r="BO407" s="32"/>
      <c r="BP407" s="32"/>
      <c r="BQ407" s="32"/>
      <c r="BR407" s="32"/>
      <c r="BS407" s="32"/>
      <c r="BT407" s="32"/>
      <c r="BU407" s="32"/>
      <c r="BV407" s="32"/>
      <c r="BW407" s="32"/>
      <c r="BX407" s="32"/>
      <c r="BY407" s="32"/>
      <c r="BZ407" s="32"/>
      <c r="CA407" s="32"/>
      <c r="CB407" s="32"/>
      <c r="CC407" s="32"/>
    </row>
    <row r="408" spans="1:81" ht="18">
      <c r="A408" s="117"/>
      <c r="B408" s="29"/>
      <c r="C408" s="29"/>
      <c r="D408" s="29"/>
      <c r="E408" s="30"/>
      <c r="F408" s="30"/>
      <c r="G408" s="29"/>
      <c r="H408" s="40"/>
      <c r="I408" s="28"/>
      <c r="J408" s="28"/>
      <c r="K408" s="132"/>
      <c r="L408" s="133"/>
      <c r="M408" s="133"/>
      <c r="N408" s="133"/>
      <c r="O408" s="31"/>
      <c r="P408" s="28"/>
      <c r="Q408" s="28"/>
      <c r="R408" s="28"/>
      <c r="S408" s="28"/>
      <c r="T408" s="28"/>
      <c r="U408" s="28"/>
      <c r="V408" s="28"/>
      <c r="W408" s="28"/>
      <c r="X408" s="28"/>
      <c r="Y408" s="28"/>
      <c r="Z408" s="28"/>
      <c r="AA408" s="28"/>
      <c r="AB408" s="28"/>
      <c r="AC408" s="28"/>
      <c r="AD408" s="28"/>
      <c r="AE408" s="32"/>
      <c r="AF408" s="32"/>
      <c r="AG408" s="32"/>
      <c r="AH408" s="32"/>
      <c r="AI408" s="32"/>
      <c r="AJ408" s="32"/>
      <c r="AK408" s="32"/>
      <c r="AL408" s="32"/>
      <c r="AM408" s="32"/>
      <c r="AN408" s="32"/>
      <c r="AO408" s="32"/>
      <c r="AP408" s="32"/>
      <c r="AQ408" s="32"/>
      <c r="AR408" s="32"/>
      <c r="AS408" s="32"/>
      <c r="AT408" s="32"/>
      <c r="AU408" s="32"/>
      <c r="AV408" s="32"/>
      <c r="AW408" s="32"/>
      <c r="AX408" s="32"/>
      <c r="AY408" s="32"/>
      <c r="AZ408" s="32"/>
      <c r="BA408" s="32"/>
      <c r="BB408" s="32"/>
      <c r="BC408" s="32"/>
      <c r="BD408" s="32"/>
      <c r="BE408" s="32"/>
      <c r="BF408" s="32"/>
      <c r="BG408" s="32"/>
      <c r="BH408" s="32"/>
      <c r="BI408" s="32"/>
      <c r="BJ408" s="32"/>
      <c r="BK408" s="32"/>
      <c r="BL408" s="32"/>
      <c r="BM408" s="32"/>
      <c r="BN408" s="32"/>
      <c r="BO408" s="32"/>
      <c r="BP408" s="32"/>
      <c r="BQ408" s="32"/>
      <c r="BR408" s="32"/>
      <c r="BS408" s="32"/>
      <c r="BT408" s="32"/>
      <c r="BU408" s="32"/>
      <c r="BV408" s="32"/>
      <c r="BW408" s="32"/>
      <c r="BX408" s="32"/>
      <c r="BY408" s="32"/>
      <c r="BZ408" s="32"/>
      <c r="CA408" s="32"/>
      <c r="CB408" s="32"/>
      <c r="CC408" s="32"/>
    </row>
    <row r="409" spans="1:81" ht="18">
      <c r="A409" s="117"/>
      <c r="B409" s="29"/>
      <c r="C409" s="29"/>
      <c r="D409" s="29"/>
      <c r="E409" s="30"/>
      <c r="F409" s="30"/>
      <c r="G409" s="29"/>
      <c r="H409" s="40"/>
      <c r="I409" s="28"/>
      <c r="J409" s="28"/>
      <c r="K409" s="132"/>
      <c r="L409" s="133"/>
      <c r="M409" s="133"/>
      <c r="N409" s="133"/>
      <c r="O409" s="31"/>
      <c r="P409" s="28"/>
      <c r="Q409" s="28"/>
      <c r="R409" s="28"/>
      <c r="S409" s="28"/>
      <c r="T409" s="28"/>
      <c r="U409" s="28"/>
      <c r="V409" s="28"/>
      <c r="W409" s="28"/>
      <c r="X409" s="28"/>
      <c r="Y409" s="28"/>
      <c r="Z409" s="28"/>
      <c r="AA409" s="28"/>
      <c r="AB409" s="28"/>
      <c r="AC409" s="28"/>
      <c r="AD409" s="28"/>
      <c r="AE409" s="32"/>
      <c r="AF409" s="32"/>
      <c r="AG409" s="32"/>
      <c r="AH409" s="32"/>
      <c r="AI409" s="32"/>
      <c r="AJ409" s="32"/>
      <c r="AK409" s="32"/>
      <c r="AL409" s="32"/>
      <c r="AM409" s="32"/>
      <c r="AN409" s="32"/>
      <c r="AO409" s="32"/>
      <c r="AP409" s="32"/>
      <c r="AQ409" s="32"/>
      <c r="AR409" s="32"/>
      <c r="AS409" s="32"/>
      <c r="AT409" s="32"/>
      <c r="AU409" s="32"/>
      <c r="AV409" s="32"/>
      <c r="AW409" s="32"/>
      <c r="AX409" s="32"/>
      <c r="AY409" s="32"/>
      <c r="AZ409" s="32"/>
      <c r="BA409" s="32"/>
      <c r="BB409" s="32"/>
      <c r="BC409" s="32"/>
      <c r="BD409" s="32"/>
      <c r="BE409" s="32"/>
      <c r="BF409" s="32"/>
      <c r="BG409" s="32"/>
      <c r="BH409" s="32"/>
      <c r="BI409" s="32"/>
      <c r="BJ409" s="32"/>
      <c r="BK409" s="32"/>
      <c r="BL409" s="32"/>
      <c r="BM409" s="32"/>
      <c r="BN409" s="32"/>
      <c r="BO409" s="32"/>
      <c r="BP409" s="32"/>
      <c r="BQ409" s="32"/>
      <c r="BR409" s="32"/>
      <c r="BS409" s="32"/>
      <c r="BT409" s="32"/>
      <c r="BU409" s="32"/>
      <c r="BV409" s="32"/>
      <c r="BW409" s="32"/>
      <c r="BX409" s="32"/>
      <c r="BY409" s="32"/>
      <c r="BZ409" s="32"/>
      <c r="CA409" s="32"/>
      <c r="CB409" s="32"/>
      <c r="CC409" s="32"/>
    </row>
    <row r="410" spans="1:81" ht="18">
      <c r="A410" s="117"/>
      <c r="B410" s="29"/>
      <c r="C410" s="29"/>
      <c r="D410" s="29"/>
      <c r="E410" s="30"/>
      <c r="F410" s="30"/>
      <c r="G410" s="29"/>
      <c r="H410" s="40"/>
      <c r="I410" s="28"/>
      <c r="J410" s="28"/>
      <c r="K410" s="132"/>
      <c r="L410" s="133"/>
      <c r="M410" s="133"/>
      <c r="N410" s="133"/>
      <c r="O410" s="31"/>
      <c r="P410" s="28"/>
      <c r="Q410" s="28"/>
      <c r="R410" s="28"/>
      <c r="S410" s="28"/>
      <c r="T410" s="28"/>
      <c r="U410" s="28"/>
      <c r="V410" s="28"/>
      <c r="W410" s="28"/>
      <c r="X410" s="28"/>
      <c r="Y410" s="28"/>
      <c r="Z410" s="28"/>
      <c r="AA410" s="28"/>
      <c r="AB410" s="28"/>
      <c r="AC410" s="28"/>
      <c r="AD410" s="28"/>
      <c r="AE410" s="32"/>
      <c r="AF410" s="32"/>
      <c r="AG410" s="32"/>
      <c r="AH410" s="32"/>
      <c r="AI410" s="32"/>
      <c r="AJ410" s="32"/>
      <c r="AK410" s="32"/>
      <c r="AL410" s="32"/>
      <c r="AM410" s="32"/>
      <c r="AN410" s="32"/>
      <c r="AO410" s="32"/>
      <c r="AP410" s="32"/>
      <c r="AQ410" s="32"/>
      <c r="AR410" s="32"/>
      <c r="AS410" s="32"/>
      <c r="AT410" s="32"/>
      <c r="AU410" s="32"/>
      <c r="AV410" s="32"/>
      <c r="AW410" s="32"/>
      <c r="AX410" s="32"/>
      <c r="AY410" s="32"/>
      <c r="AZ410" s="32"/>
      <c r="BA410" s="32"/>
      <c r="BB410" s="32"/>
      <c r="BC410" s="32"/>
      <c r="BD410" s="32"/>
      <c r="BE410" s="32"/>
      <c r="BF410" s="32"/>
      <c r="BG410" s="32"/>
      <c r="BH410" s="32"/>
      <c r="BI410" s="32"/>
      <c r="BJ410" s="32"/>
      <c r="BK410" s="32"/>
      <c r="BL410" s="32"/>
      <c r="BM410" s="32"/>
      <c r="BN410" s="32"/>
      <c r="BO410" s="32"/>
      <c r="BP410" s="32"/>
      <c r="BQ410" s="32"/>
      <c r="BR410" s="32"/>
      <c r="BS410" s="32"/>
      <c r="BT410" s="32"/>
      <c r="BU410" s="32"/>
      <c r="BV410" s="32"/>
      <c r="BW410" s="32"/>
      <c r="BX410" s="32"/>
      <c r="BY410" s="32"/>
      <c r="BZ410" s="32"/>
      <c r="CA410" s="32"/>
      <c r="CB410" s="32"/>
      <c r="CC410" s="32"/>
    </row>
    <row r="411" spans="1:81" ht="18">
      <c r="A411" s="117"/>
      <c r="B411" s="29"/>
      <c r="C411" s="29"/>
      <c r="D411" s="29"/>
      <c r="E411" s="30"/>
      <c r="F411" s="30"/>
      <c r="G411" s="29"/>
      <c r="H411" s="40"/>
      <c r="I411" s="28"/>
      <c r="J411" s="28"/>
      <c r="K411" s="132"/>
      <c r="L411" s="133"/>
      <c r="M411" s="133"/>
      <c r="N411" s="133"/>
      <c r="O411" s="31"/>
      <c r="P411" s="28"/>
      <c r="Q411" s="28"/>
      <c r="R411" s="28"/>
      <c r="S411" s="28"/>
      <c r="T411" s="28"/>
      <c r="U411" s="28"/>
      <c r="V411" s="28"/>
      <c r="W411" s="28"/>
      <c r="X411" s="28"/>
      <c r="Y411" s="28"/>
      <c r="Z411" s="28"/>
      <c r="AA411" s="28"/>
      <c r="AB411" s="28"/>
      <c r="AC411" s="28"/>
      <c r="AD411" s="28"/>
      <c r="AE411" s="32"/>
      <c r="AF411" s="32"/>
      <c r="AG411" s="32"/>
      <c r="AH411" s="32"/>
      <c r="AI411" s="32"/>
      <c r="AJ411" s="32"/>
      <c r="AK411" s="32"/>
      <c r="AL411" s="32"/>
      <c r="AM411" s="32"/>
      <c r="AN411" s="32"/>
      <c r="AO411" s="32"/>
      <c r="AP411" s="32"/>
      <c r="AQ411" s="32"/>
      <c r="AR411" s="32"/>
      <c r="AS411" s="32"/>
      <c r="AT411" s="32"/>
      <c r="AU411" s="32"/>
      <c r="AV411" s="32"/>
      <c r="AW411" s="32"/>
      <c r="AX411" s="32"/>
      <c r="AY411" s="32"/>
      <c r="AZ411" s="32"/>
      <c r="BA411" s="32"/>
      <c r="BB411" s="32"/>
      <c r="BC411" s="32"/>
      <c r="BD411" s="32"/>
      <c r="BE411" s="32"/>
      <c r="BF411" s="32"/>
      <c r="BG411" s="32"/>
      <c r="BH411" s="32"/>
      <c r="BI411" s="32"/>
      <c r="BJ411" s="32"/>
      <c r="BK411" s="32"/>
      <c r="BL411" s="32"/>
      <c r="BM411" s="32"/>
      <c r="BN411" s="32"/>
      <c r="BO411" s="32"/>
      <c r="BP411" s="32"/>
      <c r="BQ411" s="32"/>
      <c r="BR411" s="32"/>
      <c r="BS411" s="32"/>
      <c r="BT411" s="32"/>
      <c r="BU411" s="32"/>
      <c r="BV411" s="32"/>
      <c r="BW411" s="32"/>
      <c r="BX411" s="32"/>
      <c r="BY411" s="32"/>
      <c r="BZ411" s="32"/>
      <c r="CA411" s="32"/>
      <c r="CB411" s="32"/>
      <c r="CC411" s="32"/>
    </row>
    <row r="412" spans="1:81" ht="18">
      <c r="A412" s="117"/>
      <c r="B412" s="29"/>
      <c r="C412" s="29"/>
      <c r="D412" s="29"/>
      <c r="E412" s="30"/>
      <c r="F412" s="30"/>
      <c r="G412" s="29"/>
      <c r="H412" s="40"/>
      <c r="I412" s="28"/>
      <c r="J412" s="28"/>
      <c r="K412" s="132"/>
      <c r="L412" s="133"/>
      <c r="M412" s="133"/>
      <c r="N412" s="133"/>
      <c r="O412" s="31"/>
      <c r="P412" s="28"/>
      <c r="Q412" s="28"/>
      <c r="R412" s="28"/>
      <c r="S412" s="28"/>
      <c r="T412" s="28"/>
      <c r="U412" s="28"/>
      <c r="V412" s="28"/>
      <c r="W412" s="28"/>
      <c r="X412" s="28"/>
      <c r="Y412" s="28"/>
      <c r="Z412" s="28"/>
      <c r="AA412" s="28"/>
      <c r="AB412" s="28"/>
      <c r="AC412" s="28"/>
      <c r="AD412" s="28"/>
      <c r="AE412" s="32"/>
      <c r="AF412" s="32"/>
      <c r="AG412" s="32"/>
      <c r="AH412" s="32"/>
      <c r="AI412" s="32"/>
      <c r="AJ412" s="32"/>
      <c r="AK412" s="32"/>
      <c r="AL412" s="32"/>
      <c r="AM412" s="32"/>
      <c r="AN412" s="32"/>
      <c r="AO412" s="32"/>
      <c r="AP412" s="32"/>
      <c r="AQ412" s="32"/>
      <c r="AR412" s="32"/>
      <c r="AS412" s="32"/>
      <c r="AT412" s="32"/>
      <c r="AU412" s="32"/>
      <c r="AV412" s="32"/>
      <c r="AW412" s="32"/>
      <c r="AX412" s="32"/>
      <c r="AY412" s="32"/>
      <c r="AZ412" s="32"/>
      <c r="BA412" s="32"/>
      <c r="BB412" s="32"/>
      <c r="BC412" s="32"/>
      <c r="BD412" s="32"/>
      <c r="BE412" s="32"/>
      <c r="BF412" s="32"/>
      <c r="BG412" s="32"/>
      <c r="BH412" s="32"/>
      <c r="BI412" s="32"/>
      <c r="BJ412" s="32"/>
      <c r="BK412" s="32"/>
      <c r="BL412" s="32"/>
      <c r="BM412" s="32"/>
      <c r="BN412" s="32"/>
      <c r="BO412" s="32"/>
      <c r="BP412" s="32"/>
      <c r="BQ412" s="32"/>
      <c r="BR412" s="32"/>
      <c r="BS412" s="32"/>
      <c r="BT412" s="32"/>
      <c r="BU412" s="32"/>
      <c r="BV412" s="32"/>
      <c r="BW412" s="32"/>
      <c r="BX412" s="32"/>
      <c r="BY412" s="32"/>
      <c r="BZ412" s="32"/>
      <c r="CA412" s="32"/>
      <c r="CB412" s="32"/>
      <c r="CC412" s="32"/>
    </row>
    <row r="413" spans="1:81" ht="18">
      <c r="A413" s="117"/>
      <c r="B413" s="29"/>
      <c r="C413" s="29"/>
      <c r="D413" s="29"/>
      <c r="E413" s="30"/>
      <c r="F413" s="30"/>
      <c r="G413" s="29"/>
      <c r="H413" s="40"/>
      <c r="I413" s="28"/>
      <c r="J413" s="28"/>
      <c r="K413" s="132"/>
      <c r="L413" s="133"/>
      <c r="M413" s="133"/>
      <c r="N413" s="133"/>
      <c r="O413" s="31"/>
      <c r="P413" s="28"/>
      <c r="Q413" s="28"/>
      <c r="R413" s="28"/>
      <c r="S413" s="28"/>
      <c r="T413" s="28"/>
      <c r="U413" s="28"/>
      <c r="V413" s="28"/>
      <c r="W413" s="28"/>
      <c r="X413" s="28"/>
      <c r="Y413" s="28"/>
      <c r="Z413" s="28"/>
      <c r="AA413" s="28"/>
      <c r="AB413" s="28"/>
      <c r="AC413" s="28"/>
      <c r="AD413" s="28"/>
      <c r="AE413" s="32"/>
      <c r="AF413" s="32"/>
      <c r="AG413" s="32"/>
      <c r="AH413" s="32"/>
      <c r="AI413" s="32"/>
      <c r="AJ413" s="32"/>
      <c r="AK413" s="32"/>
      <c r="AL413" s="32"/>
      <c r="AM413" s="32"/>
      <c r="AN413" s="32"/>
      <c r="AO413" s="32"/>
      <c r="AP413" s="32"/>
      <c r="AQ413" s="32"/>
      <c r="AR413" s="32"/>
      <c r="AS413" s="32"/>
      <c r="AT413" s="32"/>
      <c r="AU413" s="32"/>
      <c r="AV413" s="32"/>
      <c r="AW413" s="32"/>
      <c r="AX413" s="32"/>
      <c r="AY413" s="32"/>
      <c r="AZ413" s="32"/>
      <c r="BA413" s="32"/>
      <c r="BB413" s="32"/>
      <c r="BC413" s="32"/>
      <c r="BD413" s="32"/>
      <c r="BE413" s="32"/>
      <c r="BF413" s="32"/>
      <c r="BG413" s="32"/>
      <c r="BH413" s="32"/>
      <c r="BI413" s="32"/>
      <c r="BJ413" s="32"/>
      <c r="BK413" s="32"/>
      <c r="BL413" s="32"/>
      <c r="BM413" s="32"/>
      <c r="BN413" s="32"/>
      <c r="BO413" s="32"/>
      <c r="BP413" s="32"/>
      <c r="BQ413" s="32"/>
      <c r="BR413" s="32"/>
      <c r="BS413" s="32"/>
      <c r="BT413" s="32"/>
      <c r="BU413" s="32"/>
      <c r="BV413" s="32"/>
      <c r="BW413" s="32"/>
      <c r="BX413" s="32"/>
      <c r="BY413" s="32"/>
      <c r="BZ413" s="32"/>
      <c r="CA413" s="32"/>
      <c r="CB413" s="32"/>
      <c r="CC413" s="32"/>
    </row>
    <row r="414" spans="1:81" ht="18">
      <c r="A414" s="117"/>
      <c r="B414" s="29"/>
      <c r="C414" s="29"/>
      <c r="D414" s="29"/>
      <c r="E414" s="30"/>
      <c r="F414" s="30"/>
      <c r="G414" s="29"/>
      <c r="H414" s="40"/>
      <c r="I414" s="28"/>
      <c r="J414" s="28"/>
      <c r="K414" s="132"/>
      <c r="L414" s="133"/>
      <c r="M414" s="133"/>
      <c r="N414" s="133"/>
      <c r="O414" s="31"/>
      <c r="P414" s="28"/>
      <c r="Q414" s="28"/>
      <c r="R414" s="28"/>
      <c r="S414" s="28"/>
      <c r="T414" s="28"/>
      <c r="U414" s="28"/>
      <c r="V414" s="28"/>
      <c r="W414" s="28"/>
      <c r="X414" s="28"/>
      <c r="Y414" s="28"/>
      <c r="Z414" s="28"/>
      <c r="AA414" s="28"/>
      <c r="AB414" s="28"/>
      <c r="AC414" s="28"/>
      <c r="AD414" s="28"/>
      <c r="AE414" s="32"/>
      <c r="AF414" s="32"/>
      <c r="AG414" s="32"/>
      <c r="AH414" s="32"/>
      <c r="AI414" s="32"/>
      <c r="AJ414" s="32"/>
      <c r="AK414" s="32"/>
      <c r="AL414" s="32"/>
      <c r="AM414" s="32"/>
      <c r="AN414" s="32"/>
      <c r="AO414" s="32"/>
      <c r="AP414" s="32"/>
      <c r="AQ414" s="32"/>
      <c r="AR414" s="32"/>
      <c r="AS414" s="32"/>
      <c r="AT414" s="32"/>
      <c r="AU414" s="32"/>
      <c r="AV414" s="32"/>
      <c r="AW414" s="32"/>
      <c r="AX414" s="32"/>
      <c r="AY414" s="32"/>
      <c r="AZ414" s="32"/>
      <c r="BA414" s="32"/>
      <c r="BB414" s="32"/>
      <c r="BC414" s="32"/>
      <c r="BD414" s="32"/>
      <c r="BE414" s="32"/>
      <c r="BF414" s="32"/>
      <c r="BG414" s="32"/>
      <c r="BH414" s="32"/>
      <c r="BI414" s="32"/>
      <c r="BJ414" s="32"/>
      <c r="BK414" s="32"/>
      <c r="BL414" s="32"/>
      <c r="BM414" s="32"/>
      <c r="BN414" s="32"/>
      <c r="BO414" s="32"/>
      <c r="BP414" s="32"/>
      <c r="BQ414" s="32"/>
      <c r="BR414" s="32"/>
      <c r="BS414" s="32"/>
      <c r="BT414" s="32"/>
      <c r="BU414" s="32"/>
      <c r="BV414" s="32"/>
      <c r="BW414" s="32"/>
      <c r="BX414" s="32"/>
      <c r="BY414" s="32"/>
      <c r="BZ414" s="32"/>
      <c r="CA414" s="32"/>
      <c r="CB414" s="32"/>
      <c r="CC414" s="32"/>
    </row>
    <row r="415" spans="1:81" ht="18">
      <c r="A415" s="117"/>
      <c r="B415" s="29"/>
      <c r="C415" s="29"/>
      <c r="D415" s="29"/>
      <c r="E415" s="30"/>
      <c r="F415" s="30"/>
      <c r="G415" s="29"/>
      <c r="H415" s="40"/>
      <c r="I415" s="28"/>
      <c r="J415" s="28"/>
      <c r="K415" s="132"/>
      <c r="L415" s="133"/>
      <c r="M415" s="133"/>
      <c r="N415" s="133"/>
      <c r="O415" s="31"/>
      <c r="P415" s="28"/>
      <c r="Q415" s="28"/>
      <c r="R415" s="28"/>
      <c r="S415" s="28"/>
      <c r="T415" s="28"/>
      <c r="U415" s="28"/>
      <c r="V415" s="28"/>
      <c r="W415" s="28"/>
      <c r="X415" s="28"/>
      <c r="Y415" s="28"/>
      <c r="Z415" s="28"/>
      <c r="AA415" s="28"/>
      <c r="AB415" s="28"/>
      <c r="AC415" s="28"/>
      <c r="AD415" s="28"/>
      <c r="AE415" s="32"/>
      <c r="AF415" s="32"/>
      <c r="AG415" s="32"/>
      <c r="AH415" s="32"/>
      <c r="AI415" s="32"/>
      <c r="AJ415" s="32"/>
      <c r="AK415" s="32"/>
      <c r="AL415" s="32"/>
      <c r="AM415" s="32"/>
      <c r="AN415" s="32"/>
      <c r="AO415" s="32"/>
      <c r="AP415" s="32"/>
      <c r="AQ415" s="32"/>
      <c r="AR415" s="32"/>
      <c r="AS415" s="32"/>
      <c r="AT415" s="32"/>
      <c r="AU415" s="32"/>
      <c r="AV415" s="32"/>
      <c r="AW415" s="32"/>
      <c r="AX415" s="32"/>
      <c r="AY415" s="32"/>
      <c r="AZ415" s="32"/>
      <c r="BA415" s="32"/>
      <c r="BB415" s="32"/>
      <c r="BC415" s="32"/>
      <c r="BD415" s="32"/>
      <c r="BE415" s="32"/>
      <c r="BF415" s="32"/>
      <c r="BG415" s="32"/>
      <c r="BH415" s="32"/>
      <c r="BI415" s="32"/>
      <c r="BJ415" s="32"/>
      <c r="BK415" s="32"/>
      <c r="BL415" s="32"/>
      <c r="BM415" s="32"/>
      <c r="BN415" s="32"/>
      <c r="BO415" s="32"/>
      <c r="BP415" s="32"/>
      <c r="BQ415" s="32"/>
      <c r="BR415" s="32"/>
      <c r="BS415" s="32"/>
      <c r="BT415" s="32"/>
      <c r="BU415" s="32"/>
      <c r="BV415" s="32"/>
      <c r="BW415" s="32"/>
      <c r="BX415" s="32"/>
      <c r="BY415" s="32"/>
      <c r="BZ415" s="32"/>
      <c r="CA415" s="32"/>
      <c r="CB415" s="32"/>
      <c r="CC415" s="32"/>
    </row>
    <row r="416" spans="1:81" ht="18">
      <c r="A416" s="117"/>
      <c r="B416" s="29"/>
      <c r="C416" s="29"/>
      <c r="D416" s="29"/>
      <c r="E416" s="30"/>
      <c r="F416" s="30"/>
      <c r="G416" s="29"/>
      <c r="H416" s="40"/>
      <c r="I416" s="28"/>
      <c r="J416" s="28"/>
      <c r="K416" s="132"/>
      <c r="L416" s="133"/>
      <c r="M416" s="133"/>
      <c r="N416" s="133"/>
      <c r="O416" s="31"/>
      <c r="P416" s="28"/>
      <c r="Q416" s="28"/>
      <c r="R416" s="28"/>
      <c r="S416" s="28"/>
      <c r="T416" s="28"/>
      <c r="U416" s="28"/>
      <c r="V416" s="28"/>
      <c r="W416" s="28"/>
      <c r="X416" s="28"/>
      <c r="Y416" s="28"/>
      <c r="Z416" s="28"/>
      <c r="AA416" s="28"/>
      <c r="AB416" s="28"/>
      <c r="AC416" s="28"/>
      <c r="AD416" s="28"/>
      <c r="AE416" s="32"/>
      <c r="AF416" s="32"/>
      <c r="AG416" s="32"/>
      <c r="AH416" s="32"/>
      <c r="AI416" s="32"/>
      <c r="AJ416" s="32"/>
      <c r="AK416" s="32"/>
      <c r="AL416" s="32"/>
      <c r="AM416" s="32"/>
      <c r="AN416" s="32"/>
      <c r="AO416" s="32"/>
      <c r="AP416" s="32"/>
      <c r="AQ416" s="32"/>
      <c r="AR416" s="32"/>
      <c r="AS416" s="32"/>
      <c r="AT416" s="32"/>
      <c r="AU416" s="32"/>
      <c r="AV416" s="32"/>
      <c r="AW416" s="32"/>
      <c r="AX416" s="32"/>
      <c r="AY416" s="32"/>
      <c r="AZ416" s="32"/>
      <c r="BA416" s="32"/>
      <c r="BB416" s="32"/>
      <c r="BC416" s="32"/>
      <c r="BD416" s="32"/>
      <c r="BE416" s="32"/>
      <c r="BF416" s="32"/>
      <c r="BG416" s="32"/>
      <c r="BH416" s="32"/>
      <c r="BI416" s="32"/>
      <c r="BJ416" s="32"/>
      <c r="BK416" s="32"/>
      <c r="BL416" s="32"/>
      <c r="BM416" s="32"/>
      <c r="BN416" s="32"/>
      <c r="BO416" s="32"/>
      <c r="BP416" s="32"/>
      <c r="BQ416" s="32"/>
      <c r="BR416" s="32"/>
      <c r="BS416" s="32"/>
      <c r="BT416" s="32"/>
      <c r="BU416" s="32"/>
      <c r="BV416" s="32"/>
      <c r="BW416" s="32"/>
      <c r="BX416" s="32"/>
      <c r="BY416" s="32"/>
      <c r="BZ416" s="32"/>
      <c r="CA416" s="32"/>
      <c r="CB416" s="32"/>
      <c r="CC416" s="32"/>
    </row>
    <row r="417" spans="1:81" ht="18">
      <c r="A417" s="117"/>
      <c r="B417" s="29"/>
      <c r="C417" s="29"/>
      <c r="D417" s="29"/>
      <c r="E417" s="30"/>
      <c r="F417" s="30"/>
      <c r="G417" s="29"/>
      <c r="H417" s="40"/>
      <c r="I417" s="28"/>
      <c r="J417" s="28"/>
      <c r="K417" s="132"/>
      <c r="L417" s="133"/>
      <c r="M417" s="133"/>
      <c r="N417" s="133"/>
      <c r="O417" s="31"/>
      <c r="P417" s="28"/>
      <c r="Q417" s="28"/>
      <c r="R417" s="28"/>
      <c r="S417" s="28"/>
      <c r="T417" s="28"/>
      <c r="U417" s="28"/>
      <c r="V417" s="28"/>
      <c r="W417" s="28"/>
      <c r="X417" s="28"/>
      <c r="Y417" s="28"/>
      <c r="Z417" s="28"/>
      <c r="AA417" s="28"/>
      <c r="AB417" s="28"/>
      <c r="AC417" s="28"/>
      <c r="AD417" s="28"/>
      <c r="AE417" s="32"/>
      <c r="AF417" s="32"/>
      <c r="AG417" s="32"/>
      <c r="AH417" s="32"/>
      <c r="AI417" s="32"/>
      <c r="AJ417" s="32"/>
      <c r="AK417" s="32"/>
      <c r="AL417" s="32"/>
      <c r="AM417" s="32"/>
      <c r="AN417" s="32"/>
      <c r="AO417" s="32"/>
      <c r="AP417" s="32"/>
      <c r="AQ417" s="32"/>
      <c r="AR417" s="32"/>
      <c r="AS417" s="32"/>
      <c r="AT417" s="32"/>
      <c r="AU417" s="32"/>
      <c r="AV417" s="32"/>
      <c r="AW417" s="32"/>
      <c r="AX417" s="32"/>
      <c r="AY417" s="32"/>
      <c r="AZ417" s="32"/>
      <c r="BA417" s="32"/>
      <c r="BB417" s="32"/>
      <c r="BC417" s="32"/>
      <c r="BD417" s="32"/>
      <c r="BE417" s="32"/>
      <c r="BF417" s="32"/>
      <c r="BG417" s="32"/>
      <c r="BH417" s="32"/>
      <c r="BI417" s="32"/>
      <c r="BJ417" s="32"/>
      <c r="BK417" s="32"/>
      <c r="BL417" s="32"/>
      <c r="BM417" s="32"/>
      <c r="BN417" s="32"/>
      <c r="BO417" s="32"/>
      <c r="BP417" s="32"/>
      <c r="BQ417" s="32"/>
      <c r="BR417" s="32"/>
      <c r="BS417" s="32"/>
      <c r="BT417" s="32"/>
      <c r="BU417" s="32"/>
      <c r="BV417" s="32"/>
      <c r="BW417" s="32"/>
      <c r="BX417" s="32"/>
      <c r="BY417" s="32"/>
      <c r="BZ417" s="32"/>
      <c r="CA417" s="32"/>
      <c r="CB417" s="32"/>
      <c r="CC417" s="32"/>
    </row>
    <row r="418" spans="1:81" ht="18">
      <c r="A418" s="117"/>
      <c r="B418" s="29"/>
      <c r="C418" s="29"/>
      <c r="D418" s="29"/>
      <c r="E418" s="30"/>
      <c r="F418" s="30"/>
      <c r="G418" s="29"/>
      <c r="H418" s="40"/>
      <c r="I418" s="28"/>
      <c r="J418" s="28"/>
      <c r="K418" s="132"/>
      <c r="L418" s="133"/>
      <c r="M418" s="133"/>
      <c r="N418" s="133"/>
      <c r="O418" s="31"/>
      <c r="P418" s="28"/>
      <c r="Q418" s="28"/>
      <c r="R418" s="28"/>
      <c r="S418" s="28"/>
      <c r="T418" s="28"/>
      <c r="U418" s="28"/>
      <c r="V418" s="28"/>
      <c r="W418" s="28"/>
      <c r="X418" s="28"/>
      <c r="Y418" s="28"/>
      <c r="Z418" s="28"/>
      <c r="AA418" s="28"/>
      <c r="AB418" s="28"/>
      <c r="AC418" s="28"/>
      <c r="AD418" s="28"/>
      <c r="AE418" s="32"/>
      <c r="AF418" s="32"/>
      <c r="AG418" s="32"/>
      <c r="AH418" s="32"/>
      <c r="AI418" s="32"/>
      <c r="AJ418" s="32"/>
      <c r="AK418" s="32"/>
      <c r="AL418" s="32"/>
      <c r="AM418" s="32"/>
      <c r="AN418" s="32"/>
      <c r="AO418" s="32"/>
      <c r="AP418" s="32"/>
      <c r="AQ418" s="32"/>
      <c r="AR418" s="32"/>
      <c r="AS418" s="32"/>
      <c r="AT418" s="32"/>
      <c r="AU418" s="32"/>
      <c r="AV418" s="32"/>
      <c r="AW418" s="32"/>
      <c r="AX418" s="32"/>
      <c r="AY418" s="32"/>
      <c r="AZ418" s="32"/>
      <c r="BA418" s="32"/>
      <c r="BB418" s="32"/>
      <c r="BC418" s="32"/>
      <c r="BD418" s="32"/>
      <c r="BE418" s="32"/>
      <c r="BF418" s="32"/>
      <c r="BG418" s="32"/>
      <c r="BH418" s="32"/>
      <c r="BI418" s="32"/>
      <c r="BJ418" s="32"/>
      <c r="BK418" s="32"/>
      <c r="BL418" s="32"/>
      <c r="BM418" s="32"/>
      <c r="BN418" s="32"/>
      <c r="BO418" s="32"/>
      <c r="BP418" s="32"/>
      <c r="BQ418" s="32"/>
      <c r="BR418" s="32"/>
      <c r="BS418" s="32"/>
      <c r="BT418" s="32"/>
      <c r="BU418" s="32"/>
      <c r="BV418" s="32"/>
      <c r="BW418" s="32"/>
      <c r="BX418" s="32"/>
      <c r="BY418" s="32"/>
      <c r="BZ418" s="32"/>
      <c r="CA418" s="32"/>
      <c r="CB418" s="32"/>
      <c r="CC418" s="32"/>
    </row>
    <row r="419" spans="1:81" ht="18">
      <c r="A419" s="117"/>
      <c r="B419" s="29"/>
      <c r="C419" s="29"/>
      <c r="D419" s="29"/>
      <c r="E419" s="30"/>
      <c r="F419" s="30"/>
      <c r="G419" s="29"/>
      <c r="H419" s="40"/>
      <c r="I419" s="28"/>
      <c r="J419" s="28"/>
      <c r="K419" s="132"/>
      <c r="L419" s="133"/>
      <c r="M419" s="133"/>
      <c r="N419" s="133"/>
      <c r="O419" s="31"/>
      <c r="P419" s="28"/>
      <c r="Q419" s="28"/>
      <c r="R419" s="28"/>
      <c r="S419" s="28"/>
      <c r="T419" s="28"/>
      <c r="U419" s="28"/>
      <c r="V419" s="28"/>
      <c r="W419" s="28"/>
      <c r="X419" s="28"/>
      <c r="Y419" s="28"/>
      <c r="Z419" s="28"/>
      <c r="AA419" s="28"/>
      <c r="AB419" s="28"/>
      <c r="AC419" s="28"/>
      <c r="AD419" s="28"/>
      <c r="AE419" s="32"/>
      <c r="AF419" s="32"/>
      <c r="AG419" s="32"/>
      <c r="AH419" s="32"/>
      <c r="AI419" s="32"/>
      <c r="AJ419" s="32"/>
      <c r="AK419" s="32"/>
      <c r="AL419" s="32"/>
      <c r="AM419" s="32"/>
      <c r="AN419" s="32"/>
      <c r="AO419" s="32"/>
      <c r="AP419" s="32"/>
      <c r="AQ419" s="32"/>
      <c r="AR419" s="32"/>
      <c r="AS419" s="32"/>
      <c r="AT419" s="32"/>
      <c r="AU419" s="32"/>
      <c r="AV419" s="32"/>
      <c r="AW419" s="32"/>
      <c r="AX419" s="32"/>
      <c r="AY419" s="32"/>
      <c r="AZ419" s="32"/>
      <c r="BA419" s="32"/>
      <c r="BB419" s="32"/>
      <c r="BC419" s="32"/>
      <c r="BD419" s="32"/>
      <c r="BE419" s="32"/>
      <c r="BF419" s="32"/>
      <c r="BG419" s="32"/>
      <c r="BH419" s="32"/>
      <c r="BI419" s="32"/>
      <c r="BJ419" s="32"/>
      <c r="BK419" s="32"/>
      <c r="BL419" s="32"/>
      <c r="BM419" s="32"/>
      <c r="BN419" s="32"/>
      <c r="BO419" s="32"/>
      <c r="BP419" s="32"/>
      <c r="BQ419" s="32"/>
      <c r="BR419" s="32"/>
      <c r="BS419" s="32"/>
      <c r="BT419" s="32"/>
      <c r="BU419" s="32"/>
      <c r="BV419" s="32"/>
      <c r="BW419" s="32"/>
      <c r="BX419" s="32"/>
      <c r="BY419" s="32"/>
      <c r="BZ419" s="32"/>
      <c r="CA419" s="32"/>
      <c r="CB419" s="32"/>
      <c r="CC419" s="32"/>
    </row>
    <row r="420" spans="1:81" ht="18">
      <c r="A420" s="117"/>
      <c r="B420" s="29"/>
      <c r="C420" s="29"/>
      <c r="D420" s="29"/>
      <c r="E420" s="30"/>
      <c r="F420" s="30"/>
      <c r="G420" s="29"/>
      <c r="H420" s="40"/>
      <c r="I420" s="28"/>
      <c r="J420" s="28"/>
      <c r="K420" s="132"/>
      <c r="L420" s="133"/>
      <c r="M420" s="133"/>
      <c r="N420" s="133"/>
      <c r="O420" s="31"/>
      <c r="P420" s="28"/>
      <c r="Q420" s="28"/>
      <c r="R420" s="28"/>
      <c r="S420" s="28"/>
      <c r="T420" s="28"/>
      <c r="U420" s="28"/>
      <c r="V420" s="28"/>
      <c r="W420" s="28"/>
      <c r="X420" s="28"/>
      <c r="Y420" s="28"/>
      <c r="Z420" s="28"/>
      <c r="AA420" s="28"/>
      <c r="AB420" s="28"/>
      <c r="AC420" s="28"/>
      <c r="AD420" s="28"/>
      <c r="AE420" s="32"/>
      <c r="AF420" s="32"/>
      <c r="AG420" s="32"/>
      <c r="AH420" s="32"/>
      <c r="AI420" s="32"/>
      <c r="AJ420" s="32"/>
      <c r="AK420" s="32"/>
      <c r="AL420" s="32"/>
      <c r="AM420" s="32"/>
      <c r="AN420" s="32"/>
      <c r="AO420" s="32"/>
      <c r="AP420" s="32"/>
      <c r="AQ420" s="32"/>
      <c r="AR420" s="32"/>
      <c r="AS420" s="32"/>
      <c r="AT420" s="32"/>
      <c r="AU420" s="32"/>
      <c r="AV420" s="32"/>
      <c r="AW420" s="32"/>
      <c r="AX420" s="32"/>
      <c r="AY420" s="32"/>
      <c r="AZ420" s="32"/>
      <c r="BA420" s="32"/>
      <c r="BB420" s="32"/>
      <c r="BC420" s="32"/>
      <c r="BD420" s="32"/>
      <c r="BE420" s="32"/>
      <c r="BF420" s="32"/>
      <c r="BG420" s="32"/>
      <c r="BH420" s="32"/>
      <c r="BI420" s="32"/>
      <c r="BJ420" s="32"/>
      <c r="BK420" s="32"/>
      <c r="BL420" s="32"/>
      <c r="BM420" s="32"/>
      <c r="BN420" s="32"/>
      <c r="BO420" s="32"/>
      <c r="BP420" s="32"/>
      <c r="BQ420" s="32"/>
      <c r="BR420" s="32"/>
      <c r="BS420" s="32"/>
      <c r="BT420" s="32"/>
      <c r="BU420" s="32"/>
      <c r="BV420" s="32"/>
      <c r="BW420" s="32"/>
      <c r="BX420" s="32"/>
      <c r="BY420" s="32"/>
      <c r="BZ420" s="32"/>
      <c r="CA420" s="32"/>
      <c r="CB420" s="32"/>
      <c r="CC420" s="32"/>
    </row>
    <row r="421" spans="1:81" ht="18">
      <c r="A421" s="117"/>
      <c r="B421" s="29"/>
      <c r="C421" s="29"/>
      <c r="D421" s="29"/>
      <c r="E421" s="30"/>
      <c r="F421" s="30"/>
      <c r="G421" s="29"/>
      <c r="H421" s="40"/>
      <c r="I421" s="28"/>
      <c r="J421" s="28"/>
      <c r="K421" s="132"/>
      <c r="L421" s="133"/>
      <c r="M421" s="133"/>
      <c r="N421" s="133"/>
      <c r="O421" s="31"/>
      <c r="P421" s="28"/>
      <c r="Q421" s="28"/>
      <c r="R421" s="28"/>
      <c r="S421" s="28"/>
      <c r="T421" s="28"/>
      <c r="U421" s="28"/>
      <c r="V421" s="28"/>
      <c r="W421" s="28"/>
      <c r="X421" s="28"/>
      <c r="Y421" s="28"/>
      <c r="Z421" s="28"/>
      <c r="AA421" s="28"/>
      <c r="AB421" s="28"/>
      <c r="AC421" s="28"/>
      <c r="AD421" s="28"/>
      <c r="AE421" s="32"/>
      <c r="AF421" s="32"/>
      <c r="AG421" s="32"/>
      <c r="AH421" s="32"/>
      <c r="AI421" s="32"/>
      <c r="AJ421" s="32"/>
      <c r="AK421" s="32"/>
      <c r="AL421" s="32"/>
      <c r="AM421" s="32"/>
      <c r="AN421" s="32"/>
      <c r="AO421" s="32"/>
      <c r="AP421" s="32"/>
      <c r="AQ421" s="32"/>
      <c r="AR421" s="32"/>
      <c r="AS421" s="32"/>
      <c r="AT421" s="32"/>
      <c r="AU421" s="32"/>
      <c r="AV421" s="32"/>
      <c r="AW421" s="32"/>
      <c r="AX421" s="32"/>
      <c r="AY421" s="32"/>
      <c r="AZ421" s="32"/>
      <c r="BA421" s="32"/>
      <c r="BB421" s="32"/>
      <c r="BC421" s="32"/>
      <c r="BD421" s="32"/>
      <c r="BE421" s="32"/>
      <c r="BF421" s="32"/>
      <c r="BG421" s="32"/>
      <c r="BH421" s="32"/>
      <c r="BI421" s="32"/>
      <c r="BJ421" s="32"/>
      <c r="BK421" s="32"/>
      <c r="BL421" s="32"/>
      <c r="BM421" s="32"/>
      <c r="BN421" s="32"/>
      <c r="BO421" s="32"/>
      <c r="BP421" s="32"/>
      <c r="BQ421" s="32"/>
      <c r="BR421" s="32"/>
      <c r="BS421" s="32"/>
      <c r="BT421" s="32"/>
      <c r="BU421" s="32"/>
      <c r="BV421" s="32"/>
      <c r="BW421" s="32"/>
      <c r="BX421" s="32"/>
      <c r="BY421" s="32"/>
      <c r="BZ421" s="32"/>
      <c r="CA421" s="32"/>
      <c r="CB421" s="32"/>
      <c r="CC421" s="32"/>
    </row>
    <row r="422" spans="1:81" ht="18">
      <c r="A422" s="117"/>
      <c r="B422" s="29"/>
      <c r="C422" s="29"/>
      <c r="D422" s="29"/>
      <c r="E422" s="30"/>
      <c r="F422" s="30"/>
      <c r="G422" s="29"/>
      <c r="H422" s="40"/>
      <c r="I422" s="28"/>
      <c r="J422" s="28"/>
      <c r="K422" s="132"/>
      <c r="L422" s="133"/>
      <c r="M422" s="133"/>
      <c r="N422" s="133"/>
      <c r="O422" s="31"/>
      <c r="P422" s="28"/>
      <c r="Q422" s="28"/>
      <c r="R422" s="28"/>
      <c r="S422" s="28"/>
      <c r="T422" s="28"/>
      <c r="U422" s="28"/>
      <c r="V422" s="28"/>
      <c r="W422" s="28"/>
      <c r="X422" s="28"/>
      <c r="Y422" s="28"/>
      <c r="Z422" s="28"/>
      <c r="AA422" s="28"/>
      <c r="AB422" s="28"/>
      <c r="AC422" s="28"/>
      <c r="AD422" s="28"/>
      <c r="AE422" s="32"/>
      <c r="AF422" s="32"/>
      <c r="AG422" s="32"/>
      <c r="AH422" s="32"/>
      <c r="AI422" s="32"/>
      <c r="AJ422" s="32"/>
      <c r="AK422" s="32"/>
      <c r="AL422" s="32"/>
      <c r="AM422" s="32"/>
      <c r="AN422" s="32"/>
      <c r="AO422" s="32"/>
      <c r="AP422" s="32"/>
      <c r="AQ422" s="32"/>
      <c r="AR422" s="32"/>
      <c r="AS422" s="32"/>
      <c r="AT422" s="32"/>
      <c r="AU422" s="32"/>
      <c r="AV422" s="32"/>
      <c r="AW422" s="32"/>
      <c r="AX422" s="32"/>
      <c r="AY422" s="32"/>
      <c r="AZ422" s="32"/>
      <c r="BA422" s="32"/>
      <c r="BB422" s="32"/>
      <c r="BC422" s="32"/>
      <c r="BD422" s="32"/>
      <c r="BE422" s="32"/>
      <c r="BF422" s="32"/>
      <c r="BG422" s="32"/>
      <c r="BH422" s="32"/>
      <c r="BI422" s="32"/>
      <c r="BJ422" s="32"/>
      <c r="BK422" s="32"/>
      <c r="BL422" s="32"/>
      <c r="BM422" s="32"/>
      <c r="BN422" s="32"/>
      <c r="BO422" s="32"/>
      <c r="BP422" s="32"/>
      <c r="BQ422" s="32"/>
      <c r="BR422" s="32"/>
      <c r="BS422" s="32"/>
      <c r="BT422" s="32"/>
      <c r="BU422" s="32"/>
      <c r="BV422" s="32"/>
      <c r="BW422" s="32"/>
      <c r="BX422" s="32"/>
      <c r="BY422" s="32"/>
      <c r="BZ422" s="32"/>
      <c r="CA422" s="32"/>
      <c r="CB422" s="32"/>
      <c r="CC422" s="32"/>
    </row>
  </sheetData>
  <autoFilter ref="A2:CN201" xr:uid="{00000000-0001-0000-0100-000000000000}"/>
  <mergeCells count="8">
    <mergeCell ref="BB1:BN1"/>
    <mergeCell ref="BO1:BU1"/>
    <mergeCell ref="AW1:AY1"/>
    <mergeCell ref="J1:N1"/>
    <mergeCell ref="B1:H1"/>
    <mergeCell ref="P1:W1"/>
    <mergeCell ref="X1:AL1"/>
    <mergeCell ref="AM1:AV1"/>
  </mergeCells>
  <phoneticPr fontId="10" type="noConversion"/>
  <pageMargins left="0.7" right="0.7" top="0.75" bottom="0.75" header="0.3" footer="0.3"/>
  <pageSetup paperSize="9"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200"/>
  <sheetViews>
    <sheetView zoomScaleNormal="100" zoomScaleSheetLayoutView="100" workbookViewId="0">
      <selection activeCell="B7" sqref="B7"/>
    </sheetView>
  </sheetViews>
  <sheetFormatPr baseColWidth="10" defaultColWidth="8.6640625" defaultRowHeight="15"/>
  <cols>
    <col min="1" max="3" width="13" customWidth="1"/>
    <col min="4" max="4" width="18.5" customWidth="1"/>
    <col min="5" max="26" width="13" customWidth="1"/>
  </cols>
  <sheetData>
    <row r="1" spans="1:26" ht="16">
      <c r="A1" s="4" t="s">
        <v>1</v>
      </c>
      <c r="B1" s="5" t="s">
        <v>2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ht="16">
      <c r="A2" s="4" t="s">
        <v>3</v>
      </c>
      <c r="B2" s="6">
        <f>SUM(全车数据表!AM3:AM96)*4</f>
        <v>6787000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ht="16">
      <c r="A3" s="4" t="s">
        <v>4</v>
      </c>
      <c r="B3" s="6">
        <f>SUM(全车数据表!AO3:AO96)*4</f>
        <v>13574000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ht="16">
      <c r="A4" s="4" t="s">
        <v>5</v>
      </c>
      <c r="B4" s="6">
        <f>SUM(全车数据表!AU3:AU96)</f>
        <v>158954000</v>
      </c>
      <c r="C4" s="3"/>
      <c r="D4" s="4" t="s">
        <v>6</v>
      </c>
      <c r="E4" s="7">
        <f ca="1">B4/DATEDIF(DATE(2019,8,8),TODAY(),"d")</f>
        <v>65278.850102669407</v>
      </c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 ht="16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ht="16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ht="16">
      <c r="A7" s="3"/>
      <c r="B7" s="3">
        <f>A7</f>
        <v>0</v>
      </c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ht="16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 ht="16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 ht="16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 ht="16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ht="16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ht="16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ht="16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ht="16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ht="16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ht="16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ht="16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ht="16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ht="16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ht="16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ht="16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ht="16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ht="16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ht="16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ht="16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ht="16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 ht="16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ht="16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 ht="16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ht="16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 ht="16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 ht="16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 ht="16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 ht="16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ht="16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ht="16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ht="16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ht="16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ht="16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ht="16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 ht="16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 ht="16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 ht="16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 ht="16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 ht="16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 ht="16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 ht="16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 ht="16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 ht="16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 ht="16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 ht="16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 ht="16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 ht="16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 ht="16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 ht="16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 ht="16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 ht="16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 ht="16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 ht="16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 ht="16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 ht="16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 ht="16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 ht="16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 ht="16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 ht="16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 ht="16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 ht="16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 ht="16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 ht="16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 ht="16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 ht="16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 ht="16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 ht="16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 ht="16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 ht="16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 ht="16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 ht="16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 ht="16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 ht="16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 ht="16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 ht="16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 ht="16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 ht="16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 ht="16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 ht="16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 ht="16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 ht="16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 ht="16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 ht="16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 ht="16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 ht="16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 ht="16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 ht="16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 ht="16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 ht="16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 ht="16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 ht="16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 ht="16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 ht="16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 ht="16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 ht="16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 ht="16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 ht="16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 ht="16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 ht="1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 ht="16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 ht="16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 ht="16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 ht="16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 ht="16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 ht="16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 ht="16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 ht="16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 ht="16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 ht="1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 ht="16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 ht="16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 ht="16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 ht="16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 ht="16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 ht="16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 ht="16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 ht="16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 ht="16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 ht="1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 ht="16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 ht="16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 ht="16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 ht="16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 ht="16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 ht="16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 ht="16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 ht="16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 ht="16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 ht="1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 ht="16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 ht="16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 ht="16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 ht="16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 ht="16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 ht="16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 ht="16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 ht="16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 ht="16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 ht="1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 ht="16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 ht="16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 ht="16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 ht="16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 ht="16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 ht="16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 ht="16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 ht="16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 ht="16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 ht="1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 ht="16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 ht="16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 ht="16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 ht="16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 ht="16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 ht="16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 ht="16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 ht="16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 ht="16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 ht="1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 ht="16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 ht="16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 ht="16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 ht="16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 ht="16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 ht="16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 ht="16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 ht="16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 ht="16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 ht="1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 ht="16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 ht="16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 ht="16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 ht="16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 ht="16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 ht="16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 ht="16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 ht="16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 ht="16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 ht="1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 ht="16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 ht="16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 ht="16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 ht="16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 ht="16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 ht="16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 ht="16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 ht="16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 ht="16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 ht="1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 ht="16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 ht="16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 ht="16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 ht="16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</sheetData>
  <phoneticPr fontId="10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04D6AF-9F94-439A-BD29-4F9348DA2D92}">
  <dimension ref="A1:BB325"/>
  <sheetViews>
    <sheetView tabSelected="1" topLeftCell="A315" workbookViewId="0">
      <selection activeCell="I344" sqref="I344"/>
    </sheetView>
  </sheetViews>
  <sheetFormatPr baseColWidth="10" defaultColWidth="8.6640625" defaultRowHeight="18"/>
  <cols>
    <col min="1" max="1" width="9" style="88" bestFit="1" customWidth="1"/>
    <col min="2" max="2" width="47.5" style="88" customWidth="1"/>
    <col min="3" max="3" width="14.6640625" style="88" customWidth="1"/>
    <col min="4" max="4" width="15.5" style="88" customWidth="1"/>
    <col min="5" max="5" width="17.5" style="88" customWidth="1"/>
    <col min="6" max="7" width="8.6640625" style="88"/>
    <col min="8" max="8" width="9" style="88" bestFit="1" customWidth="1"/>
    <col min="9" max="9" width="8.6640625" style="88"/>
    <col min="10" max="21" width="9" style="88" bestFit="1" customWidth="1"/>
    <col min="22" max="22" width="11" style="88" bestFit="1" customWidth="1"/>
    <col min="23" max="23" width="11" style="88" customWidth="1"/>
    <col min="24" max="24" width="11" style="88" bestFit="1" customWidth="1"/>
    <col min="25" max="25" width="12.6640625" style="88" customWidth="1"/>
    <col min="26" max="31" width="9" style="88" bestFit="1" customWidth="1"/>
    <col min="32" max="32" width="15" style="88" customWidth="1"/>
    <col min="33" max="41" width="9" style="88" bestFit="1" customWidth="1"/>
    <col min="42" max="42" width="8.6640625" style="88"/>
    <col min="43" max="47" width="9" style="88" bestFit="1" customWidth="1"/>
    <col min="48" max="48" width="8.6640625" style="88"/>
    <col min="49" max="49" width="9" style="88" bestFit="1" customWidth="1"/>
    <col min="50" max="50" width="8.6640625" style="88"/>
    <col min="51" max="52" width="9" style="88" bestFit="1" customWidth="1"/>
    <col min="53" max="53" width="20.6640625" style="88" customWidth="1"/>
    <col min="54" max="54" width="9" style="91" bestFit="1" customWidth="1"/>
    <col min="55" max="16384" width="8.6640625" style="88"/>
  </cols>
  <sheetData>
    <row r="1" spans="1:54">
      <c r="A1" s="85" t="s">
        <v>7</v>
      </c>
      <c r="B1" s="85" t="s">
        <v>8</v>
      </c>
      <c r="C1" s="85" t="s">
        <v>394</v>
      </c>
      <c r="D1" s="86" t="s">
        <v>9</v>
      </c>
      <c r="E1" s="86" t="s">
        <v>10</v>
      </c>
      <c r="F1" s="85" t="s">
        <v>11</v>
      </c>
      <c r="G1" s="85" t="s">
        <v>12</v>
      </c>
      <c r="H1" s="85" t="s">
        <v>13</v>
      </c>
      <c r="I1" s="85" t="s">
        <v>417</v>
      </c>
      <c r="J1" s="85" t="s">
        <v>14</v>
      </c>
      <c r="K1" s="85" t="s">
        <v>15</v>
      </c>
      <c r="L1" s="85" t="s">
        <v>16</v>
      </c>
      <c r="M1" s="85" t="s">
        <v>17</v>
      </c>
      <c r="N1" s="85" t="s">
        <v>18</v>
      </c>
      <c r="O1" s="85" t="s">
        <v>19</v>
      </c>
      <c r="P1" s="85" t="s">
        <v>20</v>
      </c>
      <c r="Q1" s="87" t="s">
        <v>21</v>
      </c>
      <c r="R1" s="87" t="s">
        <v>22</v>
      </c>
      <c r="S1" s="87" t="s">
        <v>23</v>
      </c>
      <c r="T1" s="87" t="s">
        <v>24</v>
      </c>
      <c r="U1" s="87" t="s">
        <v>25</v>
      </c>
      <c r="V1" s="85" t="s">
        <v>26</v>
      </c>
      <c r="W1" s="85" t="s">
        <v>1067</v>
      </c>
      <c r="X1" s="85" t="s">
        <v>27</v>
      </c>
      <c r="Y1" s="85" t="s">
        <v>629</v>
      </c>
      <c r="Z1" s="85" t="s">
        <v>28</v>
      </c>
      <c r="AA1" s="85" t="s">
        <v>29</v>
      </c>
      <c r="AB1" s="85" t="s">
        <v>30</v>
      </c>
      <c r="AC1" s="85" t="s">
        <v>677</v>
      </c>
      <c r="AD1" s="85" t="s">
        <v>678</v>
      </c>
      <c r="AE1" s="85" t="s">
        <v>679</v>
      </c>
      <c r="AF1" s="85" t="s">
        <v>713</v>
      </c>
      <c r="AG1" s="85" t="s">
        <v>730</v>
      </c>
      <c r="AH1" s="85" t="s">
        <v>731</v>
      </c>
      <c r="AI1" s="85" t="s">
        <v>716</v>
      </c>
      <c r="AJ1" s="85" t="s">
        <v>717</v>
      </c>
      <c r="AK1" s="85" t="s">
        <v>718</v>
      </c>
      <c r="AL1" s="85" t="s">
        <v>720</v>
      </c>
      <c r="AM1" s="85" t="s">
        <v>719</v>
      </c>
      <c r="AN1" s="85" t="s">
        <v>721</v>
      </c>
      <c r="AO1" s="85" t="s">
        <v>722</v>
      </c>
      <c r="AP1" s="85" t="s">
        <v>723</v>
      </c>
      <c r="AQ1" s="85" t="s">
        <v>724</v>
      </c>
      <c r="AR1" s="85" t="s">
        <v>725</v>
      </c>
      <c r="AS1" s="85" t="s">
        <v>726</v>
      </c>
      <c r="AT1" s="85" t="s">
        <v>727</v>
      </c>
      <c r="AU1" s="85" t="s">
        <v>732</v>
      </c>
      <c r="AV1" s="85" t="s">
        <v>733</v>
      </c>
      <c r="AW1" s="85" t="s">
        <v>734</v>
      </c>
      <c r="AX1" s="85" t="s">
        <v>728</v>
      </c>
      <c r="AY1" s="85" t="s">
        <v>737</v>
      </c>
      <c r="AZ1" s="85" t="s">
        <v>729</v>
      </c>
      <c r="BA1" s="85" t="s">
        <v>739</v>
      </c>
      <c r="BB1" s="90" t="s">
        <v>782</v>
      </c>
    </row>
    <row r="2" spans="1:54">
      <c r="A2" s="88">
        <f>全车数据表!A3</f>
        <v>1</v>
      </c>
      <c r="B2" s="88" t="str">
        <f>全车数据表!B3</f>
        <v>Mitsubishi Lancer Evolution</v>
      </c>
      <c r="C2" s="89" t="str">
        <f>全车数据表!E3</f>
        <v>lancer</v>
      </c>
      <c r="D2" s="88" t="str">
        <f>IF(全车数据表!D3="","",全车数据表!D3)</f>
        <v>Mitsubishi</v>
      </c>
      <c r="E2" s="89" t="str">
        <f>全车数据表!H3</f>
        <v>1.3</v>
      </c>
      <c r="F2" s="89" t="str">
        <f>全车数据表!C3</f>
        <v>三菱</v>
      </c>
      <c r="G2" s="89" t="str">
        <f>全车数据表!F3</f>
        <v>D</v>
      </c>
      <c r="H2" s="88">
        <f>LEN(全车数据表!G3)</f>
        <v>3</v>
      </c>
      <c r="I2" s="88" t="str">
        <f>VLOOKUP(全车数据表!P3,辅助计算!A:B,2,FALSE)</f>
        <v>uncm</v>
      </c>
      <c r="J2" s="88">
        <f>全车数据表!Q3</f>
        <v>5</v>
      </c>
      <c r="K2" s="88">
        <f>全车数据表!R3</f>
        <v>8</v>
      </c>
      <c r="L2" s="88">
        <f>全车数据表!S3</f>
        <v>30</v>
      </c>
      <c r="M2" s="88">
        <f>全车数据表!T3</f>
        <v>0</v>
      </c>
      <c r="N2" s="88">
        <f>全车数据表!U3</f>
        <v>0</v>
      </c>
      <c r="O2" s="88">
        <f>全车数据表!V3</f>
        <v>0</v>
      </c>
      <c r="P2" s="88">
        <f>全车数据表!J3</f>
        <v>1381</v>
      </c>
      <c r="Q2" s="88">
        <f>全车数据表!K3</f>
        <v>270.10000000000002</v>
      </c>
      <c r="R2" s="88">
        <f>全车数据表!L3</f>
        <v>55.03</v>
      </c>
      <c r="S2" s="88">
        <f>全车数据表!M3</f>
        <v>53.79</v>
      </c>
      <c r="T2" s="88">
        <f>全车数据表!N3</f>
        <v>68.19</v>
      </c>
      <c r="U2" s="88">
        <f>全车数据表!O3</f>
        <v>10.75</v>
      </c>
      <c r="V2" s="88">
        <f>全车数据表!AL3</f>
        <v>559000</v>
      </c>
      <c r="W2" s="88">
        <f>全车数据表!AM3</f>
        <v>5000</v>
      </c>
      <c r="X2" s="88">
        <f>全车数据表!AU3</f>
        <v>140000</v>
      </c>
      <c r="Y2" s="88">
        <f>全车数据表!AV3</f>
        <v>699000</v>
      </c>
      <c r="Z2" s="88">
        <f>全车数据表!AN3</f>
        <v>5</v>
      </c>
      <c r="AA2" s="88">
        <f>全车数据表!AP3</f>
        <v>1</v>
      </c>
      <c r="AB2" s="88">
        <f>全车数据表!AR3</f>
        <v>0</v>
      </c>
      <c r="AC2" s="88">
        <f>全车数据表!AW3</f>
        <v>282</v>
      </c>
      <c r="AD2" s="88">
        <f>全车数据表!AX3</f>
        <v>0</v>
      </c>
      <c r="AE2" s="88">
        <f>全车数据表!AY3</f>
        <v>363</v>
      </c>
      <c r="AF2" s="88" t="str">
        <f>IF(全车数据表!BA3="","",全车数据表!BA3)</f>
        <v>级别杯</v>
      </c>
      <c r="AG2" s="88" t="str">
        <f>IF(全车数据表!BB3="","",全车数据表!BB3)</f>
        <v/>
      </c>
      <c r="AH2" s="88" t="str">
        <f>IF(全车数据表!BC3="","",全车数据表!BC3)</f>
        <v/>
      </c>
      <c r="AI2" s="88">
        <f>IF(全车数据表!BD3="","",全车数据表!BD3)</f>
        <v>1</v>
      </c>
      <c r="AJ2" s="88">
        <f>IF(全车数据表!BE3="","",全车数据表!BE3)</f>
        <v>1</v>
      </c>
      <c r="AK2" s="88" t="str">
        <f>IF(全车数据表!BF3="","",全车数据表!BF3)</f>
        <v/>
      </c>
      <c r="AL2" s="88" t="str">
        <f>IF(全车数据表!BG3="","",全车数据表!BG3)</f>
        <v/>
      </c>
      <c r="AM2" s="88" t="str">
        <f>IF(全车数据表!BH3="","",全车数据表!BH3)</f>
        <v/>
      </c>
      <c r="AN2" s="88" t="str">
        <f>IF(全车数据表!BI3="","",全车数据表!BI3)</f>
        <v/>
      </c>
      <c r="AO2" s="88" t="str">
        <f>IF(全车数据表!BJ3="","",全车数据表!BJ3)</f>
        <v/>
      </c>
      <c r="AP2" s="88" t="str">
        <f>IF(全车数据表!BK3="","",全车数据表!BK3)</f>
        <v/>
      </c>
      <c r="AQ2" s="88" t="str">
        <f>IF(全车数据表!BL3="","",全车数据表!BL3)</f>
        <v/>
      </c>
      <c r="AR2" s="88" t="str">
        <f>IF(全车数据表!BM3="","",全车数据表!BM3)</f>
        <v/>
      </c>
      <c r="AS2" s="88" t="str">
        <f>IF(全车数据表!BN3="","",全车数据表!BN3)</f>
        <v/>
      </c>
      <c r="AT2" s="88" t="str">
        <f>IF(全车数据表!BO3="","",全车数据表!BO3)</f>
        <v/>
      </c>
      <c r="AU2" s="88" t="str">
        <f>IF(全车数据表!BP3="","",全车数据表!BP3)</f>
        <v/>
      </c>
      <c r="AV2" s="88" t="str">
        <f>IF(全车数据表!BQ3="","",全车数据表!BQ3)</f>
        <v/>
      </c>
      <c r="AW2" s="88">
        <f>IF(全车数据表!BR3="","",全车数据表!BR3)</f>
        <v>1</v>
      </c>
      <c r="AX2" s="88" t="str">
        <f>IF(全车数据表!BS3="","",全车数据表!BS3)</f>
        <v/>
      </c>
      <c r="AY2" s="88" t="str">
        <f>IF(全车数据表!BT3="","",全车数据表!BT3)</f>
        <v/>
      </c>
      <c r="AZ2" s="88" t="str">
        <f>IF(全车数据表!BU3="","",全车数据表!BU3)</f>
        <v/>
      </c>
      <c r="BA2" s="88" t="str">
        <f>IF(全车数据表!BV3="","",全车数据表!BV3)</f>
        <v>天赐三菱</v>
      </c>
      <c r="BB2" s="91">
        <f>IF(全车数据表!AZ3="","",全车数据表!AZ3)</f>
        <v>1</v>
      </c>
    </row>
    <row r="3" spans="1:54">
      <c r="A3" s="88">
        <f>全车数据表!A4</f>
        <v>2</v>
      </c>
      <c r="B3" s="88" t="str">
        <f>全车数据表!B4</f>
        <v>BMW Z4 LCI E89</v>
      </c>
      <c r="C3" s="89" t="str">
        <f>全车数据表!E4</f>
        <v>z4</v>
      </c>
      <c r="D3" s="88" t="str">
        <f>IF(全车数据表!D4="","",全车数据表!D4)</f>
        <v>BMW</v>
      </c>
      <c r="E3" s="89" t="str">
        <f>全车数据表!H4</f>
        <v>1.3</v>
      </c>
      <c r="F3" s="89" t="str">
        <f>全车数据表!C4</f>
        <v>Z4</v>
      </c>
      <c r="G3" s="89" t="str">
        <f>全车数据表!F4</f>
        <v>D</v>
      </c>
      <c r="H3" s="88">
        <f>LEN(全车数据表!G4)</f>
        <v>3</v>
      </c>
      <c r="I3" s="88" t="str">
        <f>VLOOKUP(全车数据表!P4,辅助计算!A:B,2,FALSE)</f>
        <v>uncm</v>
      </c>
      <c r="J3" s="88">
        <f>全车数据表!Q4</f>
        <v>5</v>
      </c>
      <c r="K3" s="88">
        <f>全车数据表!R4</f>
        <v>8</v>
      </c>
      <c r="L3" s="88">
        <f>全车数据表!S4</f>
        <v>45</v>
      </c>
      <c r="M3" s="88">
        <f>全车数据表!T4</f>
        <v>0</v>
      </c>
      <c r="N3" s="88">
        <f>全车数据表!U4</f>
        <v>0</v>
      </c>
      <c r="O3" s="88">
        <f>全车数据表!V4</f>
        <v>0</v>
      </c>
      <c r="P3" s="88">
        <f>全车数据表!J4</f>
        <v>1476</v>
      </c>
      <c r="Q3" s="88">
        <f>全车数据表!K4</f>
        <v>266.8</v>
      </c>
      <c r="R3" s="88">
        <f>全车数据表!L4</f>
        <v>68.86</v>
      </c>
      <c r="S3" s="88">
        <f>全车数据表!M4</f>
        <v>47.43</v>
      </c>
      <c r="T3" s="88">
        <f>全车数据表!N4</f>
        <v>57.49</v>
      </c>
      <c r="U3" s="88">
        <f>全车数据表!O4</f>
        <v>7.4660000000000002</v>
      </c>
      <c r="V3" s="88">
        <f>全车数据表!AL4</f>
        <v>555000</v>
      </c>
      <c r="W3" s="88">
        <f>全车数据表!AM4</f>
        <v>5000</v>
      </c>
      <c r="X3" s="88">
        <f>全车数据表!AU4</f>
        <v>140000</v>
      </c>
      <c r="Y3" s="88">
        <f>全车数据表!AV4</f>
        <v>695000</v>
      </c>
      <c r="Z3" s="88">
        <f>全车数据表!AN4</f>
        <v>5</v>
      </c>
      <c r="AA3" s="88">
        <f>全车数据表!AP4</f>
        <v>1</v>
      </c>
      <c r="AB3" s="88">
        <f>全车数据表!AR4</f>
        <v>0</v>
      </c>
      <c r="AC3" s="88">
        <f>全车数据表!AW4</f>
        <v>278</v>
      </c>
      <c r="AD3" s="88">
        <f>全车数据表!AX4</f>
        <v>0</v>
      </c>
      <c r="AE3" s="88">
        <f>全车数据表!AY4</f>
        <v>359</v>
      </c>
      <c r="AF3" s="88" t="str">
        <f>IF(全车数据表!BA4="","",全车数据表!BA4)</f>
        <v>级别杯</v>
      </c>
      <c r="AG3" s="88" t="str">
        <f>IF(全车数据表!BB4="","",全车数据表!BB4)</f>
        <v/>
      </c>
      <c r="AH3" s="88" t="str">
        <f>IF(全车数据表!BC4="","",全车数据表!BC4)</f>
        <v/>
      </c>
      <c r="AI3" s="88">
        <f>IF(全车数据表!BD4="","",全车数据表!BD4)</f>
        <v>1</v>
      </c>
      <c r="AJ3" s="88">
        <f>IF(全车数据表!BE4="","",全车数据表!BE4)</f>
        <v>1</v>
      </c>
      <c r="AK3" s="88" t="str">
        <f>IF(全车数据表!BF4="","",全车数据表!BF4)</f>
        <v/>
      </c>
      <c r="AL3" s="88" t="str">
        <f>IF(全车数据表!BG4="","",全车数据表!BG4)</f>
        <v/>
      </c>
      <c r="AM3" s="88" t="str">
        <f>IF(全车数据表!BH4="","",全车数据表!BH4)</f>
        <v/>
      </c>
      <c r="AN3" s="88" t="str">
        <f>IF(全车数据表!BI4="","",全车数据表!BI4)</f>
        <v/>
      </c>
      <c r="AO3" s="88" t="str">
        <f>IF(全车数据表!BJ4="","",全车数据表!BJ4)</f>
        <v/>
      </c>
      <c r="AP3" s="88" t="str">
        <f>IF(全车数据表!BK4="","",全车数据表!BK4)</f>
        <v/>
      </c>
      <c r="AQ3" s="88" t="str">
        <f>IF(全车数据表!BL4="","",全车数据表!BL4)</f>
        <v/>
      </c>
      <c r="AR3" s="88" t="str">
        <f>IF(全车数据表!BM4="","",全车数据表!BM4)</f>
        <v/>
      </c>
      <c r="AS3" s="88" t="str">
        <f>IF(全车数据表!BN4="","",全车数据表!BN4)</f>
        <v/>
      </c>
      <c r="AT3" s="88" t="str">
        <f>IF(全车数据表!BO4="","",全车数据表!BO4)</f>
        <v/>
      </c>
      <c r="AU3" s="88" t="str">
        <f>IF(全车数据表!BP4="","",全车数据表!BP4)</f>
        <v/>
      </c>
      <c r="AV3" s="88" t="str">
        <f>IF(全车数据表!BQ4="","",全车数据表!BQ4)</f>
        <v/>
      </c>
      <c r="AW3" s="88" t="str">
        <f>IF(全车数据表!BR4="","",全车数据表!BR4)</f>
        <v/>
      </c>
      <c r="AX3" s="88" t="str">
        <f>IF(全车数据表!BS4="","",全车数据表!BS4)</f>
        <v>可开合</v>
      </c>
      <c r="AY3" s="88" t="str">
        <f>IF(全车数据表!BT4="","",全车数据表!BT4)</f>
        <v/>
      </c>
      <c r="AZ3" s="88" t="str">
        <f>IF(全车数据表!BU4="","",全车数据表!BU4)</f>
        <v/>
      </c>
      <c r="BA3" s="88" t="str">
        <f>IF(全车数据表!BV4="","",全车数据表!BV4)</f>
        <v>宝马</v>
      </c>
      <c r="BB3" s="91">
        <f>IF(全车数据表!AZ4="","",全车数据表!AZ4)</f>
        <v>1</v>
      </c>
    </row>
    <row r="4" spans="1:54">
      <c r="A4" s="88">
        <f>全车数据表!A5</f>
        <v>3</v>
      </c>
      <c r="B4" s="88" t="str">
        <f>全车数据表!B5</f>
        <v>Chevrolet Camaro LT</v>
      </c>
      <c r="C4" s="89" t="str">
        <f>全车数据表!E5</f>
        <v>lt</v>
      </c>
      <c r="D4" s="88" t="str">
        <f>IF(全车数据表!D5="","",全车数据表!D5)</f>
        <v>Chevrolet</v>
      </c>
      <c r="E4" s="89" t="str">
        <f>全车数据表!H5</f>
        <v>1.3</v>
      </c>
      <c r="F4" s="89" t="str">
        <f>全车数据表!C5</f>
        <v>LT</v>
      </c>
      <c r="G4" s="89" t="str">
        <f>全车数据表!F5</f>
        <v>D</v>
      </c>
      <c r="H4" s="88">
        <f>LEN(全车数据表!G5)</f>
        <v>3</v>
      </c>
      <c r="I4" s="88" t="str">
        <f>VLOOKUP(全车数据表!P5,辅助计算!A:B,2,FALSE)</f>
        <v>uncm</v>
      </c>
      <c r="J4" s="88">
        <f>全车数据表!Q5</f>
        <v>5</v>
      </c>
      <c r="K4" s="88">
        <f>全车数据表!R5</f>
        <v>12</v>
      </c>
      <c r="L4" s="88">
        <f>全车数据表!S5</f>
        <v>30</v>
      </c>
      <c r="M4" s="88">
        <f>全车数据表!T5</f>
        <v>0</v>
      </c>
      <c r="N4" s="88">
        <f>全车数据表!U5</f>
        <v>0</v>
      </c>
      <c r="O4" s="88">
        <f>全车数据表!V5</f>
        <v>0</v>
      </c>
      <c r="P4" s="88">
        <f>全车数据表!J5</f>
        <v>1546</v>
      </c>
      <c r="Q4" s="88">
        <f>全车数据表!K5</f>
        <v>284.10000000000002</v>
      </c>
      <c r="R4" s="88">
        <f>全车数据表!L5</f>
        <v>64.81</v>
      </c>
      <c r="S4" s="88">
        <f>全车数据表!M5</f>
        <v>48.39</v>
      </c>
      <c r="T4" s="88">
        <f>全车数据表!N5</f>
        <v>63.29</v>
      </c>
      <c r="U4" s="88">
        <f>全车数据表!O5</f>
        <v>8.2490000000000006</v>
      </c>
      <c r="V4" s="88">
        <f>全车数据表!AL5</f>
        <v>555000</v>
      </c>
      <c r="W4" s="88">
        <f>全车数据表!AM5</f>
        <v>5000</v>
      </c>
      <c r="X4" s="88">
        <f>全车数据表!AU5</f>
        <v>140000</v>
      </c>
      <c r="Y4" s="88">
        <f>全车数据表!AV5</f>
        <v>695000</v>
      </c>
      <c r="Z4" s="88">
        <f>全车数据表!AN5</f>
        <v>5</v>
      </c>
      <c r="AA4" s="88">
        <f>全车数据表!AP5</f>
        <v>1</v>
      </c>
      <c r="AB4" s="88">
        <f>全车数据表!AR5</f>
        <v>0</v>
      </c>
      <c r="AC4" s="88">
        <f>全车数据表!AW5</f>
        <v>296</v>
      </c>
      <c r="AD4" s="88">
        <f>全车数据表!AX5</f>
        <v>0</v>
      </c>
      <c r="AE4" s="88">
        <f>全车数据表!AY5</f>
        <v>380</v>
      </c>
      <c r="AF4" s="88" t="str">
        <f>IF(全车数据表!BA5="","",全车数据表!BA5)</f>
        <v>级别杯</v>
      </c>
      <c r="AG4" s="88">
        <f>IF(全车数据表!BB5="","",全车数据表!BB5)</f>
        <v>1</v>
      </c>
      <c r="AH4" s="88" t="str">
        <f>IF(全车数据表!BC5="","",全车数据表!BC5)</f>
        <v/>
      </c>
      <c r="AI4" s="88">
        <f>IF(全车数据表!BD5="","",全车数据表!BD5)</f>
        <v>1</v>
      </c>
      <c r="AJ4" s="88">
        <f>IF(全车数据表!BE5="","",全车数据表!BE5)</f>
        <v>1</v>
      </c>
      <c r="AK4" s="88" t="str">
        <f>IF(全车数据表!BF5="","",全车数据表!BF5)</f>
        <v/>
      </c>
      <c r="AL4" s="88" t="str">
        <f>IF(全车数据表!BG5="","",全车数据表!BG5)</f>
        <v/>
      </c>
      <c r="AM4" s="88" t="str">
        <f>IF(全车数据表!BH5="","",全车数据表!BH5)</f>
        <v/>
      </c>
      <c r="AN4" s="88" t="str">
        <f>IF(全车数据表!BI5="","",全车数据表!BI5)</f>
        <v/>
      </c>
      <c r="AO4" s="88" t="str">
        <f>IF(全车数据表!BJ5="","",全车数据表!BJ5)</f>
        <v/>
      </c>
      <c r="AP4" s="88" t="str">
        <f>IF(全车数据表!BK5="","",全车数据表!BK5)</f>
        <v/>
      </c>
      <c r="AQ4" s="88" t="str">
        <f>IF(全车数据表!BL5="","",全车数据表!BL5)</f>
        <v/>
      </c>
      <c r="AR4" s="88" t="str">
        <f>IF(全车数据表!BM5="","",全车数据表!BM5)</f>
        <v/>
      </c>
      <c r="AS4" s="88" t="str">
        <f>IF(全车数据表!BN5="","",全车数据表!BN5)</f>
        <v/>
      </c>
      <c r="AT4" s="88" t="str">
        <f>IF(全车数据表!BO5="","",全车数据表!BO5)</f>
        <v/>
      </c>
      <c r="AU4" s="88" t="str">
        <f>IF(全车数据表!BP5="","",全车数据表!BP5)</f>
        <v/>
      </c>
      <c r="AV4" s="88" t="str">
        <f>IF(全车数据表!BQ5="","",全车数据表!BQ5)</f>
        <v/>
      </c>
      <c r="AW4" s="88" t="str">
        <f>IF(全车数据表!BR5="","",全车数据表!BR5)</f>
        <v/>
      </c>
      <c r="AX4" s="88" t="str">
        <f>IF(全车数据表!BS5="","",全车数据表!BS5)</f>
        <v/>
      </c>
      <c r="AY4" s="88" t="str">
        <f>IF(全车数据表!BT5="","",全车数据表!BT5)</f>
        <v/>
      </c>
      <c r="AZ4" s="88" t="str">
        <f>IF(全车数据表!BU5="","",全车数据表!BU5)</f>
        <v/>
      </c>
      <c r="BA4" s="88" t="str">
        <f>IF(全车数据表!BV5="","",全车数据表!BV5)</f>
        <v>雪佛兰科迈罗</v>
      </c>
      <c r="BB4" s="91">
        <f>IF(全车数据表!AZ5="","",全车数据表!AZ5)</f>
        <v>1</v>
      </c>
    </row>
    <row r="5" spans="1:54">
      <c r="A5" s="88">
        <f>全车数据表!A6</f>
        <v>4</v>
      </c>
      <c r="B5" s="88" t="str">
        <f>全车数据表!B6</f>
        <v>Nissan 370Z Nismo</v>
      </c>
      <c r="C5" s="89" t="str">
        <f>全车数据表!E6</f>
        <v>370</v>
      </c>
      <c r="D5" s="88" t="str">
        <f>IF(全车数据表!D6="","",全车数据表!D6)</f>
        <v>Nissan</v>
      </c>
      <c r="E5" s="89" t="str">
        <f>全车数据表!H6</f>
        <v>1.3</v>
      </c>
      <c r="F5" s="89" t="str">
        <f>全车数据表!C6</f>
        <v>370</v>
      </c>
      <c r="G5" s="89" t="str">
        <f>全车数据表!F6</f>
        <v>D</v>
      </c>
      <c r="H5" s="88">
        <f>LEN(全车数据表!G6)</f>
        <v>3</v>
      </c>
      <c r="I5" s="88" t="str">
        <f>VLOOKUP(全车数据表!P6,辅助计算!A:B,2,FALSE)</f>
        <v>uncm</v>
      </c>
      <c r="J5" s="88">
        <f>全车数据表!Q6</f>
        <v>10</v>
      </c>
      <c r="K5" s="88">
        <f>全车数据表!R6</f>
        <v>12</v>
      </c>
      <c r="L5" s="88">
        <f>全车数据表!S6</f>
        <v>30</v>
      </c>
      <c r="M5" s="88">
        <f>全车数据表!T6</f>
        <v>0</v>
      </c>
      <c r="N5" s="88">
        <f>全车数据表!U6</f>
        <v>0</v>
      </c>
      <c r="O5" s="88">
        <f>全车数据表!V6</f>
        <v>0</v>
      </c>
      <c r="P5" s="88">
        <f>全车数据表!J6</f>
        <v>1662</v>
      </c>
      <c r="Q5" s="88">
        <f>全车数据表!K6</f>
        <v>268.5</v>
      </c>
      <c r="R5" s="88">
        <f>全车数据表!L6</f>
        <v>66.61</v>
      </c>
      <c r="S5" s="88">
        <f>全车数据表!M6</f>
        <v>81.83</v>
      </c>
      <c r="T5" s="88">
        <f>全车数据表!N6</f>
        <v>67.069999999999993</v>
      </c>
      <c r="U5" s="88">
        <f>全车数据表!O6</f>
        <v>10.35</v>
      </c>
      <c r="V5" s="88">
        <f>全车数据表!AL6</f>
        <v>554000</v>
      </c>
      <c r="W5" s="88">
        <f>全车数据表!AM6</f>
        <v>5000</v>
      </c>
      <c r="X5" s="88">
        <f>全车数据表!AU6</f>
        <v>140000</v>
      </c>
      <c r="Y5" s="88">
        <f>全车数据表!AV6</f>
        <v>694000</v>
      </c>
      <c r="Z5" s="88">
        <f>全车数据表!AN6</f>
        <v>5</v>
      </c>
      <c r="AA5" s="88">
        <f>全车数据表!AP6</f>
        <v>1</v>
      </c>
      <c r="AB5" s="88">
        <f>全车数据表!AR6</f>
        <v>0</v>
      </c>
      <c r="AC5" s="88">
        <f>全车数据表!AW6</f>
        <v>280</v>
      </c>
      <c r="AD5" s="88">
        <f>全车数据表!AX6</f>
        <v>0</v>
      </c>
      <c r="AE5" s="88">
        <f>全车数据表!AY6</f>
        <v>361</v>
      </c>
      <c r="AF5" s="88" t="str">
        <f>IF(全车数据表!BA6="","",全车数据表!BA6)</f>
        <v>级别杯</v>
      </c>
      <c r="AG5" s="88">
        <f>IF(全车数据表!BB6="","",全车数据表!BB6)</f>
        <v>1</v>
      </c>
      <c r="AH5" s="88" t="str">
        <f>IF(全车数据表!BC6="","",全车数据表!BC6)</f>
        <v/>
      </c>
      <c r="AI5" s="88">
        <f>IF(全车数据表!BD6="","",全车数据表!BD6)</f>
        <v>1</v>
      </c>
      <c r="AJ5" s="88">
        <f>IF(全车数据表!BE6="","",全车数据表!BE6)</f>
        <v>1</v>
      </c>
      <c r="AK5" s="88" t="str">
        <f>IF(全车数据表!BF6="","",全车数据表!BF6)</f>
        <v/>
      </c>
      <c r="AL5" s="88" t="str">
        <f>IF(全车数据表!BG6="","",全车数据表!BG6)</f>
        <v/>
      </c>
      <c r="AM5" s="88" t="str">
        <f>IF(全车数据表!BH6="","",全车数据表!BH6)</f>
        <v/>
      </c>
      <c r="AN5" s="88" t="str">
        <f>IF(全车数据表!BI6="","",全车数据表!BI6)</f>
        <v/>
      </c>
      <c r="AO5" s="88" t="str">
        <f>IF(全车数据表!BJ6="","",全车数据表!BJ6)</f>
        <v/>
      </c>
      <c r="AP5" s="88" t="str">
        <f>IF(全车数据表!BK6="","",全车数据表!BK6)</f>
        <v/>
      </c>
      <c r="AQ5" s="88" t="str">
        <f>IF(全车数据表!BL6="","",全车数据表!BL6)</f>
        <v/>
      </c>
      <c r="AR5" s="88" t="str">
        <f>IF(全车数据表!BM6="","",全车数据表!BM6)</f>
        <v/>
      </c>
      <c r="AS5" s="88" t="str">
        <f>IF(全车数据表!BN6="","",全车数据表!BN6)</f>
        <v/>
      </c>
      <c r="AT5" s="88" t="str">
        <f>IF(全车数据表!BO6="","",全车数据表!BO6)</f>
        <v/>
      </c>
      <c r="AU5" s="88" t="str">
        <f>IF(全车数据表!BP6="","",全车数据表!BP6)</f>
        <v/>
      </c>
      <c r="AV5" s="88" t="str">
        <f>IF(全车数据表!BQ6="","",全车数据表!BQ6)</f>
        <v/>
      </c>
      <c r="AW5" s="88" t="str">
        <f>IF(全车数据表!BR6="","",全车数据表!BR6)</f>
        <v/>
      </c>
      <c r="AX5" s="88" t="str">
        <f>IF(全车数据表!BS6="","",全车数据表!BS6)</f>
        <v/>
      </c>
      <c r="AY5" s="88" t="str">
        <f>IF(全车数据表!BT6="","",全车数据表!BT6)</f>
        <v/>
      </c>
      <c r="AZ5" s="88" t="str">
        <f>IF(全车数据表!BU6="","",全车数据表!BU6)</f>
        <v/>
      </c>
      <c r="BA5" s="88" t="str">
        <f>IF(全车数据表!BV6="","",全车数据表!BV6)</f>
        <v>日产 尼桑</v>
      </c>
      <c r="BB5" s="91">
        <f>IF(全车数据表!AZ6="","",全车数据表!AZ6)</f>
        <v>1</v>
      </c>
    </row>
    <row r="6" spans="1:54">
      <c r="A6" s="88">
        <f>全车数据表!A7</f>
        <v>5</v>
      </c>
      <c r="B6" s="88" t="str">
        <f>全车数据表!B7</f>
        <v>Dodge Challenger SRT8</v>
      </c>
      <c r="C6" s="89" t="str">
        <f>全车数据表!E7</f>
        <v>srt8</v>
      </c>
      <c r="D6" s="88" t="str">
        <f>IF(全车数据表!D7="","",全车数据表!D7)</f>
        <v>Dodge</v>
      </c>
      <c r="E6" s="89" t="str">
        <f>全车数据表!H7</f>
        <v>1.3</v>
      </c>
      <c r="F6" s="89" t="str">
        <f>全车数据表!C7</f>
        <v>srt8</v>
      </c>
      <c r="G6" s="89" t="str">
        <f>全车数据表!F7</f>
        <v>D</v>
      </c>
      <c r="H6" s="88">
        <f>LEN(全车数据表!G7)</f>
        <v>3</v>
      </c>
      <c r="I6" s="88" t="str">
        <f>VLOOKUP(全车数据表!P7,辅助计算!A:B,2,FALSE)</f>
        <v>uncm</v>
      </c>
      <c r="J6" s="88">
        <f>全车数据表!Q7</f>
        <v>15</v>
      </c>
      <c r="K6" s="88">
        <f>全车数据表!R7</f>
        <v>20</v>
      </c>
      <c r="L6" s="88">
        <f>全车数据表!S7</f>
        <v>30</v>
      </c>
      <c r="M6" s="88">
        <f>全车数据表!T7</f>
        <v>0</v>
      </c>
      <c r="N6" s="88">
        <f>全车数据表!U7</f>
        <v>0</v>
      </c>
      <c r="O6" s="88">
        <f>全车数据表!V7</f>
        <v>0</v>
      </c>
      <c r="P6" s="88">
        <f>全车数据表!J7</f>
        <v>1683</v>
      </c>
      <c r="Q6" s="88">
        <f>全车数据表!K7</f>
        <v>308.39999999999998</v>
      </c>
      <c r="R6" s="88">
        <f>全车数据表!L7</f>
        <v>71.92</v>
      </c>
      <c r="S6" s="88">
        <f>全车数据表!M7</f>
        <v>37.979999999999997</v>
      </c>
      <c r="T6" s="88">
        <f>全车数据表!N7</f>
        <v>45.41</v>
      </c>
      <c r="U6" s="88">
        <f>全车数据表!O7</f>
        <v>5.05</v>
      </c>
      <c r="V6" s="88">
        <f>全车数据表!AL7</f>
        <v>554000</v>
      </c>
      <c r="W6" s="88">
        <f>全车数据表!AM7</f>
        <v>5000</v>
      </c>
      <c r="X6" s="88">
        <f>全车数据表!AU7</f>
        <v>140000</v>
      </c>
      <c r="Y6" s="88">
        <f>全车数据表!AV7</f>
        <v>694000</v>
      </c>
      <c r="Z6" s="88">
        <f>全车数据表!AN7</f>
        <v>5</v>
      </c>
      <c r="AA6" s="88">
        <f>全车数据表!AP7</f>
        <v>1</v>
      </c>
      <c r="AB6" s="88">
        <f>全车数据表!AR7</f>
        <v>0</v>
      </c>
      <c r="AC6" s="88">
        <f>全车数据表!AW7</f>
        <v>321</v>
      </c>
      <c r="AD6" s="88">
        <f>全车数据表!AX7</f>
        <v>0</v>
      </c>
      <c r="AE6" s="88">
        <f>全车数据表!AY7</f>
        <v>410</v>
      </c>
      <c r="AF6" s="88" t="str">
        <f>IF(全车数据表!BA7="","",全车数据表!BA7)</f>
        <v>级别杯</v>
      </c>
      <c r="AG6" s="88" t="str">
        <f>IF(全车数据表!BB7="","",全车数据表!BB7)</f>
        <v/>
      </c>
      <c r="AH6" s="88" t="str">
        <f>IF(全车数据表!BC7="","",全车数据表!BC7)</f>
        <v/>
      </c>
      <c r="AI6" s="88">
        <f>IF(全车数据表!BD7="","",全车数据表!BD7)</f>
        <v>1</v>
      </c>
      <c r="AJ6" s="88">
        <f>IF(全车数据表!BE7="","",全车数据表!BE7)</f>
        <v>1</v>
      </c>
      <c r="AK6" s="88" t="str">
        <f>IF(全车数据表!BF7="","",全车数据表!BF7)</f>
        <v/>
      </c>
      <c r="AL6" s="88" t="str">
        <f>IF(全车数据表!BG7="","",全车数据表!BG7)</f>
        <v/>
      </c>
      <c r="AM6" s="88" t="str">
        <f>IF(全车数据表!BH7="","",全车数据表!BH7)</f>
        <v/>
      </c>
      <c r="AN6" s="88" t="str">
        <f>IF(全车数据表!BI7="","",全车数据表!BI7)</f>
        <v/>
      </c>
      <c r="AO6" s="88" t="str">
        <f>IF(全车数据表!BJ7="","",全车数据表!BJ7)</f>
        <v/>
      </c>
      <c r="AP6" s="88" t="str">
        <f>IF(全车数据表!BK7="","",全车数据表!BK7)</f>
        <v/>
      </c>
      <c r="AQ6" s="88" t="str">
        <f>IF(全车数据表!BL7="","",全车数据表!BL7)</f>
        <v/>
      </c>
      <c r="AR6" s="88" t="str">
        <f>IF(全车数据表!BM7="","",全车数据表!BM7)</f>
        <v/>
      </c>
      <c r="AS6" s="88" t="str">
        <f>IF(全车数据表!BN7="","",全车数据表!BN7)</f>
        <v/>
      </c>
      <c r="AT6" s="88" t="str">
        <f>IF(全车数据表!BO7="","",全车数据表!BO7)</f>
        <v/>
      </c>
      <c r="AU6" s="88" t="str">
        <f>IF(全车数据表!BP7="","",全车数据表!BP7)</f>
        <v/>
      </c>
      <c r="AV6" s="88" t="str">
        <f>IF(全车数据表!BQ7="","",全车数据表!BQ7)</f>
        <v/>
      </c>
      <c r="AW6" s="88" t="str">
        <f>IF(全车数据表!BR7="","",全车数据表!BR7)</f>
        <v/>
      </c>
      <c r="AX6" s="88" t="str">
        <f>IF(全车数据表!BS7="","",全车数据表!BS7)</f>
        <v/>
      </c>
      <c r="AY6" s="88" t="str">
        <f>IF(全车数据表!BT7="","",全车数据表!BT7)</f>
        <v/>
      </c>
      <c r="AZ6" s="88" t="str">
        <f>IF(全车数据表!BU7="","",全车数据表!BU7)</f>
        <v/>
      </c>
      <c r="BA6" s="88" t="str">
        <f>IF(全车数据表!BV7="","",全车数据表!BV7)</f>
        <v>道奇 挑战者 送人头 e霸</v>
      </c>
      <c r="BB6" s="91">
        <f>IF(全车数据表!AZ7="","",全车数据表!AZ7)</f>
        <v>1</v>
      </c>
    </row>
    <row r="7" spans="1:54">
      <c r="A7" s="88">
        <f>全车数据表!A8</f>
        <v>6</v>
      </c>
      <c r="B7" s="88" t="str">
        <f>全车数据表!B8</f>
        <v>KTM X-Bow GTX</v>
      </c>
      <c r="C7" s="89" t="str">
        <f>全车数据表!E8</f>
        <v>gtx</v>
      </c>
      <c r="D7" s="88" t="str">
        <f>IF(全车数据表!D8="","",全车数据表!D8)</f>
        <v>KTM</v>
      </c>
      <c r="E7" s="89" t="str">
        <f>全车数据表!H8</f>
        <v>4.1</v>
      </c>
      <c r="F7" s="89" t="str">
        <f>全车数据表!C8</f>
        <v>GTX</v>
      </c>
      <c r="G7" s="89" t="str">
        <f>全车数据表!F8</f>
        <v>D</v>
      </c>
      <c r="H7" s="88">
        <f>LEN(全车数据表!G8)</f>
        <v>3</v>
      </c>
      <c r="I7" s="88" t="str">
        <f>VLOOKUP(全车数据表!P8,辅助计算!A:B,2,FALSE)</f>
        <v>uncm</v>
      </c>
      <c r="J7" s="88">
        <f>全车数据表!Q8</f>
        <v>20</v>
      </c>
      <c r="K7" s="88">
        <f>全车数据表!R8</f>
        <v>25</v>
      </c>
      <c r="L7" s="88">
        <f>全车数据表!S8</f>
        <v>30</v>
      </c>
      <c r="M7" s="88">
        <f>全车数据表!T8</f>
        <v>0</v>
      </c>
      <c r="N7" s="88">
        <f>全车数据表!U8</f>
        <v>0</v>
      </c>
      <c r="O7" s="88">
        <f>全车数据表!V8</f>
        <v>0</v>
      </c>
      <c r="P7" s="88">
        <f>全车数据表!J8</f>
        <v>1738</v>
      </c>
      <c r="Q7" s="88">
        <f>全车数据表!K8</f>
        <v>247.5</v>
      </c>
      <c r="R7" s="88">
        <f>全车数据表!L8</f>
        <v>83.84</v>
      </c>
      <c r="S7" s="88">
        <f>全车数据表!M8</f>
        <v>64.989999999999995</v>
      </c>
      <c r="T7" s="88">
        <f>全车数据表!N8</f>
        <v>66.989999999999995</v>
      </c>
      <c r="U7" s="88">
        <f>全车数据表!O8</f>
        <v>0</v>
      </c>
      <c r="V7" s="88">
        <f>全车数据表!AL8</f>
        <v>724000</v>
      </c>
      <c r="W7" s="88">
        <f>全车数据表!AM8</f>
        <v>6000</v>
      </c>
      <c r="X7" s="88">
        <f>全车数据表!AU8</f>
        <v>168000</v>
      </c>
      <c r="Y7" s="88">
        <f>全车数据表!AV8</f>
        <v>892000</v>
      </c>
      <c r="Z7" s="88">
        <f>全车数据表!AN8</f>
        <v>5</v>
      </c>
      <c r="AA7" s="88">
        <f>全车数据表!AP8</f>
        <v>1</v>
      </c>
      <c r="AB7" s="88">
        <f>全车数据表!AR8</f>
        <v>0</v>
      </c>
      <c r="AC7" s="88">
        <f>全车数据表!AW8</f>
        <v>258</v>
      </c>
      <c r="AD7" s="88">
        <f>全车数据表!AX8</f>
        <v>274</v>
      </c>
      <c r="AE7" s="88">
        <f>全车数据表!AY8</f>
        <v>350</v>
      </c>
      <c r="AF7" s="88" t="str">
        <f>IF(全车数据表!BA8="","",全车数据表!BA8)</f>
        <v>周末爆冲</v>
      </c>
      <c r="AG7" s="88" t="str">
        <f>IF(全车数据表!BB8="","",全车数据表!BB8)</f>
        <v/>
      </c>
      <c r="AH7" s="88" t="str">
        <f>IF(全车数据表!BC8="","",全车数据表!BC8)</f>
        <v/>
      </c>
      <c r="AI7" s="88" t="str">
        <f>IF(全车数据表!BD8="","",全车数据表!BD8)</f>
        <v/>
      </c>
      <c r="AJ7" s="88" t="str">
        <f>IF(全车数据表!BE8="","",全车数据表!BE8)</f>
        <v/>
      </c>
      <c r="AK7" s="88" t="str">
        <f>IF(全车数据表!BF8="","",全车数据表!BF8)</f>
        <v/>
      </c>
      <c r="AL7" s="88" t="str">
        <f>IF(全车数据表!BG8="","",全车数据表!BG8)</f>
        <v/>
      </c>
      <c r="AM7" s="88" t="str">
        <f>IF(全车数据表!BH8="","",全车数据表!BH8)</f>
        <v/>
      </c>
      <c r="AN7" s="88" t="str">
        <f>IF(全车数据表!BI8="","",全车数据表!BI8)</f>
        <v/>
      </c>
      <c r="AO7" s="88" t="str">
        <f>IF(全车数据表!BJ8="","",全车数据表!BJ8)</f>
        <v/>
      </c>
      <c r="AP7" s="88" t="str">
        <f>IF(全车数据表!BK8="","",全车数据表!BK8)</f>
        <v/>
      </c>
      <c r="AQ7" s="88" t="str">
        <f>IF(全车数据表!BL8="","",全车数据表!BL8)</f>
        <v/>
      </c>
      <c r="AR7" s="88" t="str">
        <f>IF(全车数据表!BM8="","",全车数据表!BM8)</f>
        <v/>
      </c>
      <c r="AS7" s="88" t="str">
        <f>IF(全车数据表!BN8="","",全车数据表!BN8)</f>
        <v/>
      </c>
      <c r="AT7" s="88" t="str">
        <f>IF(全车数据表!BO8="","",全车数据表!BO8)</f>
        <v/>
      </c>
      <c r="AU7" s="88" t="str">
        <f>IF(全车数据表!BP8="","",全车数据表!BP8)</f>
        <v/>
      </c>
      <c r="AV7" s="88" t="str">
        <f>IF(全车数据表!BQ8="","",全车数据表!BQ8)</f>
        <v/>
      </c>
      <c r="AW7" s="88" t="str">
        <f>IF(全车数据表!BR8="","",全车数据表!BR8)</f>
        <v/>
      </c>
      <c r="AX7" s="88" t="str">
        <f>IF(全车数据表!BS8="","",全车数据表!BS8)</f>
        <v/>
      </c>
      <c r="AY7" s="88" t="str">
        <f>IF(全车数据表!BT8="","",全车数据表!BT8)</f>
        <v/>
      </c>
      <c r="AZ7" s="88" t="str">
        <f>IF(全车数据表!BU8="","",全车数据表!BU8)</f>
        <v/>
      </c>
      <c r="BA7" s="88" t="str">
        <f>IF(全车数据表!BV8="","",全车数据表!BV8)</f>
        <v/>
      </c>
      <c r="BB7" s="91" t="str">
        <f>IF(全车数据表!AZ8="","",全车数据表!AZ8)</f>
        <v/>
      </c>
    </row>
    <row r="8" spans="1:54">
      <c r="A8" s="88">
        <f>全车数据表!A9</f>
        <v>7</v>
      </c>
      <c r="B8" s="88" t="str">
        <f>全车数据表!B9</f>
        <v>Volkswagen XL Sport Concept</v>
      </c>
      <c r="C8" s="89" t="str">
        <f>全车数据表!E9</f>
        <v>xl</v>
      </c>
      <c r="D8" s="88" t="str">
        <f>IF(全车数据表!D9="","",全车数据表!D9)</f>
        <v>Volkswagen</v>
      </c>
      <c r="E8" s="89" t="str">
        <f>全车数据表!H9</f>
        <v>1.3</v>
      </c>
      <c r="F8" s="89" t="str">
        <f>全车数据表!C9</f>
        <v>大众</v>
      </c>
      <c r="G8" s="89" t="str">
        <f>全车数据表!F9</f>
        <v>D</v>
      </c>
      <c r="H8" s="88">
        <f>LEN(全车数据表!G9)</f>
        <v>3</v>
      </c>
      <c r="I8" s="88" t="str">
        <f>VLOOKUP(全车数据表!P9,辅助计算!A:B,2,FALSE)</f>
        <v>uncm</v>
      </c>
      <c r="J8" s="88">
        <f>全车数据表!Q9</f>
        <v>15</v>
      </c>
      <c r="K8" s="88">
        <f>全车数据表!R9</f>
        <v>20</v>
      </c>
      <c r="L8" s="88">
        <f>全车数据表!S9</f>
        <v>30</v>
      </c>
      <c r="M8" s="88">
        <f>全车数据表!T9</f>
        <v>0</v>
      </c>
      <c r="N8" s="88">
        <f>全车数据表!U9</f>
        <v>0</v>
      </c>
      <c r="O8" s="88">
        <f>全车数据表!V9</f>
        <v>0</v>
      </c>
      <c r="P8" s="88">
        <f>全车数据表!J9</f>
        <v>1814</v>
      </c>
      <c r="Q8" s="88">
        <f>全车数据表!K9</f>
        <v>291.2</v>
      </c>
      <c r="R8" s="88">
        <f>全车数据表!L9</f>
        <v>60.31</v>
      </c>
      <c r="S8" s="88">
        <f>全车数据表!M9</f>
        <v>62.02</v>
      </c>
      <c r="T8" s="88">
        <f>全车数据表!N9</f>
        <v>61.94</v>
      </c>
      <c r="U8" s="88">
        <f>全车数据表!O9</f>
        <v>7.65</v>
      </c>
      <c r="V8" s="88">
        <f>全车数据表!AL9</f>
        <v>727000</v>
      </c>
      <c r="W8" s="88">
        <f>全车数据表!AM9</f>
        <v>7500</v>
      </c>
      <c r="X8" s="88">
        <f>全车数据表!AU9</f>
        <v>210000</v>
      </c>
      <c r="Y8" s="88">
        <f>全车数据表!AV9</f>
        <v>937000</v>
      </c>
      <c r="Z8" s="88">
        <f>全车数据表!AN9</f>
        <v>5</v>
      </c>
      <c r="AA8" s="88">
        <f>全车数据表!AP9</f>
        <v>1</v>
      </c>
      <c r="AB8" s="88">
        <f>全车数据表!AR9</f>
        <v>0</v>
      </c>
      <c r="AC8" s="88">
        <f>全车数据表!AW9</f>
        <v>303</v>
      </c>
      <c r="AD8" s="88">
        <f>全车数据表!AX9</f>
        <v>0</v>
      </c>
      <c r="AE8" s="88">
        <f>全车数据表!AY9</f>
        <v>389</v>
      </c>
      <c r="AF8" s="88" t="str">
        <f>IF(全车数据表!BA9="","",全车数据表!BA9)</f>
        <v>级别杯</v>
      </c>
      <c r="AG8" s="88" t="str">
        <f>IF(全车数据表!BB9="","",全车数据表!BB9)</f>
        <v/>
      </c>
      <c r="AH8" s="88" t="str">
        <f>IF(全车数据表!BC9="","",全车数据表!BC9)</f>
        <v/>
      </c>
      <c r="AI8" s="88">
        <f>IF(全车数据表!BD9="","",全车数据表!BD9)</f>
        <v>1</v>
      </c>
      <c r="AJ8" s="88">
        <f>IF(全车数据表!BE9="","",全车数据表!BE9)</f>
        <v>1</v>
      </c>
      <c r="AK8" s="88" t="str">
        <f>IF(全车数据表!BF9="","",全车数据表!BF9)</f>
        <v/>
      </c>
      <c r="AL8" s="88" t="str">
        <f>IF(全车数据表!BG9="","",全车数据表!BG9)</f>
        <v/>
      </c>
      <c r="AM8" s="88" t="str">
        <f>IF(全车数据表!BH9="","",全车数据表!BH9)</f>
        <v/>
      </c>
      <c r="AN8" s="88" t="str">
        <f>IF(全车数据表!BI9="","",全车数据表!BI9)</f>
        <v/>
      </c>
      <c r="AO8" s="88" t="str">
        <f>IF(全车数据表!BJ9="","",全车数据表!BJ9)</f>
        <v/>
      </c>
      <c r="AP8" s="88" t="str">
        <f>IF(全车数据表!BK9="","",全车数据表!BK9)</f>
        <v/>
      </c>
      <c r="AQ8" s="88" t="str">
        <f>IF(全车数据表!BL9="","",全车数据表!BL9)</f>
        <v/>
      </c>
      <c r="AR8" s="88" t="str">
        <f>IF(全车数据表!BM9="","",全车数据表!BM9)</f>
        <v/>
      </c>
      <c r="AS8" s="88" t="str">
        <f>IF(全车数据表!BN9="","",全车数据表!BN9)</f>
        <v/>
      </c>
      <c r="AT8" s="88" t="str">
        <f>IF(全车数据表!BO9="","",全车数据表!BO9)</f>
        <v/>
      </c>
      <c r="AU8" s="88" t="str">
        <f>IF(全车数据表!BP9="","",全车数据表!BP9)</f>
        <v/>
      </c>
      <c r="AV8" s="88" t="str">
        <f>IF(全车数据表!BQ9="","",全车数据表!BQ9)</f>
        <v/>
      </c>
      <c r="AW8" s="88" t="str">
        <f>IF(全车数据表!BR9="","",全车数据表!BR9)</f>
        <v/>
      </c>
      <c r="AX8" s="88" t="str">
        <f>IF(全车数据表!BS9="","",全车数据表!BS9)</f>
        <v/>
      </c>
      <c r="AY8" s="88" t="str">
        <f>IF(全车数据表!BT9="","",全车数据表!BT9)</f>
        <v/>
      </c>
      <c r="AZ8" s="88" t="str">
        <f>IF(全车数据表!BU9="","",全车数据表!BU9)</f>
        <v/>
      </c>
      <c r="BA8" s="88" t="str">
        <f>IF(全车数据表!BV9="","",全车数据表!BV9)</f>
        <v>大众</v>
      </c>
      <c r="BB8" s="91">
        <f>IF(全车数据表!AZ9="","",全车数据表!AZ9)</f>
        <v>1</v>
      </c>
    </row>
    <row r="9" spans="1:54">
      <c r="A9" s="88">
        <f>全车数据表!A10</f>
        <v>8</v>
      </c>
      <c r="B9" s="88" t="str">
        <f>全车数据表!B10</f>
        <v>BMW 3.0 CSL Hommage</v>
      </c>
      <c r="C9" s="89" t="str">
        <f>全车数据表!E10</f>
        <v>hommage</v>
      </c>
      <c r="D9" s="88" t="str">
        <f>IF(全车数据表!D10="","",全车数据表!D10)</f>
        <v>BMW</v>
      </c>
      <c r="E9" s="89" t="str">
        <f>全车数据表!H10</f>
        <v>1.3</v>
      </c>
      <c r="F9" s="89" t="str">
        <f>全车数据表!C10</f>
        <v>宝马3.0</v>
      </c>
      <c r="G9" s="89" t="str">
        <f>全车数据表!F10</f>
        <v>D</v>
      </c>
      <c r="H9" s="88">
        <f>LEN(全车数据表!G10)</f>
        <v>3</v>
      </c>
      <c r="I9" s="88" t="str">
        <f>VLOOKUP(全车数据表!P10,辅助计算!A:B,2,FALSE)</f>
        <v>uncm</v>
      </c>
      <c r="J9" s="88">
        <f>全车数据表!Q10</f>
        <v>20</v>
      </c>
      <c r="K9" s="88">
        <f>全车数据表!R10</f>
        <v>20</v>
      </c>
      <c r="L9" s="88">
        <f>全车数据表!S10</f>
        <v>30</v>
      </c>
      <c r="M9" s="88">
        <f>全车数据表!T10</f>
        <v>0</v>
      </c>
      <c r="N9" s="88">
        <f>全车数据表!U10</f>
        <v>0</v>
      </c>
      <c r="O9" s="88">
        <f>全车数据表!V10</f>
        <v>0</v>
      </c>
      <c r="P9" s="88">
        <f>全车数据表!J10</f>
        <v>1827</v>
      </c>
      <c r="Q9" s="88">
        <f>全车数据表!K10</f>
        <v>297.5</v>
      </c>
      <c r="R9" s="88">
        <f>全车数据表!L10</f>
        <v>73.39</v>
      </c>
      <c r="S9" s="88">
        <f>全车数据表!M10</f>
        <v>50.08</v>
      </c>
      <c r="T9" s="88">
        <f>全车数据表!N10</f>
        <v>51.2</v>
      </c>
      <c r="U9" s="88">
        <f>全车数据表!O10</f>
        <v>5.782</v>
      </c>
      <c r="V9" s="88">
        <f>全车数据表!AL10</f>
        <v>727000</v>
      </c>
      <c r="W9" s="88">
        <f>全车数据表!AM10</f>
        <v>7500</v>
      </c>
      <c r="X9" s="88">
        <f>全车数据表!AU10</f>
        <v>210000</v>
      </c>
      <c r="Y9" s="88">
        <f>全车数据表!AV10</f>
        <v>937000</v>
      </c>
      <c r="Z9" s="88">
        <f>全车数据表!AN10</f>
        <v>5</v>
      </c>
      <c r="AA9" s="88">
        <f>全车数据表!AP10</f>
        <v>1</v>
      </c>
      <c r="AB9" s="88">
        <f>全车数据表!AR10</f>
        <v>0</v>
      </c>
      <c r="AC9" s="88">
        <f>全车数据表!AW10</f>
        <v>310</v>
      </c>
      <c r="AD9" s="88">
        <f>全车数据表!AX10</f>
        <v>0</v>
      </c>
      <c r="AE9" s="88">
        <f>全车数据表!AY10</f>
        <v>396</v>
      </c>
      <c r="AF9" s="88" t="str">
        <f>IF(全车数据表!BA10="","",全车数据表!BA10)</f>
        <v>级别杯</v>
      </c>
      <c r="AG9" s="88" t="str">
        <f>IF(全车数据表!BB10="","",全车数据表!BB10)</f>
        <v/>
      </c>
      <c r="AH9" s="88" t="str">
        <f>IF(全车数据表!BC10="","",全车数据表!BC10)</f>
        <v/>
      </c>
      <c r="AI9" s="88">
        <f>IF(全车数据表!BD10="","",全车数据表!BD10)</f>
        <v>1</v>
      </c>
      <c r="AJ9" s="88">
        <f>IF(全车数据表!BE10="","",全车数据表!BE10)</f>
        <v>1</v>
      </c>
      <c r="AK9" s="88" t="str">
        <f>IF(全车数据表!BF10="","",全车数据表!BF10)</f>
        <v/>
      </c>
      <c r="AL9" s="88" t="str">
        <f>IF(全车数据表!BG10="","",全车数据表!BG10)</f>
        <v/>
      </c>
      <c r="AM9" s="88" t="str">
        <f>IF(全车数据表!BH10="","",全车数据表!BH10)</f>
        <v/>
      </c>
      <c r="AN9" s="88" t="str">
        <f>IF(全车数据表!BI10="","",全车数据表!BI10)</f>
        <v/>
      </c>
      <c r="AO9" s="88" t="str">
        <f>IF(全车数据表!BJ10="","",全车数据表!BJ10)</f>
        <v/>
      </c>
      <c r="AP9" s="88" t="str">
        <f>IF(全车数据表!BK10="","",全车数据表!BK10)</f>
        <v/>
      </c>
      <c r="AQ9" s="88" t="str">
        <f>IF(全车数据表!BL10="","",全车数据表!BL10)</f>
        <v/>
      </c>
      <c r="AR9" s="88" t="str">
        <f>IF(全车数据表!BM10="","",全车数据表!BM10)</f>
        <v/>
      </c>
      <c r="AS9" s="88" t="str">
        <f>IF(全车数据表!BN10="","",全车数据表!BN10)</f>
        <v/>
      </c>
      <c r="AT9" s="88" t="str">
        <f>IF(全车数据表!BO10="","",全车数据表!BO10)</f>
        <v/>
      </c>
      <c r="AU9" s="88" t="str">
        <f>IF(全车数据表!BP10="","",全车数据表!BP10)</f>
        <v/>
      </c>
      <c r="AV9" s="88" t="str">
        <f>IF(全车数据表!BQ10="","",全车数据表!BQ10)</f>
        <v/>
      </c>
      <c r="AW9" s="88" t="str">
        <f>IF(全车数据表!BR10="","",全车数据表!BR10)</f>
        <v/>
      </c>
      <c r="AX9" s="88" t="str">
        <f>IF(全车数据表!BS10="","",全车数据表!BS10)</f>
        <v/>
      </c>
      <c r="AY9" s="88" t="str">
        <f>IF(全车数据表!BT10="","",全车数据表!BT10)</f>
        <v/>
      </c>
      <c r="AZ9" s="88" t="str">
        <f>IF(全车数据表!BU10="","",全车数据表!BU10)</f>
        <v/>
      </c>
      <c r="BA9" s="88" t="str">
        <f>IF(全车数据表!BV10="","",全车数据表!BV10)</f>
        <v>宝马</v>
      </c>
      <c r="BB9" s="91">
        <f>IF(全车数据表!AZ10="","",全车数据表!AZ10)</f>
        <v>1</v>
      </c>
    </row>
    <row r="10" spans="1:54">
      <c r="A10" s="88">
        <f>全车数据表!A11</f>
        <v>9</v>
      </c>
      <c r="B10" s="88" t="str">
        <f>全车数据表!B11</f>
        <v>Chevrolet Camaro ZL1 50TH Edition</v>
      </c>
      <c r="C10" s="89" t="str">
        <f>全车数据表!E11</f>
        <v>50th</v>
      </c>
      <c r="D10" s="88" t="str">
        <f>IF(全车数据表!D11="","",全车数据表!D11)</f>
        <v>Chevrolet</v>
      </c>
      <c r="E10" s="89" t="str">
        <f>全车数据表!H11</f>
        <v>1.3</v>
      </c>
      <c r="F10" s="89" t="str">
        <f>全车数据表!C11</f>
        <v>50th</v>
      </c>
      <c r="G10" s="89" t="str">
        <f>全车数据表!F11</f>
        <v>D</v>
      </c>
      <c r="H10" s="88">
        <f>LEN(全车数据表!G11)</f>
        <v>3</v>
      </c>
      <c r="I10" s="88" t="str">
        <f>VLOOKUP(全车数据表!P11,辅助计算!A:B,2,FALSE)</f>
        <v>uncm</v>
      </c>
      <c r="J10" s="88">
        <f>全车数据表!Q11</f>
        <v>20</v>
      </c>
      <c r="K10" s="88">
        <f>全车数据表!R11</f>
        <v>20</v>
      </c>
      <c r="L10" s="88">
        <f>全车数据表!S11</f>
        <v>30</v>
      </c>
      <c r="M10" s="88">
        <f>全车数据表!T11</f>
        <v>0</v>
      </c>
      <c r="N10" s="88">
        <f>全车数据表!U11</f>
        <v>0</v>
      </c>
      <c r="O10" s="88">
        <f>全车数据表!V11</f>
        <v>0</v>
      </c>
      <c r="P10" s="88">
        <f>全车数据表!J11</f>
        <v>1971</v>
      </c>
      <c r="Q10" s="88">
        <f>全车数据表!K11</f>
        <v>272.10000000000002</v>
      </c>
      <c r="R10" s="88">
        <f>全车数据表!L11</f>
        <v>78.14</v>
      </c>
      <c r="S10" s="88">
        <f>全车数据表!M11</f>
        <v>83.14</v>
      </c>
      <c r="T10" s="88">
        <f>全车数据表!N11</f>
        <v>72.33</v>
      </c>
      <c r="U10" s="88">
        <f>全车数据表!O11</f>
        <v>13.016</v>
      </c>
      <c r="V10" s="88">
        <f>全车数据表!AL11</f>
        <v>1082000</v>
      </c>
      <c r="W10" s="88">
        <f>全车数据表!AM11</f>
        <v>7500</v>
      </c>
      <c r="X10" s="88">
        <f>全车数据表!AU11</f>
        <v>210000</v>
      </c>
      <c r="Y10" s="88">
        <f>全车数据表!AV11</f>
        <v>1292000</v>
      </c>
      <c r="Z10" s="88">
        <f>全车数据表!AN11</f>
        <v>5</v>
      </c>
      <c r="AA10" s="88">
        <f>全车数据表!AP11</f>
        <v>1</v>
      </c>
      <c r="AB10" s="88">
        <f>全车数据表!AR11</f>
        <v>0</v>
      </c>
      <c r="AC10" s="88">
        <f>全车数据表!AW11</f>
        <v>284</v>
      </c>
      <c r="AD10" s="88">
        <f>全车数据表!AX11</f>
        <v>0</v>
      </c>
      <c r="AE10" s="88">
        <f>全车数据表!AY11</f>
        <v>365</v>
      </c>
      <c r="AF10" s="88" t="str">
        <f>IF(全车数据表!BA11="","",全车数据表!BA11)</f>
        <v>传奇商店</v>
      </c>
      <c r="AG10" s="88" t="str">
        <f>IF(全车数据表!BB11="","",全车数据表!BB11)</f>
        <v/>
      </c>
      <c r="AH10" s="88" t="str">
        <f>IF(全车数据表!BC11="","",全车数据表!BC11)</f>
        <v/>
      </c>
      <c r="AI10" s="88" t="str">
        <f>IF(全车数据表!BD11="","",全车数据表!BD11)</f>
        <v/>
      </c>
      <c r="AJ10" s="88">
        <f>IF(全车数据表!BE11="","",全车数据表!BE11)</f>
        <v>1</v>
      </c>
      <c r="AK10" s="88" t="str">
        <f>IF(全车数据表!BF11="","",全车数据表!BF11)</f>
        <v/>
      </c>
      <c r="AL10" s="88" t="str">
        <f>IF(全车数据表!BG11="","",全车数据表!BG11)</f>
        <v/>
      </c>
      <c r="AM10" s="88" t="str">
        <f>IF(全车数据表!BH11="","",全车数据表!BH11)</f>
        <v/>
      </c>
      <c r="AN10" s="88" t="str">
        <f>IF(全车数据表!BI11="","",全车数据表!BI11)</f>
        <v/>
      </c>
      <c r="AO10" s="88" t="str">
        <f>IF(全车数据表!BJ11="","",全车数据表!BJ11)</f>
        <v/>
      </c>
      <c r="AP10" s="88" t="str">
        <f>IF(全车数据表!BK11="","",全车数据表!BK11)</f>
        <v/>
      </c>
      <c r="AQ10" s="88" t="str">
        <f>IF(全车数据表!BL11="","",全车数据表!BL11)</f>
        <v/>
      </c>
      <c r="AR10" s="88" t="str">
        <f>IF(全车数据表!BM11="","",全车数据表!BM11)</f>
        <v/>
      </c>
      <c r="AS10" s="88" t="str">
        <f>IF(全车数据表!BN11="","",全车数据表!BN11)</f>
        <v/>
      </c>
      <c r="AT10" s="88" t="str">
        <f>IF(全车数据表!BO11="","",全车数据表!BO11)</f>
        <v/>
      </c>
      <c r="AU10" s="88" t="str">
        <f>IF(全车数据表!BP11="","",全车数据表!BP11)</f>
        <v/>
      </c>
      <c r="AV10" s="88" t="str">
        <f>IF(全车数据表!BQ11="","",全车数据表!BQ11)</f>
        <v>1款</v>
      </c>
      <c r="AW10" s="88">
        <f>IF(全车数据表!BR11="","",全车数据表!BR11)</f>
        <v>1</v>
      </c>
      <c r="AX10" s="88" t="str">
        <f>IF(全车数据表!BS11="","",全车数据表!BS11)</f>
        <v/>
      </c>
      <c r="AY10" s="88" t="str">
        <f>IF(全车数据表!BT11="","",全车数据表!BT11)</f>
        <v/>
      </c>
      <c r="AZ10" s="88" t="str">
        <f>IF(全车数据表!BU11="","",全车数据表!BU11)</f>
        <v/>
      </c>
      <c r="BA10" s="88" t="str">
        <f>IF(全车数据表!BV11="","",全车数据表!BV11)</f>
        <v>雪佛兰 科迈罗</v>
      </c>
      <c r="BB10" s="91">
        <f>IF(全车数据表!AZ11="","",全车数据表!AZ11)</f>
        <v>8</v>
      </c>
    </row>
    <row r="11" spans="1:54">
      <c r="A11" s="88">
        <f>全车数据表!A12</f>
        <v>10</v>
      </c>
      <c r="B11" s="88" t="str">
        <f>全车数据表!B12</f>
        <v>DS Automobiles DS E-Tense</v>
      </c>
      <c r="C11" s="89" t="str">
        <f>全车数据表!E12</f>
        <v>ds</v>
      </c>
      <c r="D11" s="88" t="str">
        <f>IF(全车数据表!D12="","",全车数据表!D12)</f>
        <v>DS Automobiles</v>
      </c>
      <c r="E11" s="89" t="str">
        <f>全车数据表!H12</f>
        <v>1.3</v>
      </c>
      <c r="F11" s="89" t="str">
        <f>全车数据表!C12</f>
        <v>DS</v>
      </c>
      <c r="G11" s="89" t="str">
        <f>全车数据表!F12</f>
        <v>D</v>
      </c>
      <c r="H11" s="88">
        <f>LEN(全车数据表!G12)</f>
        <v>3</v>
      </c>
      <c r="I11" s="88" t="str">
        <f>VLOOKUP(全车数据表!P12,辅助计算!A:B,2,FALSE)</f>
        <v>uncm</v>
      </c>
      <c r="J11" s="88">
        <f>全车数据表!Q12</f>
        <v>20</v>
      </c>
      <c r="K11" s="88">
        <f>全车数据表!R12</f>
        <v>25</v>
      </c>
      <c r="L11" s="88">
        <f>全车数据表!S12</f>
        <v>30</v>
      </c>
      <c r="M11" s="88">
        <f>全车数据表!T12</f>
        <v>0</v>
      </c>
      <c r="N11" s="88">
        <f>全车数据表!U12</f>
        <v>0</v>
      </c>
      <c r="O11" s="88">
        <f>全车数据表!V12</f>
        <v>0</v>
      </c>
      <c r="P11" s="88">
        <f>全车数据表!J12</f>
        <v>1976</v>
      </c>
      <c r="Q11" s="88">
        <f>全车数据表!K12</f>
        <v>270.10000000000002</v>
      </c>
      <c r="R11" s="88">
        <f>全车数据表!L12</f>
        <v>76.069999999999993</v>
      </c>
      <c r="S11" s="88">
        <f>全车数据表!M12</f>
        <v>81.27</v>
      </c>
      <c r="T11" s="88">
        <f>全车数据表!N12</f>
        <v>72.3</v>
      </c>
      <c r="U11" s="88">
        <f>全车数据表!O12</f>
        <v>13.1</v>
      </c>
      <c r="V11" s="88">
        <f>全车数据表!AL12</f>
        <v>0</v>
      </c>
      <c r="W11" s="88">
        <f>全车数据表!AM12</f>
        <v>7500</v>
      </c>
      <c r="X11" s="88">
        <f>全车数据表!AU12</f>
        <v>210000</v>
      </c>
      <c r="Y11" s="88">
        <f>全车数据表!AV12</f>
        <v>0</v>
      </c>
      <c r="Z11" s="88">
        <f>全车数据表!AN12</f>
        <v>5</v>
      </c>
      <c r="AA11" s="88">
        <f>全车数据表!AP12</f>
        <v>1</v>
      </c>
      <c r="AB11" s="88">
        <f>全车数据表!AR12</f>
        <v>0</v>
      </c>
      <c r="AC11" s="88">
        <f>全车数据表!AW12</f>
        <v>282</v>
      </c>
      <c r="AD11" s="88">
        <f>全车数据表!AX12</f>
        <v>0</v>
      </c>
      <c r="AE11" s="88">
        <f>全车数据表!AY12</f>
        <v>363</v>
      </c>
      <c r="AF11" s="88" t="str">
        <f>IF(全车数据表!BA12="","",全车数据表!BA12)</f>
        <v>级别杯</v>
      </c>
      <c r="AG11" s="88" t="str">
        <f>IF(全车数据表!BB12="","",全车数据表!BB12)</f>
        <v/>
      </c>
      <c r="AH11" s="88" t="str">
        <f>IF(全车数据表!BC12="","",全车数据表!BC12)</f>
        <v/>
      </c>
      <c r="AI11" s="88" t="str">
        <f>IF(全车数据表!BD12="","",全车数据表!BD12)</f>
        <v/>
      </c>
      <c r="AJ11" s="88" t="str">
        <f>IF(全车数据表!BE12="","",全车数据表!BE12)</f>
        <v/>
      </c>
      <c r="AK11" s="88" t="str">
        <f>IF(全车数据表!BF12="","",全车数据表!BF12)</f>
        <v/>
      </c>
      <c r="AL11" s="88" t="str">
        <f>IF(全车数据表!BG12="","",全车数据表!BG12)</f>
        <v/>
      </c>
      <c r="AM11" s="88" t="str">
        <f>IF(全车数据表!BH12="","",全车数据表!BH12)</f>
        <v/>
      </c>
      <c r="AN11" s="88" t="str">
        <f>IF(全车数据表!BI12="","",全车数据表!BI12)</f>
        <v/>
      </c>
      <c r="AO11" s="88" t="str">
        <f>IF(全车数据表!BJ12="","",全车数据表!BJ12)</f>
        <v/>
      </c>
      <c r="AP11" s="88" t="str">
        <f>IF(全车数据表!BK12="","",全车数据表!BK12)</f>
        <v/>
      </c>
      <c r="AQ11" s="88" t="str">
        <f>IF(全车数据表!BL12="","",全车数据表!BL12)</f>
        <v/>
      </c>
      <c r="AR11" s="88" t="str">
        <f>IF(全车数据表!BM12="","",全车数据表!BM12)</f>
        <v/>
      </c>
      <c r="AS11" s="88" t="str">
        <f>IF(全车数据表!BN12="","",全车数据表!BN12)</f>
        <v/>
      </c>
      <c r="AT11" s="88" t="str">
        <f>IF(全车数据表!BO12="","",全车数据表!BO12)</f>
        <v/>
      </c>
      <c r="AU11" s="88" t="str">
        <f>IF(全车数据表!BP12="","",全车数据表!BP12)</f>
        <v/>
      </c>
      <c r="AV11" s="88" t="str">
        <f>IF(全车数据表!BQ12="","",全车数据表!BQ12)</f>
        <v>2022虎年春节</v>
      </c>
      <c r="AW11" s="88" t="str">
        <f>IF(全车数据表!BR12="","",全车数据表!BR12)</f>
        <v/>
      </c>
      <c r="AX11" s="88" t="str">
        <f>IF(全车数据表!BS12="","",全车数据表!BS12)</f>
        <v/>
      </c>
      <c r="AY11" s="88" t="str">
        <f>IF(全车数据表!BT12="","",全车数据表!BT12)</f>
        <v/>
      </c>
      <c r="AZ11" s="88" t="str">
        <f>IF(全车数据表!BU12="","",全车数据表!BU12)</f>
        <v/>
      </c>
      <c r="BA11" s="88" t="str">
        <f>IF(全车数据表!BV12="","",全车数据表!BV12)</f>
        <v>屌丝龙</v>
      </c>
      <c r="BB11" s="91">
        <f>IF(全车数据表!AZ12="","",全车数据表!AZ12)</f>
        <v>8</v>
      </c>
    </row>
    <row r="12" spans="1:54">
      <c r="A12" s="88">
        <f>全车数据表!A13</f>
        <v>11</v>
      </c>
      <c r="B12" s="88" t="str">
        <f>全车数据表!B13</f>
        <v>Porsche Boxster 25th</v>
      </c>
      <c r="C12" s="89" t="str">
        <f>全车数据表!E13</f>
        <v>boxster</v>
      </c>
      <c r="D12" s="88" t="str">
        <f>IF(全车数据表!D13="","",全车数据表!D13)</f>
        <v>Porsche</v>
      </c>
      <c r="E12" s="89" t="str">
        <f>全车数据表!H13</f>
        <v>3.9</v>
      </c>
      <c r="F12" s="89" t="str">
        <f>全车数据表!C13</f>
        <v>Boxster</v>
      </c>
      <c r="G12" s="89" t="str">
        <f>全车数据表!F13</f>
        <v>D</v>
      </c>
      <c r="H12" s="88">
        <f>LEN(全车数据表!G13)</f>
        <v>4</v>
      </c>
      <c r="I12" s="88" t="str">
        <f>VLOOKUP(全车数据表!P13,辅助计算!A:B,2,FALSE)</f>
        <v>rare</v>
      </c>
      <c r="J12" s="88">
        <f>全车数据表!Q13</f>
        <v>20</v>
      </c>
      <c r="K12" s="88">
        <f>全车数据表!R13</f>
        <v>30</v>
      </c>
      <c r="L12" s="88">
        <f>全车数据表!S13</f>
        <v>41</v>
      </c>
      <c r="M12" s="88">
        <f>全车数据表!T13</f>
        <v>45</v>
      </c>
      <c r="N12" s="88">
        <f>全车数据表!U13</f>
        <v>0</v>
      </c>
      <c r="O12" s="88">
        <f>全车数据表!V13</f>
        <v>0</v>
      </c>
      <c r="P12" s="88">
        <f>全车数据表!J13</f>
        <v>1985</v>
      </c>
      <c r="Q12" s="88">
        <f>全车数据表!K13</f>
        <v>298.7</v>
      </c>
      <c r="R12" s="88">
        <f>全车数据表!L13</f>
        <v>72.12</v>
      </c>
      <c r="S12" s="88">
        <f>全车数据表!M13</f>
        <v>46.1</v>
      </c>
      <c r="T12" s="88">
        <f>全车数据表!N13</f>
        <v>54.35</v>
      </c>
      <c r="U12" s="88">
        <f>全车数据表!O13</f>
        <v>0</v>
      </c>
      <c r="V12" s="88">
        <f>全车数据表!AL13</f>
        <v>1758000</v>
      </c>
      <c r="W12" s="88">
        <f>全车数据表!AM13</f>
        <v>16500</v>
      </c>
      <c r="X12" s="88">
        <f>全车数据表!AU13</f>
        <v>1122000</v>
      </c>
      <c r="Y12" s="88">
        <f>全车数据表!AV13</f>
        <v>2880000</v>
      </c>
      <c r="Z12" s="88">
        <f>全车数据表!AN13</f>
        <v>7</v>
      </c>
      <c r="AA12" s="88">
        <f>全车数据表!AP13</f>
        <v>2</v>
      </c>
      <c r="AB12" s="88">
        <f>全车数据表!AR13</f>
        <v>1</v>
      </c>
      <c r="AC12" s="88">
        <f>全车数据表!AW13</f>
        <v>311</v>
      </c>
      <c r="AD12" s="88">
        <f>全车数据表!AX13</f>
        <v>0</v>
      </c>
      <c r="AE12" s="88">
        <f>全车数据表!AY13</f>
        <v>398</v>
      </c>
      <c r="AF12" s="88" t="str">
        <f>IF(全车数据表!BA13="","",全车数据表!BA13)</f>
        <v>周末爆冲</v>
      </c>
      <c r="AG12" s="88" t="str">
        <f>IF(全车数据表!BB13="","",全车数据表!BB13)</f>
        <v/>
      </c>
      <c r="AH12" s="88" t="str">
        <f>IF(全车数据表!BC13="","",全车数据表!BC13)</f>
        <v/>
      </c>
      <c r="AI12" s="88" t="str">
        <f>IF(全车数据表!BD13="","",全车数据表!BD13)</f>
        <v/>
      </c>
      <c r="AJ12" s="88" t="str">
        <f>IF(全车数据表!BE13="","",全车数据表!BE13)</f>
        <v/>
      </c>
      <c r="AK12" s="88" t="str">
        <f>IF(全车数据表!BF13="","",全车数据表!BF13)</f>
        <v/>
      </c>
      <c r="AL12" s="88">
        <f>IF(全车数据表!BG13="","",全车数据表!BG13)</f>
        <v>1</v>
      </c>
      <c r="AM12" s="88" t="str">
        <f>IF(全车数据表!BH13="","",全车数据表!BH13)</f>
        <v/>
      </c>
      <c r="AN12" s="88" t="str">
        <f>IF(全车数据表!BI13="","",全车数据表!BI13)</f>
        <v/>
      </c>
      <c r="AO12" s="88" t="str">
        <f>IF(全车数据表!BJ13="","",全车数据表!BJ13)</f>
        <v/>
      </c>
      <c r="AP12" s="88" t="str">
        <f>IF(全车数据表!BK13="","",全车数据表!BK13)</f>
        <v/>
      </c>
      <c r="AQ12" s="88" t="str">
        <f>IF(全车数据表!BL13="","",全车数据表!BL13)</f>
        <v/>
      </c>
      <c r="AR12" s="88" t="str">
        <f>IF(全车数据表!BM13="","",全车数据表!BM13)</f>
        <v/>
      </c>
      <c r="AS12" s="88" t="str">
        <f>IF(全车数据表!BN13="","",全车数据表!BN13)</f>
        <v/>
      </c>
      <c r="AT12" s="88" t="str">
        <f>IF(全车数据表!BO13="","",全车数据表!BO13)</f>
        <v/>
      </c>
      <c r="AU12" s="88" t="str">
        <f>IF(全车数据表!BP13="","",全车数据表!BP13)</f>
        <v/>
      </c>
      <c r="AV12" s="88" t="str">
        <f>IF(全车数据表!BQ13="","",全车数据表!BQ13)</f>
        <v/>
      </c>
      <c r="AW12" s="88" t="str">
        <f>IF(全车数据表!BR13="","",全车数据表!BR13)</f>
        <v/>
      </c>
      <c r="AX12" s="88" t="str">
        <f>IF(全车数据表!BS13="","",全车数据表!BS13)</f>
        <v/>
      </c>
      <c r="AY12" s="88" t="str">
        <f>IF(全车数据表!BT13="","",全车数据表!BT13)</f>
        <v/>
      </c>
      <c r="AZ12" s="88" t="str">
        <f>IF(全车数据表!BU13="","",全车数据表!BU13)</f>
        <v/>
      </c>
      <c r="BA12" s="88" t="str">
        <f>IF(全车数据表!BV13="","",全车数据表!BV13)</f>
        <v>保时捷</v>
      </c>
      <c r="BB12" s="91" t="str">
        <f>IF(全车数据表!AZ13="","",全车数据表!AZ13)</f>
        <v/>
      </c>
    </row>
    <row r="13" spans="1:54">
      <c r="A13" s="88">
        <f>全车数据表!A14</f>
        <v>12</v>
      </c>
      <c r="B13" s="88" t="str">
        <f>全车数据表!B14</f>
        <v>Nissan Leaf Nismo RC</v>
      </c>
      <c r="C13" s="89" t="str">
        <f>全车数据表!E14</f>
        <v>rc</v>
      </c>
      <c r="D13" s="88" t="str">
        <f>IF(全车数据表!D14="","",全车数据表!D14)</f>
        <v>Nissan</v>
      </c>
      <c r="E13" s="89" t="str">
        <f>全车数据表!H14</f>
        <v>2.2</v>
      </c>
      <c r="F13" s="89" t="str">
        <f>全车数据表!C14</f>
        <v>RC</v>
      </c>
      <c r="G13" s="89" t="str">
        <f>全车数据表!F14</f>
        <v>D</v>
      </c>
      <c r="H13" s="88">
        <f>LEN(全车数据表!G14)</f>
        <v>4</v>
      </c>
      <c r="I13" s="88" t="str">
        <f>VLOOKUP(全车数据表!P14,辅助计算!A:B,2,FALSE)</f>
        <v>uncm</v>
      </c>
      <c r="J13" s="88">
        <f>全车数据表!Q14</f>
        <v>30</v>
      </c>
      <c r="K13" s="88">
        <f>全车数据表!R14</f>
        <v>12</v>
      </c>
      <c r="L13" s="88">
        <f>全车数据表!S14</f>
        <v>18</v>
      </c>
      <c r="M13" s="88">
        <f>全车数据表!T14</f>
        <v>28</v>
      </c>
      <c r="N13" s="88">
        <f>全车数据表!U14</f>
        <v>0</v>
      </c>
      <c r="O13" s="88">
        <f>全车数据表!V14</f>
        <v>0</v>
      </c>
      <c r="P13" s="88">
        <f>全车数据表!J14</f>
        <v>2101</v>
      </c>
      <c r="Q13" s="88">
        <f>全车数据表!K14</f>
        <v>250.6</v>
      </c>
      <c r="R13" s="88">
        <f>全车数据表!L14</f>
        <v>78.87</v>
      </c>
      <c r="S13" s="88">
        <f>全车数据表!M14</f>
        <v>59.91</v>
      </c>
      <c r="T13" s="88">
        <f>全车数据表!N14</f>
        <v>65.03</v>
      </c>
      <c r="U13" s="88">
        <f>全车数据表!O14</f>
        <v>11.4</v>
      </c>
      <c r="V13" s="88">
        <f>全车数据表!AL14</f>
        <v>912000</v>
      </c>
      <c r="W13" s="88">
        <f>全车数据表!AM14</f>
        <v>9000</v>
      </c>
      <c r="X13" s="88">
        <f>全车数据表!AU14</f>
        <v>612000</v>
      </c>
      <c r="Y13" s="88">
        <f>全车数据表!AV14</f>
        <v>1524000</v>
      </c>
      <c r="Z13" s="88">
        <f>全车数据表!AN14</f>
        <v>7</v>
      </c>
      <c r="AA13" s="88">
        <f>全车数据表!AP14</f>
        <v>2</v>
      </c>
      <c r="AB13" s="88">
        <f>全车数据表!AR14</f>
        <v>1</v>
      </c>
      <c r="AC13" s="88">
        <f>全车数据表!AW14</f>
        <v>261</v>
      </c>
      <c r="AD13" s="88">
        <f>全车数据表!AX14</f>
        <v>284</v>
      </c>
      <c r="AE13" s="88">
        <f>全车数据表!AY14</f>
        <v>361</v>
      </c>
      <c r="AF13" s="88" t="str">
        <f>IF(全车数据表!BA14="","",全车数据表!BA14)</f>
        <v>寻车</v>
      </c>
      <c r="AG13" s="88" t="str">
        <f>IF(全车数据表!BB14="","",全车数据表!BB14)</f>
        <v/>
      </c>
      <c r="AH13" s="88" t="str">
        <f>IF(全车数据表!BC14="","",全车数据表!BC14)</f>
        <v/>
      </c>
      <c r="AI13" s="88">
        <f>IF(全车数据表!BD14="","",全车数据表!BD14)</f>
        <v>1</v>
      </c>
      <c r="AJ13" s="88" t="str">
        <f>IF(全车数据表!BE14="","",全车数据表!BE14)</f>
        <v/>
      </c>
      <c r="AK13" s="88" t="str">
        <f>IF(全车数据表!BF14="","",全车数据表!BF14)</f>
        <v/>
      </c>
      <c r="AL13" s="88">
        <f>IF(全车数据表!BG14="","",全车数据表!BG14)</f>
        <v>1</v>
      </c>
      <c r="AM13" s="88" t="str">
        <f>IF(全车数据表!BH14="","",全车数据表!BH14)</f>
        <v/>
      </c>
      <c r="AN13" s="88" t="str">
        <f>IF(全车数据表!BI14="","",全车数据表!BI14)</f>
        <v/>
      </c>
      <c r="AO13" s="88" t="str">
        <f>IF(全车数据表!BJ14="","",全车数据表!BJ14)</f>
        <v/>
      </c>
      <c r="AP13" s="88" t="str">
        <f>IF(全车数据表!BK14="","",全车数据表!BK14)</f>
        <v/>
      </c>
      <c r="AQ13" s="88" t="str">
        <f>IF(全车数据表!BL14="","",全车数据表!BL14)</f>
        <v/>
      </c>
      <c r="AR13" s="88" t="str">
        <f>IF(全车数据表!BM14="","",全车数据表!BM14)</f>
        <v/>
      </c>
      <c r="AS13" s="88" t="str">
        <f>IF(全车数据表!BN14="","",全车数据表!BN14)</f>
        <v/>
      </c>
      <c r="AT13" s="88" t="str">
        <f>IF(全车数据表!BO14="","",全车数据表!BO14)</f>
        <v/>
      </c>
      <c r="AU13" s="88" t="str">
        <f>IF(全车数据表!BP14="","",全车数据表!BP14)</f>
        <v/>
      </c>
      <c r="AV13" s="88" t="str">
        <f>IF(全车数据表!BQ14="","",全车数据表!BQ14)</f>
        <v/>
      </c>
      <c r="AW13" s="88" t="str">
        <f>IF(全车数据表!BR14="","",全车数据表!BR14)</f>
        <v/>
      </c>
      <c r="AX13" s="88" t="str">
        <f>IF(全车数据表!BS14="","",全车数据表!BS14)</f>
        <v/>
      </c>
      <c r="AY13" s="88" t="str">
        <f>IF(全车数据表!BT14="","",全车数据表!BT14)</f>
        <v/>
      </c>
      <c r="AZ13" s="88" t="str">
        <f>IF(全车数据表!BU14="","",全车数据表!BU14)</f>
        <v/>
      </c>
      <c r="BA13" s="88" t="str">
        <f>IF(全车数据表!BV14="","",全车数据表!BV14)</f>
        <v>日产 尼桑 聆风</v>
      </c>
      <c r="BB13" s="91">
        <f>IF(全车数据表!AZ14="","",全车数据表!AZ14)</f>
        <v>1</v>
      </c>
    </row>
    <row r="14" spans="1:54">
      <c r="A14" s="88">
        <f>全车数据表!A15</f>
        <v>13</v>
      </c>
      <c r="B14" s="88" t="str">
        <f>全车数据表!B15</f>
        <v>BMW i8 Roadster</v>
      </c>
      <c r="C14" s="89" t="str">
        <f>全车数据表!E15</f>
        <v>i8</v>
      </c>
      <c r="D14" s="88" t="str">
        <f>IF(全车数据表!D15="","",全车数据表!D15)</f>
        <v>BMW</v>
      </c>
      <c r="E14" s="89" t="str">
        <f>全车数据表!H15</f>
        <v>2.7</v>
      </c>
      <c r="F14" s="89" t="str">
        <f>全车数据表!C15</f>
        <v>i8</v>
      </c>
      <c r="G14" s="89" t="str">
        <f>全车数据表!F15</f>
        <v>D</v>
      </c>
      <c r="H14" s="88">
        <f>LEN(全车数据表!G15)</f>
        <v>4</v>
      </c>
      <c r="I14" s="88" t="str">
        <f>VLOOKUP(全车数据表!P15,辅助计算!A:B,2,FALSE)</f>
        <v>uncm</v>
      </c>
      <c r="J14" s="88">
        <f>全车数据表!Q15</f>
        <v>20</v>
      </c>
      <c r="K14" s="88">
        <f>全车数据表!R15</f>
        <v>30</v>
      </c>
      <c r="L14" s="88">
        <f>全车数据表!S15</f>
        <v>41</v>
      </c>
      <c r="M14" s="88">
        <f>全车数据表!T15</f>
        <v>45</v>
      </c>
      <c r="N14" s="88">
        <f>全车数据表!U15</f>
        <v>0</v>
      </c>
      <c r="O14" s="88">
        <f>全车数据表!V15</f>
        <v>0</v>
      </c>
      <c r="P14" s="88">
        <f>全车数据表!J15</f>
        <v>2122</v>
      </c>
      <c r="Q14" s="88">
        <f>全车数据表!K15</f>
        <v>273.10000000000002</v>
      </c>
      <c r="R14" s="88">
        <f>全车数据表!L15</f>
        <v>79.73</v>
      </c>
      <c r="S14" s="88">
        <f>全车数据表!M15</f>
        <v>78.63</v>
      </c>
      <c r="T14" s="88">
        <f>全车数据表!N15</f>
        <v>66.87</v>
      </c>
      <c r="U14" s="88">
        <f>全车数据表!O15</f>
        <v>0</v>
      </c>
      <c r="V14" s="88">
        <f>全车数据表!AL15</f>
        <v>0</v>
      </c>
      <c r="W14" s="88">
        <f>全车数据表!AM15</f>
        <v>9000</v>
      </c>
      <c r="X14" s="88">
        <f>全车数据表!AU15</f>
        <v>612000</v>
      </c>
      <c r="Y14" s="88">
        <f>全车数据表!AV15</f>
        <v>0</v>
      </c>
      <c r="Z14" s="88">
        <f>全车数据表!AN15</f>
        <v>7</v>
      </c>
      <c r="AA14" s="88">
        <f>全车数据表!AP15</f>
        <v>2</v>
      </c>
      <c r="AB14" s="88">
        <f>全车数据表!AR15</f>
        <v>1</v>
      </c>
      <c r="AC14" s="88">
        <f>全车数据表!AW15</f>
        <v>285</v>
      </c>
      <c r="AD14" s="88">
        <f>全车数据表!AX15</f>
        <v>294</v>
      </c>
      <c r="AE14" s="88">
        <f>全车数据表!AY15</f>
        <v>375</v>
      </c>
      <c r="AF14" s="88" t="str">
        <f>IF(全车数据表!BA15="","",全车数据表!BA15)</f>
        <v>联会赛事</v>
      </c>
      <c r="AG14" s="88" t="str">
        <f>IF(全车数据表!BB15="","",全车数据表!BB15)</f>
        <v/>
      </c>
      <c r="AH14" s="88" t="str">
        <f>IF(全车数据表!BC15="","",全车数据表!BC15)</f>
        <v/>
      </c>
      <c r="AI14" s="88" t="str">
        <f>IF(全车数据表!BD15="","",全车数据表!BD15)</f>
        <v/>
      </c>
      <c r="AJ14" s="88" t="str">
        <f>IF(全车数据表!BE15="","",全车数据表!BE15)</f>
        <v/>
      </c>
      <c r="AK14" s="88" t="str">
        <f>IF(全车数据表!BF15="","",全车数据表!BF15)</f>
        <v/>
      </c>
      <c r="AL14" s="88" t="str">
        <f>IF(全车数据表!BG15="","",全车数据表!BG15)</f>
        <v/>
      </c>
      <c r="AM14" s="88" t="str">
        <f>IF(全车数据表!BH15="","",全车数据表!BH15)</f>
        <v/>
      </c>
      <c r="AN14" s="88" t="str">
        <f>IF(全车数据表!BI15="","",全车数据表!BI15)</f>
        <v/>
      </c>
      <c r="AO14" s="88" t="str">
        <f>IF(全车数据表!BJ15="","",全车数据表!BJ15)</f>
        <v/>
      </c>
      <c r="AP14" s="88" t="str">
        <f>IF(全车数据表!BK15="","",全车数据表!BK15)</f>
        <v/>
      </c>
      <c r="AQ14" s="88" t="str">
        <f>IF(全车数据表!BL15="","",全车数据表!BL15)</f>
        <v/>
      </c>
      <c r="AR14" s="88" t="str">
        <f>IF(全车数据表!BM15="","",全车数据表!BM15)</f>
        <v/>
      </c>
      <c r="AS14" s="88">
        <f>IF(全车数据表!BN15="","",全车数据表!BN15)</f>
        <v>1</v>
      </c>
      <c r="AT14" s="88" t="str">
        <f>IF(全车数据表!BO15="","",全车数据表!BO15)</f>
        <v/>
      </c>
      <c r="AU14" s="88" t="str">
        <f>IF(全车数据表!BP15="","",全车数据表!BP15)</f>
        <v/>
      </c>
      <c r="AV14" s="88" t="str">
        <f>IF(全车数据表!BQ15="","",全车数据表!BQ15)</f>
        <v/>
      </c>
      <c r="AW14" s="88" t="str">
        <f>IF(全车数据表!BR15="","",全车数据表!BR15)</f>
        <v/>
      </c>
      <c r="AX14" s="88" t="str">
        <f>IF(全车数据表!BS15="","",全车数据表!BS15)</f>
        <v>可开合</v>
      </c>
      <c r="AY14" s="88" t="str">
        <f>IF(全车数据表!BT15="","",全车数据表!BT15)</f>
        <v/>
      </c>
      <c r="AZ14" s="88" t="str">
        <f>IF(全车数据表!BU15="","",全车数据表!BU15)</f>
        <v/>
      </c>
      <c r="BA14" s="88" t="str">
        <f>IF(全车数据表!BV15="","",全车数据表!BV15)</f>
        <v>宝马</v>
      </c>
      <c r="BB14" s="91" t="str">
        <f>IF(全车数据表!AZ15="","",全车数据表!AZ15)</f>
        <v/>
      </c>
    </row>
    <row r="15" spans="1:54">
      <c r="A15" s="88">
        <f>全车数据表!A16</f>
        <v>14</v>
      </c>
      <c r="B15" s="88" t="str">
        <f>全车数据表!B16</f>
        <v>Italdesign Davinci</v>
      </c>
      <c r="C15" s="89" t="str">
        <f>全车数据表!E16</f>
        <v>davinci</v>
      </c>
      <c r="D15" s="88" t="str">
        <f>IF(全车数据表!D16="","",全车数据表!D16)</f>
        <v>Italdesign</v>
      </c>
      <c r="E15" s="89" t="str">
        <f>全车数据表!H16</f>
        <v>2.9</v>
      </c>
      <c r="F15" s="89" t="str">
        <f>全车数据表!C16</f>
        <v>达芬奇</v>
      </c>
      <c r="G15" s="89" t="str">
        <f>全车数据表!F16</f>
        <v>D</v>
      </c>
      <c r="H15" s="88">
        <f>LEN(全车数据表!G16)</f>
        <v>4</v>
      </c>
      <c r="I15" s="88" t="str">
        <f>VLOOKUP(全车数据表!P16,辅助计算!A:B,2,FALSE)</f>
        <v>rare</v>
      </c>
      <c r="J15" s="88">
        <f>全车数据表!Q16</f>
        <v>20</v>
      </c>
      <c r="K15" s="88">
        <f>全车数据表!R16</f>
        <v>30</v>
      </c>
      <c r="L15" s="88">
        <f>全车数据表!S16</f>
        <v>41</v>
      </c>
      <c r="M15" s="88">
        <f>全车数据表!T16</f>
        <v>45</v>
      </c>
      <c r="N15" s="88">
        <f>全车数据表!U16</f>
        <v>0</v>
      </c>
      <c r="O15" s="88">
        <f>全车数据表!V16</f>
        <v>0</v>
      </c>
      <c r="P15" s="88">
        <f>全车数据表!J16</f>
        <v>2210</v>
      </c>
      <c r="Q15" s="88">
        <f>全车数据表!K16</f>
        <v>278</v>
      </c>
      <c r="R15" s="88">
        <f>全车数据表!L16</f>
        <v>83.52</v>
      </c>
      <c r="S15" s="88">
        <f>全车数据表!M16</f>
        <v>73.569999999999993</v>
      </c>
      <c r="T15" s="88">
        <f>全车数据表!N16</f>
        <v>55.34</v>
      </c>
      <c r="U15" s="88">
        <f>全车数据表!O16</f>
        <v>0</v>
      </c>
      <c r="V15" s="88">
        <f>全车数据表!AL16</f>
        <v>1758000</v>
      </c>
      <c r="W15" s="88">
        <f>全车数据表!AM16</f>
        <v>10000</v>
      </c>
      <c r="X15" s="88">
        <f>全车数据表!AU16</f>
        <v>680000</v>
      </c>
      <c r="Y15" s="88">
        <f>全车数据表!AV16</f>
        <v>2438000</v>
      </c>
      <c r="Z15" s="88">
        <f>全车数据表!AN16</f>
        <v>7</v>
      </c>
      <c r="AA15" s="88">
        <f>全车数据表!AP16</f>
        <v>2</v>
      </c>
      <c r="AB15" s="88">
        <f>全车数据表!AR16</f>
        <v>1</v>
      </c>
      <c r="AC15" s="88">
        <f>全车数据表!AW16</f>
        <v>290</v>
      </c>
      <c r="AD15" s="88">
        <f>全车数据表!AX16</f>
        <v>0</v>
      </c>
      <c r="AE15" s="88">
        <f>全车数据表!AY16</f>
        <v>372</v>
      </c>
      <c r="AF15" s="88" t="str">
        <f>IF(全车数据表!BA16="","",全车数据表!BA16)</f>
        <v>联会赛事</v>
      </c>
      <c r="AG15" s="88" t="str">
        <f>IF(全车数据表!BB16="","",全车数据表!BB16)</f>
        <v/>
      </c>
      <c r="AH15" s="88" t="str">
        <f>IF(全车数据表!BC16="","",全车数据表!BC16)</f>
        <v/>
      </c>
      <c r="AI15" s="88" t="str">
        <f>IF(全车数据表!BD16="","",全车数据表!BD16)</f>
        <v/>
      </c>
      <c r="AJ15" s="88">
        <f>IF(全车数据表!BE16="","",全车数据表!BE16)</f>
        <v>1</v>
      </c>
      <c r="AK15" s="88" t="str">
        <f>IF(全车数据表!BF16="","",全车数据表!BF16)</f>
        <v/>
      </c>
      <c r="AL15" s="88" t="str">
        <f>IF(全车数据表!BG16="","",全车数据表!BG16)</f>
        <v/>
      </c>
      <c r="AM15" s="88" t="str">
        <f>IF(全车数据表!BH16="","",全车数据表!BH16)</f>
        <v/>
      </c>
      <c r="AN15" s="88" t="str">
        <f>IF(全车数据表!BI16="","",全车数据表!BI16)</f>
        <v/>
      </c>
      <c r="AO15" s="88" t="str">
        <f>IF(全车数据表!BJ16="","",全车数据表!BJ16)</f>
        <v/>
      </c>
      <c r="AP15" s="88" t="str">
        <f>IF(全车数据表!BK16="","",全车数据表!BK16)</f>
        <v/>
      </c>
      <c r="AQ15" s="88" t="str">
        <f>IF(全车数据表!BL16="","",全车数据表!BL16)</f>
        <v/>
      </c>
      <c r="AR15" s="88" t="str">
        <f>IF(全车数据表!BM16="","",全车数据表!BM16)</f>
        <v/>
      </c>
      <c r="AS15" s="88">
        <f>IF(全车数据表!BN16="","",全车数据表!BN16)</f>
        <v>1</v>
      </c>
      <c r="AT15" s="88" t="str">
        <f>IF(全车数据表!BO16="","",全车数据表!BO16)</f>
        <v/>
      </c>
      <c r="AU15" s="88" t="str">
        <f>IF(全车数据表!BP16="","",全车数据表!BP16)</f>
        <v/>
      </c>
      <c r="AV15" s="88" t="str">
        <f>IF(全车数据表!BQ16="","",全车数据表!BQ16)</f>
        <v/>
      </c>
      <c r="AW15" s="88" t="str">
        <f>IF(全车数据表!BR16="","",全车数据表!BR16)</f>
        <v/>
      </c>
      <c r="AX15" s="88" t="str">
        <f>IF(全车数据表!BS16="","",全车数据表!BS16)</f>
        <v/>
      </c>
      <c r="AY15" s="88" t="str">
        <f>IF(全车数据表!BT16="","",全车数据表!BT16)</f>
        <v/>
      </c>
      <c r="AZ15" s="88">
        <f>IF(全车数据表!BU16="","",全车数据表!BU16)</f>
        <v>1</v>
      </c>
      <c r="BA15" s="88" t="str">
        <f>IF(全车数据表!BV16="","",全车数据表!BV16)</f>
        <v>达芬奇 id</v>
      </c>
      <c r="BB15" s="91" t="str">
        <f>IF(全车数据表!AZ16="","",全车数据表!AZ16)</f>
        <v/>
      </c>
    </row>
    <row r="16" spans="1:54">
      <c r="A16" s="88">
        <f>全车数据表!A17</f>
        <v>15</v>
      </c>
      <c r="B16" s="88" t="str">
        <f>全车数据表!B17</f>
        <v>Renault Dezir</v>
      </c>
      <c r="C16" s="89" t="str">
        <f>全车数据表!E17</f>
        <v>dezir</v>
      </c>
      <c r="D16" s="88" t="str">
        <f>IF(全车数据表!D17="","",全车数据表!D17)</f>
        <v>Renault</v>
      </c>
      <c r="E16" s="89" t="str">
        <f>全车数据表!H17</f>
        <v>3.6</v>
      </c>
      <c r="F16" s="89" t="str">
        <f>全车数据表!C17</f>
        <v>Dezir</v>
      </c>
      <c r="G16" s="89" t="str">
        <f>全车数据表!F17</f>
        <v>D</v>
      </c>
      <c r="H16" s="88">
        <f>LEN(全车数据表!G17)</f>
        <v>4</v>
      </c>
      <c r="I16" s="88" t="str">
        <f>VLOOKUP(全车数据表!P17,辅助计算!A:B,2,FALSE)</f>
        <v>rare</v>
      </c>
      <c r="J16" s="88">
        <f>全车数据表!Q17</f>
        <v>25</v>
      </c>
      <c r="K16" s="88">
        <f>全车数据表!R17</f>
        <v>32</v>
      </c>
      <c r="L16" s="88">
        <f>全车数据表!S17</f>
        <v>40</v>
      </c>
      <c r="M16" s="88">
        <f>全车数据表!T17</f>
        <v>48</v>
      </c>
      <c r="N16" s="88">
        <f>全车数据表!U17</f>
        <v>0</v>
      </c>
      <c r="O16" s="88">
        <f>全车数据表!V17</f>
        <v>0</v>
      </c>
      <c r="P16" s="88">
        <f>全车数据表!J17</f>
        <v>2213</v>
      </c>
      <c r="Q16" s="88">
        <f>全车数据表!K17</f>
        <v>293.2</v>
      </c>
      <c r="R16" s="88">
        <f>全车数据表!L17</f>
        <v>65.56</v>
      </c>
      <c r="S16" s="88">
        <f>全车数据表!M17</f>
        <v>69.430000000000007</v>
      </c>
      <c r="T16" s="88">
        <f>全车数据表!N17</f>
        <v>68.44</v>
      </c>
      <c r="U16" s="88">
        <f>全车数据表!O17</f>
        <v>0</v>
      </c>
      <c r="V16" s="88">
        <f>全车数据表!AL17</f>
        <v>1758000</v>
      </c>
      <c r="W16" s="88">
        <f>全车数据表!AM17</f>
        <v>10000</v>
      </c>
      <c r="X16" s="88">
        <f>全车数据表!AU17</f>
        <v>680000</v>
      </c>
      <c r="Y16" s="88">
        <f>全车数据表!AV17</f>
        <v>2438000</v>
      </c>
      <c r="Z16" s="88">
        <f>全车数据表!AN17</f>
        <v>7</v>
      </c>
      <c r="AA16" s="88">
        <f>全车数据表!AP17</f>
        <v>2</v>
      </c>
      <c r="AB16" s="88">
        <f>全车数据表!AR17</f>
        <v>1</v>
      </c>
      <c r="AC16" s="88">
        <f>全车数据表!AW17</f>
        <v>306</v>
      </c>
      <c r="AD16" s="88">
        <f>全车数据表!AX17</f>
        <v>0</v>
      </c>
      <c r="AE16" s="88">
        <f>全车数据表!AY17</f>
        <v>391</v>
      </c>
      <c r="AF16" s="88" t="str">
        <f>IF(全车数据表!BA17="","",全车数据表!BA17)</f>
        <v>联会赛事</v>
      </c>
      <c r="AG16" s="88" t="str">
        <f>IF(全车数据表!BB17="","",全车数据表!BB17)</f>
        <v/>
      </c>
      <c r="AH16" s="88" t="str">
        <f>IF(全车数据表!BC17="","",全车数据表!BC17)</f>
        <v/>
      </c>
      <c r="AI16" s="88" t="str">
        <f>IF(全车数据表!BD17="","",全车数据表!BD17)</f>
        <v/>
      </c>
      <c r="AJ16" s="88" t="str">
        <f>IF(全车数据表!BE17="","",全车数据表!BE17)</f>
        <v/>
      </c>
      <c r="AK16" s="88" t="str">
        <f>IF(全车数据表!BF17="","",全车数据表!BF17)</f>
        <v/>
      </c>
      <c r="AL16" s="88" t="str">
        <f>IF(全车数据表!BG17="","",全车数据表!BG17)</f>
        <v/>
      </c>
      <c r="AM16" s="88" t="str">
        <f>IF(全车数据表!BH17="","",全车数据表!BH17)</f>
        <v/>
      </c>
      <c r="AN16" s="88" t="str">
        <f>IF(全车数据表!BI17="","",全车数据表!BI17)</f>
        <v/>
      </c>
      <c r="AO16" s="88" t="str">
        <f>IF(全车数据表!BJ17="","",全车数据表!BJ17)</f>
        <v/>
      </c>
      <c r="AP16" s="88" t="str">
        <f>IF(全车数据表!BK17="","",全车数据表!BK17)</f>
        <v/>
      </c>
      <c r="AQ16" s="88" t="str">
        <f>IF(全车数据表!BL17="","",全车数据表!BL17)</f>
        <v/>
      </c>
      <c r="AR16" s="88" t="str">
        <f>IF(全车数据表!BM17="","",全车数据表!BM17)</f>
        <v/>
      </c>
      <c r="AS16" s="88">
        <f>IF(全车数据表!BN17="","",全车数据表!BN17)</f>
        <v>1</v>
      </c>
      <c r="AT16" s="88" t="str">
        <f>IF(全车数据表!BO17="","",全车数据表!BO17)</f>
        <v/>
      </c>
      <c r="AU16" s="88" t="str">
        <f>IF(全车数据表!BP17="","",全车数据表!BP17)</f>
        <v/>
      </c>
      <c r="AV16" s="88" t="str">
        <f>IF(全车数据表!BQ17="","",全车数据表!BQ17)</f>
        <v/>
      </c>
      <c r="AW16" s="88" t="str">
        <f>IF(全车数据表!BR17="","",全车数据表!BR17)</f>
        <v/>
      </c>
      <c r="AX16" s="88" t="str">
        <f>IF(全车数据表!BS17="","",全车数据表!BS17)</f>
        <v/>
      </c>
      <c r="AY16" s="88" t="str">
        <f>IF(全车数据表!BT17="","",全车数据表!BT17)</f>
        <v/>
      </c>
      <c r="AZ16" s="88" t="str">
        <f>IF(全车数据表!BU17="","",全车数据表!BU17)</f>
        <v/>
      </c>
      <c r="BA16" s="88" t="str">
        <f>IF(全车数据表!BV17="","",全车数据表!BV17)</f>
        <v>雷诺</v>
      </c>
      <c r="BB16" s="91" t="str">
        <f>IF(全车数据表!AZ17="","",全车数据表!AZ17)</f>
        <v/>
      </c>
    </row>
    <row r="17" spans="1:54">
      <c r="A17" s="88">
        <f>全车数据表!A18</f>
        <v>16</v>
      </c>
      <c r="B17" s="88" t="str">
        <f>全车数据表!B18</f>
        <v>Peugeot SR1</v>
      </c>
      <c r="C17" s="89" t="str">
        <f>全车数据表!E18</f>
        <v>sr1</v>
      </c>
      <c r="D17" s="88" t="str">
        <f>IF(全车数据表!D18="","",全车数据表!D18)</f>
        <v>Peugeot</v>
      </c>
      <c r="E17" s="89" t="str">
        <f>全车数据表!H18</f>
        <v>3.8</v>
      </c>
      <c r="F17" s="89" t="str">
        <f>全车数据表!C18</f>
        <v>SR1</v>
      </c>
      <c r="G17" s="89" t="str">
        <f>全车数据表!F18</f>
        <v>D</v>
      </c>
      <c r="H17" s="88">
        <f>LEN(全车数据表!G18)</f>
        <v>4</v>
      </c>
      <c r="I17" s="88" t="str">
        <f>VLOOKUP(全车数据表!P18,辅助计算!A:B,2,FALSE)</f>
        <v>rare</v>
      </c>
      <c r="J17" s="88">
        <f>全车数据表!Q18</f>
        <v>25</v>
      </c>
      <c r="K17" s="88">
        <f>全车数据表!R18</f>
        <v>32</v>
      </c>
      <c r="L17" s="88">
        <f>全车数据表!S18</f>
        <v>40</v>
      </c>
      <c r="M17" s="88">
        <f>全车数据表!T18</f>
        <v>48</v>
      </c>
      <c r="N17" s="88">
        <f>全车数据表!U18</f>
        <v>0</v>
      </c>
      <c r="O17" s="88">
        <f>全车数据表!V18</f>
        <v>0</v>
      </c>
      <c r="P17" s="88">
        <f>全车数据表!J18</f>
        <v>2307</v>
      </c>
      <c r="Q17" s="88">
        <f>全车数据表!K18</f>
        <v>310.5</v>
      </c>
      <c r="R17" s="88">
        <f>全车数据表!L18</f>
        <v>71.510000000000005</v>
      </c>
      <c r="S17" s="88">
        <f>全车数据表!M18</f>
        <v>52.39</v>
      </c>
      <c r="T17" s="88">
        <f>全车数据表!N18</f>
        <v>31.19</v>
      </c>
      <c r="U17" s="88">
        <f>全车数据表!O18</f>
        <v>0</v>
      </c>
      <c r="V17" s="88">
        <f>全车数据表!AL18</f>
        <v>1758000</v>
      </c>
      <c r="W17" s="88">
        <f>全车数据表!AM18</f>
        <v>20000</v>
      </c>
      <c r="X17" s="88">
        <f>全车数据表!AU18</f>
        <v>1360000</v>
      </c>
      <c r="Y17" s="88">
        <f>全车数据表!AV18</f>
        <v>3118000</v>
      </c>
      <c r="Z17" s="88">
        <f>全车数据表!AN18</f>
        <v>7</v>
      </c>
      <c r="AA17" s="88">
        <f>全车数据表!AP18</f>
        <v>2</v>
      </c>
      <c r="AB17" s="88">
        <f>全车数据表!AR18</f>
        <v>1</v>
      </c>
      <c r="AC17" s="88">
        <f>全车数据表!AW18</f>
        <v>323</v>
      </c>
      <c r="AD17" s="88">
        <f>全车数据表!AX18</f>
        <v>0</v>
      </c>
      <c r="AE17" s="88">
        <f>全车数据表!AY18</f>
        <v>412</v>
      </c>
      <c r="AF17" s="88" t="str">
        <f>IF(全车数据表!BA18="","",全车数据表!BA18)</f>
        <v>周末爆冲</v>
      </c>
      <c r="AG17" s="88" t="str">
        <f>IF(全车数据表!BB18="","",全车数据表!BB18)</f>
        <v/>
      </c>
      <c r="AH17" s="88" t="str">
        <f>IF(全车数据表!BC18="","",全车数据表!BC18)</f>
        <v/>
      </c>
      <c r="AI17" s="88" t="str">
        <f>IF(全车数据表!BD18="","",全车数据表!BD18)</f>
        <v/>
      </c>
      <c r="AJ17" s="88" t="str">
        <f>IF(全车数据表!BE18="","",全车数据表!BE18)</f>
        <v/>
      </c>
      <c r="AK17" s="88" t="str">
        <f>IF(全车数据表!BF18="","",全车数据表!BF18)</f>
        <v/>
      </c>
      <c r="AL17" s="88">
        <f>IF(全车数据表!BG18="","",全车数据表!BG18)</f>
        <v>1</v>
      </c>
      <c r="AM17" s="88" t="str">
        <f>IF(全车数据表!BH18="","",全车数据表!BH18)</f>
        <v/>
      </c>
      <c r="AN17" s="88" t="str">
        <f>IF(全车数据表!BI18="","",全车数据表!BI18)</f>
        <v/>
      </c>
      <c r="AO17" s="88" t="str">
        <f>IF(全车数据表!BJ18="","",全车数据表!BJ18)</f>
        <v/>
      </c>
      <c r="AP17" s="88" t="str">
        <f>IF(全车数据表!BK18="","",全车数据表!BK18)</f>
        <v/>
      </c>
      <c r="AQ17" s="88" t="str">
        <f>IF(全车数据表!BL18="","",全车数据表!BL18)</f>
        <v/>
      </c>
      <c r="AR17" s="88" t="str">
        <f>IF(全车数据表!BM18="","",全车数据表!BM18)</f>
        <v/>
      </c>
      <c r="AS17" s="88" t="str">
        <f>IF(全车数据表!BN18="","",全车数据表!BN18)</f>
        <v/>
      </c>
      <c r="AT17" s="88" t="str">
        <f>IF(全车数据表!BO18="","",全车数据表!BO18)</f>
        <v/>
      </c>
      <c r="AU17" s="88" t="str">
        <f>IF(全车数据表!BP18="","",全车数据表!BP18)</f>
        <v/>
      </c>
      <c r="AV17" s="88" t="str">
        <f>IF(全车数据表!BQ18="","",全车数据表!BQ18)</f>
        <v/>
      </c>
      <c r="AW17" s="88" t="str">
        <f>IF(全车数据表!BR18="","",全车数据表!BR18)</f>
        <v/>
      </c>
      <c r="AX17" s="88" t="str">
        <f>IF(全车数据表!BS18="","",全车数据表!BS18)</f>
        <v/>
      </c>
      <c r="AY17" s="88" t="str">
        <f>IF(全车数据表!BT18="","",全车数据表!BT18)</f>
        <v/>
      </c>
      <c r="AZ17" s="88" t="str">
        <f>IF(全车数据表!BU18="","",全车数据表!BU18)</f>
        <v/>
      </c>
      <c r="BA17" s="88" t="str">
        <f>IF(全车数据表!BV18="","",全车数据表!BV18)</f>
        <v>标致</v>
      </c>
      <c r="BB17" s="91" t="str">
        <f>IF(全车数据表!AZ18="","",全车数据表!AZ18)</f>
        <v/>
      </c>
    </row>
    <row r="18" spans="1:54">
      <c r="A18" s="88">
        <f>全车数据表!A19</f>
        <v>17</v>
      </c>
      <c r="B18" s="88" t="str">
        <f>全车数据表!B19</f>
        <v>Infiniti Project Black S</v>
      </c>
      <c r="C18" s="89" t="str">
        <f>全车数据表!E19</f>
        <v>infiniti</v>
      </c>
      <c r="D18" s="88" t="str">
        <f>IF(全车数据表!D19="","",全车数据表!D19)</f>
        <v>Infiniti</v>
      </c>
      <c r="E18" s="89" t="str">
        <f>全车数据表!H19</f>
        <v>2.8</v>
      </c>
      <c r="F18" s="89" t="str">
        <f>全车数据表!C19</f>
        <v>英菲尼迪</v>
      </c>
      <c r="G18" s="89" t="str">
        <f>全车数据表!F19</f>
        <v>D</v>
      </c>
      <c r="H18" s="88">
        <f>LEN(全车数据表!G19)</f>
        <v>4</v>
      </c>
      <c r="I18" s="88" t="str">
        <f>VLOOKUP(全车数据表!P19,辅助计算!A:B,2,FALSE)</f>
        <v>rare</v>
      </c>
      <c r="J18" s="88">
        <f>全车数据表!Q19</f>
        <v>30</v>
      </c>
      <c r="K18" s="88">
        <f>全车数据表!R19</f>
        <v>23</v>
      </c>
      <c r="L18" s="88">
        <f>全车数据表!S19</f>
        <v>33</v>
      </c>
      <c r="M18" s="88">
        <f>全车数据表!T19</f>
        <v>42</v>
      </c>
      <c r="N18" s="88">
        <f>全车数据表!U19</f>
        <v>0</v>
      </c>
      <c r="O18" s="88">
        <f>全车数据表!V19</f>
        <v>0</v>
      </c>
      <c r="P18" s="88">
        <f>全车数据表!J19</f>
        <v>2371</v>
      </c>
      <c r="Q18" s="88">
        <f>全车数据表!K19</f>
        <v>281.5</v>
      </c>
      <c r="R18" s="88">
        <f>全车数据表!L19</f>
        <v>76.19</v>
      </c>
      <c r="S18" s="88">
        <f>全车数据表!M19</f>
        <v>66.98</v>
      </c>
      <c r="T18" s="88">
        <f>全车数据表!N19</f>
        <v>64.67</v>
      </c>
      <c r="U18" s="88">
        <f>全车数据表!O19</f>
        <v>0</v>
      </c>
      <c r="V18" s="88">
        <f>全车数据表!AL19</f>
        <v>2380000</v>
      </c>
      <c r="W18" s="88">
        <f>全车数据表!AM19</f>
        <v>10000</v>
      </c>
      <c r="X18" s="88">
        <f>全车数据表!AU19</f>
        <v>680000</v>
      </c>
      <c r="Y18" s="88">
        <f>全车数据表!AV19</f>
        <v>3060000</v>
      </c>
      <c r="Z18" s="88">
        <f>全车数据表!AN19</f>
        <v>7</v>
      </c>
      <c r="AA18" s="88">
        <f>全车数据表!AP19</f>
        <v>2</v>
      </c>
      <c r="AB18" s="88">
        <f>全车数据表!AR19</f>
        <v>1</v>
      </c>
      <c r="AC18" s="88">
        <f>全车数据表!AW19</f>
        <v>293</v>
      </c>
      <c r="AD18" s="88">
        <f>全车数据表!AX19</f>
        <v>0</v>
      </c>
      <c r="AE18" s="88">
        <f>全车数据表!AY19</f>
        <v>377</v>
      </c>
      <c r="AF18" s="88" t="str">
        <f>IF(全车数据表!BA19="","",全车数据表!BA19)</f>
        <v>寻车</v>
      </c>
      <c r="AG18" s="88" t="str">
        <f>IF(全车数据表!BB19="","",全车数据表!BB19)</f>
        <v/>
      </c>
      <c r="AH18" s="88" t="str">
        <f>IF(全车数据表!BC19="","",全车数据表!BC19)</f>
        <v/>
      </c>
      <c r="AI18" s="88" t="str">
        <f>IF(全车数据表!BD19="","",全车数据表!BD19)</f>
        <v/>
      </c>
      <c r="AJ18" s="88" t="str">
        <f>IF(全车数据表!BE19="","",全车数据表!BE19)</f>
        <v/>
      </c>
      <c r="AK18" s="88" t="str">
        <f>IF(全车数据表!BF19="","",全车数据表!BF19)</f>
        <v/>
      </c>
      <c r="AL18" s="88">
        <f>IF(全车数据表!BG19="","",全车数据表!BG19)</f>
        <v>1</v>
      </c>
      <c r="AM18" s="88" t="str">
        <f>IF(全车数据表!BH19="","",全车数据表!BH19)</f>
        <v/>
      </c>
      <c r="AN18" s="88" t="str">
        <f>IF(全车数据表!BI19="","",全车数据表!BI19)</f>
        <v/>
      </c>
      <c r="AO18" s="88" t="str">
        <f>IF(全车数据表!BJ19="","",全车数据表!BJ19)</f>
        <v/>
      </c>
      <c r="AP18" s="88" t="str">
        <f>IF(全车数据表!BK19="","",全车数据表!BK19)</f>
        <v/>
      </c>
      <c r="AQ18" s="88" t="str">
        <f>IF(全车数据表!BL19="","",全车数据表!BL19)</f>
        <v/>
      </c>
      <c r="AR18" s="88" t="str">
        <f>IF(全车数据表!BM19="","",全车数据表!BM19)</f>
        <v/>
      </c>
      <c r="AS18" s="88" t="str">
        <f>IF(全车数据表!BN19="","",全车数据表!BN19)</f>
        <v/>
      </c>
      <c r="AT18" s="88" t="str">
        <f>IF(全车数据表!BO19="","",全车数据表!BO19)</f>
        <v/>
      </c>
      <c r="AU18" s="88" t="str">
        <f>IF(全车数据表!BP19="","",全车数据表!BP19)</f>
        <v/>
      </c>
      <c r="AV18" s="88" t="str">
        <f>IF(全车数据表!BQ19="","",全车数据表!BQ19)</f>
        <v/>
      </c>
      <c r="AW18" s="88" t="str">
        <f>IF(全车数据表!BR19="","",全车数据表!BR19)</f>
        <v/>
      </c>
      <c r="AX18" s="88" t="str">
        <f>IF(全车数据表!BS19="","",全车数据表!BS19)</f>
        <v/>
      </c>
      <c r="AY18" s="88" t="str">
        <f>IF(全车数据表!BT19="","",全车数据表!BT19)</f>
        <v/>
      </c>
      <c r="AZ18" s="88" t="str">
        <f>IF(全车数据表!BU19="","",全车数据表!BU19)</f>
        <v/>
      </c>
      <c r="BA18" s="88" t="str">
        <f>IF(全车数据表!BV19="","",全车数据表!BV19)</f>
        <v>英菲尼迪</v>
      </c>
      <c r="BB18" s="91" t="str">
        <f>IF(全车数据表!AZ19="","",全车数据表!AZ19)</f>
        <v/>
      </c>
    </row>
    <row r="19" spans="1:54">
      <c r="A19" s="88">
        <f>全车数据表!A20</f>
        <v>18</v>
      </c>
      <c r="B19" s="88" t="str">
        <f>全车数据表!B20</f>
        <v>Lotus Emeya</v>
      </c>
      <c r="C19" s="89" t="str">
        <f>全车数据表!E20</f>
        <v>emeya</v>
      </c>
      <c r="D19" s="88" t="str">
        <f>IF(全车数据表!D20="","",全车数据表!D20)</f>
        <v>Lotus</v>
      </c>
      <c r="E19" s="89" t="str">
        <f>全车数据表!H20</f>
        <v>5.6</v>
      </c>
      <c r="F19" s="89" t="str">
        <f>全车数据表!C20</f>
        <v>Emeya</v>
      </c>
      <c r="G19" s="89" t="str">
        <f>全车数据表!F20</f>
        <v>D</v>
      </c>
      <c r="H19" s="88">
        <f>LEN(全车数据表!G20)</f>
        <v>4</v>
      </c>
      <c r="I19" s="88" t="str">
        <f>VLOOKUP(全车数据表!P20,辅助计算!A:B,2,FALSE)</f>
        <v>rare</v>
      </c>
      <c r="J19" s="88">
        <f>全车数据表!Q20</f>
        <v>30</v>
      </c>
      <c r="K19" s="88">
        <f>全车数据表!R20</f>
        <v>23</v>
      </c>
      <c r="L19" s="88">
        <f>全车数据表!S20</f>
        <v>33</v>
      </c>
      <c r="M19" s="88">
        <f>全车数据表!T20</f>
        <v>42</v>
      </c>
      <c r="N19" s="88">
        <f>全车数据表!U20</f>
        <v>0</v>
      </c>
      <c r="O19" s="88">
        <f>全车数据表!V20</f>
        <v>0</v>
      </c>
      <c r="P19" s="88">
        <f>全车数据表!J20</f>
        <v>2402</v>
      </c>
      <c r="Q19" s="88">
        <f>全车数据表!K20</f>
        <v>276.5</v>
      </c>
      <c r="R19" s="88">
        <f>全车数据表!L20</f>
        <v>81.790000000000006</v>
      </c>
      <c r="S19" s="88">
        <f>全车数据表!M20</f>
        <v>75.33</v>
      </c>
      <c r="T19" s="88">
        <f>全车数据表!N20</f>
        <v>67.23</v>
      </c>
      <c r="U19" s="88">
        <f>全车数据表!O20</f>
        <v>0</v>
      </c>
      <c r="V19" s="88">
        <f>全车数据表!AL20</f>
        <v>3140000</v>
      </c>
      <c r="W19" s="88">
        <f>全车数据表!AM20</f>
        <v>16000</v>
      </c>
      <c r="X19" s="88">
        <f>全车数据表!AU20</f>
        <v>1088000</v>
      </c>
      <c r="Y19" s="88">
        <f>全车数据表!AV20</f>
        <v>4228000</v>
      </c>
      <c r="Z19" s="88">
        <f>全车数据表!AN20</f>
        <v>7</v>
      </c>
      <c r="AA19" s="88">
        <f>全车数据表!AP20</f>
        <v>2</v>
      </c>
      <c r="AB19" s="88">
        <f>全车数据表!AR20</f>
        <v>1</v>
      </c>
      <c r="AC19" s="88">
        <f>全车数据表!AW20</f>
        <v>0</v>
      </c>
      <c r="AD19" s="88">
        <f>全车数据表!AX20</f>
        <v>0</v>
      </c>
      <c r="AE19" s="88">
        <f>全车数据表!AY20</f>
        <v>0</v>
      </c>
      <c r="AF19" s="88" t="str">
        <f>IF(全车数据表!BA20="","",全车数据表!BA20)</f>
        <v>通行证</v>
      </c>
      <c r="AG19" s="88" t="str">
        <f>IF(全车数据表!BB20="","",全车数据表!BB20)</f>
        <v/>
      </c>
      <c r="AH19" s="88" t="str">
        <f>IF(全车数据表!BC20="","",全车数据表!BC20)</f>
        <v/>
      </c>
      <c r="AI19" s="88" t="str">
        <f>IF(全车数据表!BD20="","",全车数据表!BD20)</f>
        <v/>
      </c>
      <c r="AJ19" s="88" t="str">
        <f>IF(全车数据表!BE20="","",全车数据表!BE20)</f>
        <v/>
      </c>
      <c r="AK19" s="88" t="str">
        <f>IF(全车数据表!BF20="","",全车数据表!BF20)</f>
        <v/>
      </c>
      <c r="AL19" s="88" t="str">
        <f>IF(全车数据表!BG20="","",全车数据表!BG20)</f>
        <v/>
      </c>
      <c r="AM19" s="88" t="str">
        <f>IF(全车数据表!BH20="","",全车数据表!BH20)</f>
        <v/>
      </c>
      <c r="AN19" s="88" t="str">
        <f>IF(全车数据表!BI20="","",全车数据表!BI20)</f>
        <v/>
      </c>
      <c r="AO19" s="88" t="str">
        <f>IF(全车数据表!BJ20="","",全车数据表!BJ20)</f>
        <v/>
      </c>
      <c r="AP19" s="88" t="str">
        <f>IF(全车数据表!BK20="","",全车数据表!BK20)</f>
        <v/>
      </c>
      <c r="AQ19" s="88" t="str">
        <f>IF(全车数据表!BL20="","",全车数据表!BL20)</f>
        <v/>
      </c>
      <c r="AR19" s="88" t="str">
        <f>IF(全车数据表!BM20="","",全车数据表!BM20)</f>
        <v/>
      </c>
      <c r="AS19" s="88" t="str">
        <f>IF(全车数据表!BN20="","",全车数据表!BN20)</f>
        <v/>
      </c>
      <c r="AT19" s="88" t="str">
        <f>IF(全车数据表!BO20="","",全车数据表!BO20)</f>
        <v/>
      </c>
      <c r="AU19" s="88" t="str">
        <f>IF(全车数据表!BP20="","",全车数据表!BP20)</f>
        <v/>
      </c>
      <c r="AV19" s="88" t="str">
        <f>IF(全车数据表!BQ20="","",全车数据表!BQ20)</f>
        <v/>
      </c>
      <c r="AW19" s="88" t="str">
        <f>IF(全车数据表!BR20="","",全车数据表!BR20)</f>
        <v/>
      </c>
      <c r="AX19" s="88" t="str">
        <f>IF(全车数据表!BS20="","",全车数据表!BS20)</f>
        <v/>
      </c>
      <c r="AY19" s="88" t="str">
        <f>IF(全车数据表!BT20="","",全车数据表!BT20)</f>
        <v/>
      </c>
      <c r="AZ19" s="88" t="str">
        <f>IF(全车数据表!BU20="","",全车数据表!BU20)</f>
        <v/>
      </c>
      <c r="BA19" s="88" t="str">
        <f>IF(全车数据表!BV20="","",全车数据表!BV20)</f>
        <v>繁花 路特斯 莲花</v>
      </c>
      <c r="BB19" s="91" t="str">
        <f>IF(全车数据表!AZ20="","",全车数据表!AZ20)</f>
        <v/>
      </c>
    </row>
    <row r="20" spans="1:54">
      <c r="A20" s="88">
        <f>全车数据表!A21</f>
        <v>19</v>
      </c>
      <c r="B20" s="88" t="str">
        <f>全车数据表!B21</f>
        <v>Porsche 911 Carrera RS 3.8</v>
      </c>
      <c r="C20" s="89" t="str">
        <f>全车数据表!E21</f>
        <v>carrerars</v>
      </c>
      <c r="D20" s="88" t="str">
        <f>IF(全车数据表!D21="","",全车数据表!D21)</f>
        <v>Porsche</v>
      </c>
      <c r="E20" s="89" t="str">
        <f>全车数据表!H21</f>
        <v>4.8</v>
      </c>
      <c r="F20" s="89" t="str">
        <f>全车数据表!C21</f>
        <v>Carrera RS</v>
      </c>
      <c r="G20" s="89" t="str">
        <f>全车数据表!F21</f>
        <v>D</v>
      </c>
      <c r="H20" s="88">
        <f>LEN(全车数据表!G21)</f>
        <v>4</v>
      </c>
      <c r="I20" s="88" t="str">
        <f>VLOOKUP(全车数据表!P21,辅助计算!A:B,2,FALSE)</f>
        <v>rare</v>
      </c>
      <c r="J20" s="88">
        <f>全车数据表!Q21</f>
        <v>30</v>
      </c>
      <c r="K20" s="88">
        <f>全车数据表!R21</f>
        <v>32</v>
      </c>
      <c r="L20" s="88">
        <f>全车数据表!S21</f>
        <v>40</v>
      </c>
      <c r="M20" s="88">
        <f>全车数据表!T21</f>
        <v>50</v>
      </c>
      <c r="N20" s="88">
        <f>全车数据表!U21</f>
        <v>0</v>
      </c>
      <c r="O20" s="88">
        <f>全车数据表!V21</f>
        <v>0</v>
      </c>
      <c r="P20" s="88">
        <f>全车数据表!J21</f>
        <v>2435</v>
      </c>
      <c r="Q20" s="88">
        <f>全车数据表!K21</f>
        <v>301.89999999999998</v>
      </c>
      <c r="R20" s="88">
        <f>全车数据表!L21</f>
        <v>72.150000000000006</v>
      </c>
      <c r="S20" s="88">
        <f>全车数据表!M21</f>
        <v>71.66</v>
      </c>
      <c r="T20" s="88">
        <f>全车数据表!N21</f>
        <v>35.99</v>
      </c>
      <c r="U20" s="88">
        <f>全车数据表!O21</f>
        <v>0</v>
      </c>
      <c r="V20" s="88">
        <f>全车数据表!AL21</f>
        <v>0</v>
      </c>
      <c r="W20" s="88">
        <f>全车数据表!AM21</f>
        <v>18000</v>
      </c>
      <c r="X20" s="88">
        <f>全车数据表!AU21</f>
        <v>1224000</v>
      </c>
      <c r="Y20" s="88">
        <f>全车数据表!AV21</f>
        <v>0</v>
      </c>
      <c r="Z20" s="88">
        <f>全车数据表!AN21</f>
        <v>7</v>
      </c>
      <c r="AA20" s="88">
        <f>全车数据表!AP21</f>
        <v>2</v>
      </c>
      <c r="AB20" s="88">
        <f>全车数据表!AR21</f>
        <v>1</v>
      </c>
      <c r="AC20" s="88">
        <f>全车数据表!AW21</f>
        <v>315</v>
      </c>
      <c r="AD20" s="88">
        <f>全车数据表!AX21</f>
        <v>0</v>
      </c>
      <c r="AE20" s="88">
        <f>全车数据表!AY21</f>
        <v>402</v>
      </c>
      <c r="AF20" s="88" t="str">
        <f>IF(全车数据表!BA21="","",全车数据表!BA21)</f>
        <v>周末爆冲</v>
      </c>
      <c r="AG20" s="88" t="str">
        <f>IF(全车数据表!BB21="","",全车数据表!BB21)</f>
        <v/>
      </c>
      <c r="AH20" s="88" t="str">
        <f>IF(全车数据表!BC21="","",全车数据表!BC21)</f>
        <v/>
      </c>
      <c r="AI20" s="88" t="str">
        <f>IF(全车数据表!BD21="","",全车数据表!BD21)</f>
        <v/>
      </c>
      <c r="AJ20" s="88" t="str">
        <f>IF(全车数据表!BE21="","",全车数据表!BE21)</f>
        <v/>
      </c>
      <c r="AK20" s="88" t="str">
        <f>IF(全车数据表!BF21="","",全车数据表!BF21)</f>
        <v/>
      </c>
      <c r="AL20" s="88" t="str">
        <f>IF(全车数据表!BG21="","",全车数据表!BG21)</f>
        <v/>
      </c>
      <c r="AM20" s="88" t="str">
        <f>IF(全车数据表!BH21="","",全车数据表!BH21)</f>
        <v/>
      </c>
      <c r="AN20" s="88" t="str">
        <f>IF(全车数据表!BI21="","",全车数据表!BI21)</f>
        <v/>
      </c>
      <c r="AO20" s="88" t="str">
        <f>IF(全车数据表!BJ21="","",全车数据表!BJ21)</f>
        <v/>
      </c>
      <c r="AP20" s="88" t="str">
        <f>IF(全车数据表!BK21="","",全车数据表!BK21)</f>
        <v/>
      </c>
      <c r="AQ20" s="88" t="str">
        <f>IF(全车数据表!BL21="","",全车数据表!BL21)</f>
        <v/>
      </c>
      <c r="AR20" s="88" t="str">
        <f>IF(全车数据表!BM21="","",全车数据表!BM21)</f>
        <v/>
      </c>
      <c r="AS20" s="88" t="str">
        <f>IF(全车数据表!BN21="","",全车数据表!BN21)</f>
        <v/>
      </c>
      <c r="AT20" s="88" t="str">
        <f>IF(全车数据表!BO21="","",全车数据表!BO21)</f>
        <v/>
      </c>
      <c r="AU20" s="88" t="str">
        <f>IF(全车数据表!BP21="","",全车数据表!BP21)</f>
        <v/>
      </c>
      <c r="AV20" s="88" t="str">
        <f>IF(全车数据表!BQ21="","",全车数据表!BQ21)</f>
        <v/>
      </c>
      <c r="AW20" s="88" t="str">
        <f>IF(全车数据表!BR21="","",全车数据表!BR21)</f>
        <v/>
      </c>
      <c r="AX20" s="88" t="str">
        <f>IF(全车数据表!BS21="","",全车数据表!BS21)</f>
        <v/>
      </c>
      <c r="AY20" s="88" t="str">
        <f>IF(全车数据表!BT21="","",全车数据表!BT21)</f>
        <v/>
      </c>
      <c r="AZ20" s="88" t="str">
        <f>IF(全车数据表!BU21="","",全车数据表!BU21)</f>
        <v/>
      </c>
      <c r="BA20" s="88" t="str">
        <f>IF(全车数据表!BV21="","",全车数据表!BV21)</f>
        <v/>
      </c>
      <c r="BB20" s="91" t="str">
        <f>IF(全车数据表!AZ21="","",全车数据表!AZ21)</f>
        <v/>
      </c>
    </row>
    <row r="21" spans="1:54">
      <c r="A21" s="88">
        <f>全车数据表!A22</f>
        <v>20</v>
      </c>
      <c r="B21" s="88" t="str">
        <f>全车数据表!B22</f>
        <v>Hyundai Ioniq 5 N</v>
      </c>
      <c r="C21" s="89" t="str">
        <f>全车数据表!E22</f>
        <v>ioniq</v>
      </c>
      <c r="D21" s="88" t="str">
        <f>IF(全车数据表!D22="","",全车数据表!D22)</f>
        <v>Hyundai</v>
      </c>
      <c r="E21" s="89" t="str">
        <f>全车数据表!H22</f>
        <v>5.5</v>
      </c>
      <c r="F21" s="89" t="str">
        <f>全车数据表!C22</f>
        <v>5N</v>
      </c>
      <c r="G21" s="89" t="str">
        <f>全车数据表!F22</f>
        <v>D</v>
      </c>
      <c r="H21" s="88">
        <f>LEN(全车数据表!G22)</f>
        <v>4</v>
      </c>
      <c r="I21" s="88" t="str">
        <f>VLOOKUP(全车数据表!P22,辅助计算!A:B,2,FALSE)</f>
        <v>epic</v>
      </c>
      <c r="J21" s="88">
        <f>全车数据表!Q22</f>
        <v>20</v>
      </c>
      <c r="K21" s="88">
        <f>全车数据表!R22</f>
        <v>30</v>
      </c>
      <c r="L21" s="88">
        <f>全车数据表!S22</f>
        <v>41</v>
      </c>
      <c r="M21" s="88">
        <f>全车数据表!T22</f>
        <v>45</v>
      </c>
      <c r="N21" s="88">
        <f>全车数据表!U22</f>
        <v>0</v>
      </c>
      <c r="O21" s="88">
        <f>全车数据表!V22</f>
        <v>0</v>
      </c>
      <c r="P21" s="88">
        <f>全车数据表!J22</f>
        <v>2559</v>
      </c>
      <c r="Q21" s="88">
        <f>全车数据表!K22</f>
        <v>275.89999999999998</v>
      </c>
      <c r="R21" s="88">
        <f>全车数据表!L22</f>
        <v>88.63</v>
      </c>
      <c r="S21" s="88">
        <f>全车数据表!M22</f>
        <v>80.510000000000005</v>
      </c>
      <c r="T21" s="88">
        <f>全车数据表!N22</f>
        <v>63.38</v>
      </c>
      <c r="U21" s="88">
        <f>全车数据表!O22</f>
        <v>0</v>
      </c>
      <c r="V21" s="88">
        <f>全车数据表!AL22</f>
        <v>0</v>
      </c>
      <c r="W21" s="88">
        <f>全车数据表!AM22</f>
        <v>0</v>
      </c>
      <c r="X21" s="88">
        <f>全车数据表!AU22</f>
        <v>0</v>
      </c>
      <c r="Y21" s="88">
        <f>全车数据表!AV22</f>
        <v>0</v>
      </c>
      <c r="Z21" s="88">
        <f>全车数据表!AN22</f>
        <v>0</v>
      </c>
      <c r="AA21" s="88">
        <f>全车数据表!AP22</f>
        <v>0</v>
      </c>
      <c r="AB21" s="88">
        <f>全车数据表!AR22</f>
        <v>0</v>
      </c>
      <c r="AC21" s="88">
        <f>全车数据表!AW22</f>
        <v>0</v>
      </c>
      <c r="AD21" s="88">
        <f>全车数据表!AX22</f>
        <v>0</v>
      </c>
      <c r="AE21" s="88">
        <f>全车数据表!AY22</f>
        <v>0</v>
      </c>
      <c r="AF21" s="88" t="str">
        <f>IF(全车数据表!BA22="","",全车数据表!BA22)</f>
        <v>联会赛事</v>
      </c>
      <c r="AG21" s="88" t="str">
        <f>IF(全车数据表!BB22="","",全车数据表!BB22)</f>
        <v/>
      </c>
      <c r="AH21" s="88" t="str">
        <f>IF(全车数据表!BC22="","",全车数据表!BC22)</f>
        <v/>
      </c>
      <c r="AI21" s="88" t="str">
        <f>IF(全车数据表!BD22="","",全车数据表!BD22)</f>
        <v/>
      </c>
      <c r="AJ21" s="88" t="str">
        <f>IF(全车数据表!BE22="","",全车数据表!BE22)</f>
        <v/>
      </c>
      <c r="AK21" s="88" t="str">
        <f>IF(全车数据表!BF22="","",全车数据表!BF22)</f>
        <v/>
      </c>
      <c r="AL21" s="88" t="str">
        <f>IF(全车数据表!BG22="","",全车数据表!BG22)</f>
        <v/>
      </c>
      <c r="AM21" s="88" t="str">
        <f>IF(全车数据表!BH22="","",全车数据表!BH22)</f>
        <v/>
      </c>
      <c r="AN21" s="88" t="str">
        <f>IF(全车数据表!BI22="","",全车数据表!BI22)</f>
        <v/>
      </c>
      <c r="AO21" s="88" t="str">
        <f>IF(全车数据表!BJ22="","",全车数据表!BJ22)</f>
        <v/>
      </c>
      <c r="AP21" s="88" t="str">
        <f>IF(全车数据表!BK22="","",全车数据表!BK22)</f>
        <v/>
      </c>
      <c r="AQ21" s="88" t="str">
        <f>IF(全车数据表!BL22="","",全车数据表!BL22)</f>
        <v/>
      </c>
      <c r="AR21" s="88" t="str">
        <f>IF(全车数据表!BM22="","",全车数据表!BM22)</f>
        <v/>
      </c>
      <c r="AS21" s="88" t="str">
        <f>IF(全车数据表!BN22="","",全车数据表!BN22)</f>
        <v/>
      </c>
      <c r="AT21" s="88" t="str">
        <f>IF(全车数据表!BO22="","",全车数据表!BO22)</f>
        <v/>
      </c>
      <c r="AU21" s="88" t="str">
        <f>IF(全车数据表!BP22="","",全车数据表!BP22)</f>
        <v/>
      </c>
      <c r="AV21" s="88" t="str">
        <f>IF(全车数据表!BQ22="","",全车数据表!BQ22)</f>
        <v/>
      </c>
      <c r="AW21" s="88" t="str">
        <f>IF(全车数据表!BR22="","",全车数据表!BR22)</f>
        <v/>
      </c>
      <c r="AX21" s="88" t="str">
        <f>IF(全车数据表!BS22="","",全车数据表!BS22)</f>
        <v/>
      </c>
      <c r="AY21" s="88" t="str">
        <f>IF(全车数据表!BT22="","",全车数据表!BT22)</f>
        <v/>
      </c>
      <c r="AZ21" s="88" t="str">
        <f>IF(全车数据表!BU22="","",全车数据表!BU22)</f>
        <v/>
      </c>
      <c r="BA21" s="88" t="str">
        <f>IF(全车数据表!BV22="","",全车数据表!BV22)</f>
        <v>现代</v>
      </c>
      <c r="BB21" s="91" t="str">
        <f>IF(全车数据表!AZ22="","",全车数据表!AZ22)</f>
        <v/>
      </c>
    </row>
    <row r="22" spans="1:54">
      <c r="A22" s="88">
        <f>全车数据表!A23</f>
        <v>21</v>
      </c>
      <c r="B22" s="88" t="str">
        <f>全车数据表!B23</f>
        <v>Lotus Emira</v>
      </c>
      <c r="C22" s="89" t="str">
        <f>全车数据表!E23</f>
        <v>emira</v>
      </c>
      <c r="D22" s="88" t="str">
        <f>IF(全车数据表!D23="","",全车数据表!D23)</f>
        <v>Lotus</v>
      </c>
      <c r="E22" s="89" t="str">
        <f>全车数据表!H23</f>
        <v>3.4</v>
      </c>
      <c r="F22" s="89" t="str">
        <f>全车数据表!C23</f>
        <v>Emira</v>
      </c>
      <c r="G22" s="89" t="str">
        <f>全车数据表!F23</f>
        <v>D</v>
      </c>
      <c r="H22" s="88">
        <f>LEN(全车数据表!G23)</f>
        <v>4</v>
      </c>
      <c r="I22" s="88" t="str">
        <f>VLOOKUP(全车数据表!P23,辅助计算!A:B,2,FALSE)</f>
        <v>rare</v>
      </c>
      <c r="J22" s="88">
        <f>全车数据表!Q23</f>
        <v>25</v>
      </c>
      <c r="K22" s="88">
        <f>全车数据表!R23</f>
        <v>32</v>
      </c>
      <c r="L22" s="88">
        <f>全车数据表!S23</f>
        <v>40</v>
      </c>
      <c r="M22" s="88">
        <f>全车数据表!T23</f>
        <v>48</v>
      </c>
      <c r="N22" s="88">
        <f>全车数据表!U23</f>
        <v>0</v>
      </c>
      <c r="O22" s="88">
        <f>全车数据表!V23</f>
        <v>0</v>
      </c>
      <c r="P22" s="88">
        <f>全车数据表!J23</f>
        <v>2612</v>
      </c>
      <c r="Q22" s="88">
        <f>全车数据表!K23</f>
        <v>307.39999999999998</v>
      </c>
      <c r="R22" s="88">
        <f>全车数据表!L23</f>
        <v>70.86</v>
      </c>
      <c r="S22" s="88">
        <f>全车数据表!M23</f>
        <v>57.47</v>
      </c>
      <c r="T22" s="88">
        <f>全车数据表!N23</f>
        <v>53.42</v>
      </c>
      <c r="U22" s="88">
        <f>全车数据表!O23</f>
        <v>0</v>
      </c>
      <c r="V22" s="88">
        <f>全车数据表!AL23</f>
        <v>2380000</v>
      </c>
      <c r="W22" s="88">
        <f>全车数据表!AM23</f>
        <v>20000</v>
      </c>
      <c r="X22" s="88">
        <f>全车数据表!AU23</f>
        <v>1360000</v>
      </c>
      <c r="Y22" s="88">
        <f>全车数据表!AV23</f>
        <v>3740000</v>
      </c>
      <c r="Z22" s="88">
        <f>全车数据表!AN23</f>
        <v>7</v>
      </c>
      <c r="AA22" s="88">
        <f>全车数据表!AP23</f>
        <v>2</v>
      </c>
      <c r="AB22" s="88">
        <f>全车数据表!AR23</f>
        <v>1</v>
      </c>
      <c r="AC22" s="88">
        <f>全车数据表!AW23</f>
        <v>320</v>
      </c>
      <c r="AD22" s="88">
        <f>全车数据表!AX23</f>
        <v>0</v>
      </c>
      <c r="AE22" s="88">
        <f>全车数据表!AY23</f>
        <v>409</v>
      </c>
      <c r="AF22" s="88" t="str">
        <f>IF(全车数据表!BA23="","",全车数据表!BA23)</f>
        <v>周末爆冲</v>
      </c>
      <c r="AG22" s="88" t="str">
        <f>IF(全车数据表!BB23="","",全车数据表!BB23)</f>
        <v/>
      </c>
      <c r="AH22" s="88" t="str">
        <f>IF(全车数据表!BC23="","",全车数据表!BC23)</f>
        <v/>
      </c>
      <c r="AI22" s="88" t="str">
        <f>IF(全车数据表!BD23="","",全车数据表!BD23)</f>
        <v/>
      </c>
      <c r="AJ22" s="88" t="str">
        <f>IF(全车数据表!BE23="","",全车数据表!BE23)</f>
        <v/>
      </c>
      <c r="AK22" s="88" t="str">
        <f>IF(全车数据表!BF23="","",全车数据表!BF23)</f>
        <v/>
      </c>
      <c r="AL22" s="88">
        <f>IF(全车数据表!BG23="","",全车数据表!BG23)</f>
        <v>1</v>
      </c>
      <c r="AM22" s="88" t="str">
        <f>IF(全车数据表!BH23="","",全车数据表!BH23)</f>
        <v/>
      </c>
      <c r="AN22" s="88" t="str">
        <f>IF(全车数据表!BI23="","",全车数据表!BI23)</f>
        <v/>
      </c>
      <c r="AO22" s="88" t="str">
        <f>IF(全车数据表!BJ23="","",全车数据表!BJ23)</f>
        <v/>
      </c>
      <c r="AP22" s="88" t="str">
        <f>IF(全车数据表!BK23="","",全车数据表!BK23)</f>
        <v/>
      </c>
      <c r="AQ22" s="88" t="str">
        <f>IF(全车数据表!BL23="","",全车数据表!BL23)</f>
        <v/>
      </c>
      <c r="AR22" s="88" t="str">
        <f>IF(全车数据表!BM23="","",全车数据表!BM23)</f>
        <v/>
      </c>
      <c r="AS22" s="88" t="str">
        <f>IF(全车数据表!BN23="","",全车数据表!BN23)</f>
        <v/>
      </c>
      <c r="AT22" s="88" t="str">
        <f>IF(全车数据表!BO23="","",全车数据表!BO23)</f>
        <v/>
      </c>
      <c r="AU22" s="88" t="str">
        <f>IF(全车数据表!BP23="","",全车数据表!BP23)</f>
        <v/>
      </c>
      <c r="AV22" s="88" t="str">
        <f>IF(全车数据表!BQ23="","",全车数据表!BQ23)</f>
        <v>1款</v>
      </c>
      <c r="AW22" s="88" t="str">
        <f>IF(全车数据表!BR23="","",全车数据表!BR23)</f>
        <v/>
      </c>
      <c r="AX22" s="88" t="str">
        <f>IF(全车数据表!BS23="","",全车数据表!BS23)</f>
        <v/>
      </c>
      <c r="AY22" s="88" t="str">
        <f>IF(全车数据表!BT23="","",全车数据表!BT23)</f>
        <v/>
      </c>
      <c r="AZ22" s="88" t="str">
        <f>IF(全车数据表!BU23="","",全车数据表!BU23)</f>
        <v/>
      </c>
      <c r="BA22" s="88" t="str">
        <f>IF(全车数据表!BV23="","",全车数据表!BV23)</f>
        <v>路特斯</v>
      </c>
      <c r="BB22" s="91" t="str">
        <f>IF(全车数据表!AZ23="","",全车数据表!AZ23)</f>
        <v/>
      </c>
    </row>
    <row r="23" spans="1:54">
      <c r="A23" s="88">
        <f>全车数据表!A24</f>
        <v>22</v>
      </c>
      <c r="B23" s="88" t="str">
        <f>全车数据表!B24</f>
        <v>Lamborghini Countach 25th Anniversary</v>
      </c>
      <c r="C23" s="89" t="str">
        <f>全车数据表!E24</f>
        <v>countach</v>
      </c>
      <c r="D23" s="88" t="str">
        <f>IF(全车数据表!D24="","",全车数据表!D24)</f>
        <v>Lamborghini</v>
      </c>
      <c r="E23" s="89" t="str">
        <f>全车数据表!H24</f>
        <v>3.7</v>
      </c>
      <c r="F23" s="89" t="str">
        <f>全车数据表!C24</f>
        <v>康塔什</v>
      </c>
      <c r="G23" s="89" t="str">
        <f>全车数据表!F24</f>
        <v>D</v>
      </c>
      <c r="H23" s="88">
        <f>LEN(全车数据表!G24)</f>
        <v>4</v>
      </c>
      <c r="I23" s="88" t="str">
        <f>VLOOKUP(全车数据表!P24,辅助计算!A:B,2,FALSE)</f>
        <v>rare</v>
      </c>
      <c r="J23" s="88">
        <f>全车数据表!Q24</f>
        <v>25</v>
      </c>
      <c r="K23" s="88">
        <f>全车数据表!R24</f>
        <v>32</v>
      </c>
      <c r="L23" s="88">
        <f>全车数据表!S24</f>
        <v>40</v>
      </c>
      <c r="M23" s="88">
        <f>全车数据表!T24</f>
        <v>48</v>
      </c>
      <c r="N23" s="88">
        <f>全车数据表!U24</f>
        <v>0</v>
      </c>
      <c r="O23" s="88">
        <f>全车数据表!V24</f>
        <v>0</v>
      </c>
      <c r="P23" s="88">
        <f>全车数据表!J24</f>
        <v>2618</v>
      </c>
      <c r="Q23" s="88">
        <f>全车数据表!K24</f>
        <v>305.39999999999998</v>
      </c>
      <c r="R23" s="88">
        <f>全车数据表!L24</f>
        <v>71.430000000000007</v>
      </c>
      <c r="S23" s="88">
        <f>全车数据表!M24</f>
        <v>65.58</v>
      </c>
      <c r="T23" s="88">
        <f>全车数据表!N24</f>
        <v>48.39</v>
      </c>
      <c r="U23" s="88">
        <f>全车数据表!O24</f>
        <v>0</v>
      </c>
      <c r="V23" s="88">
        <f>全车数据表!AL24</f>
        <v>2382000</v>
      </c>
      <c r="W23" s="88">
        <f>全车数据表!AM24</f>
        <v>20000</v>
      </c>
      <c r="X23" s="88">
        <f>全车数据表!AU24</f>
        <v>1360000</v>
      </c>
      <c r="Y23" s="88">
        <f>全车数据表!AV24</f>
        <v>3742000</v>
      </c>
      <c r="Z23" s="88">
        <f>全车数据表!AN24</f>
        <v>7</v>
      </c>
      <c r="AA23" s="88">
        <f>全车数据表!AP24</f>
        <v>2</v>
      </c>
      <c r="AB23" s="88">
        <f>全车数据表!AR24</f>
        <v>1</v>
      </c>
      <c r="AC23" s="88">
        <f>全车数据表!AW24</f>
        <v>318</v>
      </c>
      <c r="AD23" s="88">
        <f>全车数据表!AX24</f>
        <v>0</v>
      </c>
      <c r="AE23" s="88">
        <f>全车数据表!AY24</f>
        <v>406</v>
      </c>
      <c r="AF23" s="88" t="str">
        <f>IF(全车数据表!BA24="","",全车数据表!BA24)</f>
        <v>周末爆冲</v>
      </c>
      <c r="AG23" s="88" t="str">
        <f>IF(全车数据表!BB24="","",全车数据表!BB24)</f>
        <v/>
      </c>
      <c r="AH23" s="88" t="str">
        <f>IF(全车数据表!BC24="","",全车数据表!BC24)</f>
        <v/>
      </c>
      <c r="AI23" s="88" t="str">
        <f>IF(全车数据表!BD24="","",全车数据表!BD24)</f>
        <v/>
      </c>
      <c r="AJ23" s="88" t="str">
        <f>IF(全车数据表!BE24="","",全车数据表!BE24)</f>
        <v/>
      </c>
      <c r="AK23" s="88" t="str">
        <f>IF(全车数据表!BF24="","",全车数据表!BF24)</f>
        <v/>
      </c>
      <c r="AL23" s="88">
        <f>IF(全车数据表!BG24="","",全车数据表!BG24)</f>
        <v>1</v>
      </c>
      <c r="AM23" s="88" t="str">
        <f>IF(全车数据表!BH24="","",全车数据表!BH24)</f>
        <v/>
      </c>
      <c r="AN23" s="88" t="str">
        <f>IF(全车数据表!BI24="","",全车数据表!BI24)</f>
        <v/>
      </c>
      <c r="AO23" s="88" t="str">
        <f>IF(全车数据表!BJ24="","",全车数据表!BJ24)</f>
        <v/>
      </c>
      <c r="AP23" s="88" t="str">
        <f>IF(全车数据表!BK24="","",全车数据表!BK24)</f>
        <v/>
      </c>
      <c r="AQ23" s="88" t="str">
        <f>IF(全车数据表!BL24="","",全车数据表!BL24)</f>
        <v/>
      </c>
      <c r="AR23" s="88" t="str">
        <f>IF(全车数据表!BM24="","",全车数据表!BM24)</f>
        <v/>
      </c>
      <c r="AS23" s="88" t="str">
        <f>IF(全车数据表!BN24="","",全车数据表!BN24)</f>
        <v/>
      </c>
      <c r="AT23" s="88" t="str">
        <f>IF(全车数据表!BO24="","",全车数据表!BO24)</f>
        <v/>
      </c>
      <c r="AU23" s="88" t="str">
        <f>IF(全车数据表!BP24="","",全车数据表!BP24)</f>
        <v/>
      </c>
      <c r="AV23" s="88" t="str">
        <f>IF(全车数据表!BQ24="","",全车数据表!BQ24)</f>
        <v/>
      </c>
      <c r="AW23" s="88" t="str">
        <f>IF(全车数据表!BR24="","",全车数据表!BR24)</f>
        <v/>
      </c>
      <c r="AX23" s="88" t="str">
        <f>IF(全车数据表!BS24="","",全车数据表!BS24)</f>
        <v/>
      </c>
      <c r="AY23" s="88" t="str">
        <f>IF(全车数据表!BT24="","",全车数据表!BT24)</f>
        <v/>
      </c>
      <c r="AZ23" s="88" t="str">
        <f>IF(全车数据表!BU24="","",全车数据表!BU24)</f>
        <v/>
      </c>
      <c r="BA23" s="88" t="str">
        <f>IF(全车数据表!BV24="","",全车数据表!BV24)</f>
        <v>兰博基尼</v>
      </c>
      <c r="BB23" s="91" t="str">
        <f>IF(全车数据表!AZ24="","",全车数据表!AZ24)</f>
        <v/>
      </c>
    </row>
    <row r="24" spans="1:54">
      <c r="A24" s="88">
        <f>全车数据表!A25</f>
        <v>23</v>
      </c>
      <c r="B24" s="88" t="str">
        <f>全车数据表!B25</f>
        <v>Praga R1</v>
      </c>
      <c r="C24" s="89" t="str">
        <f>全车数据表!E25</f>
        <v>praga</v>
      </c>
      <c r="D24" s="88" t="str">
        <f>IF(全车数据表!D25="","",全车数据表!D25)</f>
        <v>Praga</v>
      </c>
      <c r="E24" s="89" t="str">
        <f>全车数据表!H25</f>
        <v>3.9</v>
      </c>
      <c r="F24" s="89" t="str">
        <f>全车数据表!C25</f>
        <v>Praga</v>
      </c>
      <c r="G24" s="89" t="str">
        <f>全车数据表!F25</f>
        <v>D</v>
      </c>
      <c r="H24" s="88">
        <f>LEN(全车数据表!G25)</f>
        <v>4</v>
      </c>
      <c r="I24" s="88" t="str">
        <f>VLOOKUP(全车数据表!P25,辅助计算!A:B,2,FALSE)</f>
        <v>rare</v>
      </c>
      <c r="J24" s="88">
        <f>全车数据表!Q25</f>
        <v>25</v>
      </c>
      <c r="K24" s="88">
        <f>全车数据表!R25</f>
        <v>32</v>
      </c>
      <c r="L24" s="88">
        <f>全车数据表!S25</f>
        <v>40</v>
      </c>
      <c r="M24" s="88">
        <f>全车数据表!T25</f>
        <v>48</v>
      </c>
      <c r="N24" s="88">
        <f>全车数据表!U25</f>
        <v>0</v>
      </c>
      <c r="O24" s="88">
        <f>全车数据表!V25</f>
        <v>0</v>
      </c>
      <c r="P24" s="88">
        <f>全车数据表!J25</f>
        <v>2624</v>
      </c>
      <c r="Q24" s="88">
        <f>全车数据表!K25</f>
        <v>283.3</v>
      </c>
      <c r="R24" s="88">
        <f>全车数据表!L25</f>
        <v>87.8</v>
      </c>
      <c r="S24" s="88">
        <f>全车数据表!M25</f>
        <v>62.25</v>
      </c>
      <c r="T24" s="88">
        <f>全车数据表!N25</f>
        <v>60.92</v>
      </c>
      <c r="U24" s="88">
        <f>全车数据表!O25</f>
        <v>0</v>
      </c>
      <c r="V24" s="88">
        <f>全车数据表!AL25</f>
        <v>3148600</v>
      </c>
      <c r="W24" s="88">
        <f>全车数据表!AM25</f>
        <v>22500</v>
      </c>
      <c r="X24" s="88">
        <f>全车数据表!AU25</f>
        <v>1530000</v>
      </c>
      <c r="Y24" s="88">
        <f>全车数据表!AV25</f>
        <v>4678600</v>
      </c>
      <c r="Z24" s="88">
        <f>全车数据表!AN25</f>
        <v>7</v>
      </c>
      <c r="AA24" s="88">
        <f>全车数据表!AP25</f>
        <v>2</v>
      </c>
      <c r="AB24" s="88">
        <f>全车数据表!AR25</f>
        <v>1</v>
      </c>
      <c r="AC24" s="88">
        <f>全车数据表!AW25</f>
        <v>295</v>
      </c>
      <c r="AD24" s="88">
        <f>全车数据表!AX25</f>
        <v>0</v>
      </c>
      <c r="AE24" s="88">
        <f>全车数据表!AY25</f>
        <v>379</v>
      </c>
      <c r="AF24" s="88" t="str">
        <f>IF(全车数据表!BA25="","",全车数据表!BA25)</f>
        <v>联会赛事</v>
      </c>
      <c r="AG24" s="88" t="str">
        <f>IF(全车数据表!BB25="","",全车数据表!BB25)</f>
        <v/>
      </c>
      <c r="AH24" s="88" t="str">
        <f>IF(全车数据表!BC25="","",全车数据表!BC25)</f>
        <v/>
      </c>
      <c r="AI24" s="88" t="str">
        <f>IF(全车数据表!BD25="","",全车数据表!BD25)</f>
        <v/>
      </c>
      <c r="AJ24" s="88" t="str">
        <f>IF(全车数据表!BE25="","",全车数据表!BE25)</f>
        <v/>
      </c>
      <c r="AK24" s="88" t="str">
        <f>IF(全车数据表!BF25="","",全车数据表!BF25)</f>
        <v/>
      </c>
      <c r="AL24" s="88" t="str">
        <f>IF(全车数据表!BG25="","",全车数据表!BG25)</f>
        <v/>
      </c>
      <c r="AM24" s="88" t="str">
        <f>IF(全车数据表!BH25="","",全车数据表!BH25)</f>
        <v/>
      </c>
      <c r="AN24" s="88" t="str">
        <f>IF(全车数据表!BI25="","",全车数据表!BI25)</f>
        <v/>
      </c>
      <c r="AO24" s="88" t="str">
        <f>IF(全车数据表!BJ25="","",全车数据表!BJ25)</f>
        <v/>
      </c>
      <c r="AP24" s="88" t="str">
        <f>IF(全车数据表!BK25="","",全车数据表!BK25)</f>
        <v/>
      </c>
      <c r="AQ24" s="88" t="str">
        <f>IF(全车数据表!BL25="","",全车数据表!BL25)</f>
        <v/>
      </c>
      <c r="AR24" s="88" t="str">
        <f>IF(全车数据表!BM25="","",全车数据表!BM25)</f>
        <v/>
      </c>
      <c r="AS24" s="88">
        <f>IF(全车数据表!BN25="","",全车数据表!BN25)</f>
        <v>1</v>
      </c>
      <c r="AT24" s="88" t="str">
        <f>IF(全车数据表!BO25="","",全车数据表!BO25)</f>
        <v/>
      </c>
      <c r="AU24" s="88" t="str">
        <f>IF(全车数据表!BP25="","",全车数据表!BP25)</f>
        <v/>
      </c>
      <c r="AV24" s="88" t="str">
        <f>IF(全车数据表!BQ25="","",全车数据表!BQ25)</f>
        <v/>
      </c>
      <c r="AW24" s="88" t="str">
        <f>IF(全车数据表!BR25="","",全车数据表!BR25)</f>
        <v/>
      </c>
      <c r="AX24" s="88" t="str">
        <f>IF(全车数据表!BS25="","",全车数据表!BS25)</f>
        <v/>
      </c>
      <c r="AY24" s="88" t="str">
        <f>IF(全车数据表!BT25="","",全车数据表!BT25)</f>
        <v/>
      </c>
      <c r="AZ24" s="88" t="str">
        <f>IF(全车数据表!BU25="","",全车数据表!BU25)</f>
        <v/>
      </c>
      <c r="BA24" s="88" t="str">
        <f>IF(全车数据表!BV25="","",全车数据表!BV25)</f>
        <v/>
      </c>
      <c r="BB24" s="91" t="str">
        <f>IF(全车数据表!AZ25="","",全车数据表!AZ25)</f>
        <v/>
      </c>
    </row>
    <row r="25" spans="1:54">
      <c r="A25" s="88">
        <f>全车数据表!A26</f>
        <v>24</v>
      </c>
      <c r="B25" s="88" t="str">
        <f>全车数据表!B26</f>
        <v>Ginetta G60</v>
      </c>
      <c r="C25" s="89" t="str">
        <f>全车数据表!E26</f>
        <v>g60</v>
      </c>
      <c r="D25" s="88" t="str">
        <f>IF(全车数据表!D26="","",全车数据表!D26)</f>
        <v>Ginetta</v>
      </c>
      <c r="E25" s="89" t="str">
        <f>全车数据表!H26</f>
        <v>1.8</v>
      </c>
      <c r="F25" s="89" t="str">
        <f>全车数据表!C26</f>
        <v>G60</v>
      </c>
      <c r="G25" s="89" t="str">
        <f>全车数据表!F26</f>
        <v>D</v>
      </c>
      <c r="H25" s="88">
        <f>LEN(全车数据表!G26)</f>
        <v>4</v>
      </c>
      <c r="I25" s="88" t="str">
        <f>VLOOKUP(全车数据表!P26,辅助计算!A:B,2,FALSE)</f>
        <v>uncm</v>
      </c>
      <c r="J25" s="88">
        <f>全车数据表!Q26</f>
        <v>30</v>
      </c>
      <c r="K25" s="88">
        <f>全车数据表!R26</f>
        <v>32</v>
      </c>
      <c r="L25" s="88">
        <f>全车数据表!S26</f>
        <v>40</v>
      </c>
      <c r="M25" s="88">
        <f>全车数据表!T26</f>
        <v>50</v>
      </c>
      <c r="N25" s="88">
        <f>全车数据表!U26</f>
        <v>0</v>
      </c>
      <c r="O25" s="88">
        <f>全车数据表!V26</f>
        <v>0</v>
      </c>
      <c r="P25" s="88">
        <f>全车数据表!J26</f>
        <v>2632</v>
      </c>
      <c r="Q25" s="88">
        <f>全车数据表!K26</f>
        <v>290.7</v>
      </c>
      <c r="R25" s="88">
        <f>全车数据表!L26</f>
        <v>71.510000000000005</v>
      </c>
      <c r="S25" s="88">
        <f>全车数据表!M26</f>
        <v>74.81</v>
      </c>
      <c r="T25" s="88">
        <f>全车数据表!N26</f>
        <v>62.66</v>
      </c>
      <c r="U25" s="88">
        <f>全车数据表!O26</f>
        <v>7.85</v>
      </c>
      <c r="V25" s="88">
        <f>全车数据表!AL26</f>
        <v>0</v>
      </c>
      <c r="W25" s="88">
        <f>全车数据表!AM26</f>
        <v>12500</v>
      </c>
      <c r="X25" s="88">
        <f>全车数据表!AU26</f>
        <v>850000</v>
      </c>
      <c r="Y25" s="88">
        <f>全车数据表!AV26</f>
        <v>0</v>
      </c>
      <c r="Z25" s="88">
        <f>全车数据表!AN26</f>
        <v>7</v>
      </c>
      <c r="AA25" s="88">
        <f>全车数据表!AP26</f>
        <v>2</v>
      </c>
      <c r="AB25" s="88">
        <f>全车数据表!AR26</f>
        <v>1</v>
      </c>
      <c r="AC25" s="88">
        <f>全车数据表!AW26</f>
        <v>303</v>
      </c>
      <c r="AD25" s="88">
        <f>全车数据表!AX26</f>
        <v>0</v>
      </c>
      <c r="AE25" s="88">
        <f>全车数据表!AY26</f>
        <v>388</v>
      </c>
      <c r="AF25" s="88" t="str">
        <f>IF(全车数据表!BA26="","",全车数据表!BA26)</f>
        <v>寻车</v>
      </c>
      <c r="AG25" s="88" t="str">
        <f>IF(全车数据表!BB26="","",全车数据表!BB26)</f>
        <v/>
      </c>
      <c r="AH25" s="88" t="str">
        <f>IF(全车数据表!BC26="","",全车数据表!BC26)</f>
        <v/>
      </c>
      <c r="AI25" s="88" t="str">
        <f>IF(全车数据表!BD26="","",全车数据表!BD26)</f>
        <v/>
      </c>
      <c r="AJ25" s="88" t="str">
        <f>IF(全车数据表!BE26="","",全车数据表!BE26)</f>
        <v/>
      </c>
      <c r="AK25" s="88" t="str">
        <f>IF(全车数据表!BF26="","",全车数据表!BF26)</f>
        <v/>
      </c>
      <c r="AL25" s="88">
        <f>IF(全车数据表!BG26="","",全车数据表!BG26)</f>
        <v>1</v>
      </c>
      <c r="AM25" s="88" t="str">
        <f>IF(全车数据表!BH26="","",全车数据表!BH26)</f>
        <v/>
      </c>
      <c r="AN25" s="88" t="str">
        <f>IF(全车数据表!BI26="","",全车数据表!BI26)</f>
        <v/>
      </c>
      <c r="AO25" s="88" t="str">
        <f>IF(全车数据表!BJ26="","",全车数据表!BJ26)</f>
        <v/>
      </c>
      <c r="AP25" s="88" t="str">
        <f>IF(全车数据表!BK26="","",全车数据表!BK26)</f>
        <v/>
      </c>
      <c r="AQ25" s="88" t="str">
        <f>IF(全车数据表!BL26="","",全车数据表!BL26)</f>
        <v/>
      </c>
      <c r="AR25" s="88" t="str">
        <f>IF(全车数据表!BM26="","",全车数据表!BM26)</f>
        <v/>
      </c>
      <c r="AS25" s="88" t="str">
        <f>IF(全车数据表!BN26="","",全车数据表!BN26)</f>
        <v/>
      </c>
      <c r="AT25" s="88" t="str">
        <f>IF(全车数据表!BO26="","",全车数据表!BO26)</f>
        <v/>
      </c>
      <c r="AU25" s="88" t="str">
        <f>IF(全车数据表!BP26="","",全车数据表!BP26)</f>
        <v/>
      </c>
      <c r="AV25" s="88" t="str">
        <f>IF(全车数据表!BQ26="","",全车数据表!BQ26)</f>
        <v>1款</v>
      </c>
      <c r="AW25" s="88" t="str">
        <f>IF(全车数据表!BR26="","",全车数据表!BR26)</f>
        <v/>
      </c>
      <c r="AX25" s="88" t="str">
        <f>IF(全车数据表!BS26="","",全车数据表!BS26)</f>
        <v/>
      </c>
      <c r="AY25" s="88" t="str">
        <f>IF(全车数据表!BT26="","",全车数据表!BT26)</f>
        <v/>
      </c>
      <c r="AZ25" s="88" t="str">
        <f>IF(全车数据表!BU26="","",全车数据表!BU26)</f>
        <v/>
      </c>
      <c r="BA25" s="88" t="str">
        <f>IF(全车数据表!BV26="","",全车数据表!BV26)</f>
        <v/>
      </c>
      <c r="BB25" s="91" t="str">
        <f>IF(全车数据表!AZ26="","",全车数据表!AZ26)</f>
        <v/>
      </c>
    </row>
    <row r="26" spans="1:54">
      <c r="A26" s="88">
        <f>全车数据表!A27</f>
        <v>25</v>
      </c>
      <c r="B26" s="88" t="str">
        <f>全车数据表!B27</f>
        <v>Glickenhaus 004C🔑</v>
      </c>
      <c r="C26" s="89" t="str">
        <f>全车数据表!E27</f>
        <v>004c</v>
      </c>
      <c r="D26" s="88" t="str">
        <f>IF(全车数据表!D27="","",全车数据表!D27)</f>
        <v>Glickenhaus</v>
      </c>
      <c r="E26" s="89" t="str">
        <f>全车数据表!H27</f>
        <v>3.8</v>
      </c>
      <c r="F26" s="89" t="str">
        <f>全车数据表!C27</f>
        <v>004C</v>
      </c>
      <c r="G26" s="89" t="str">
        <f>全车数据表!F27</f>
        <v>D</v>
      </c>
      <c r="H26" s="88">
        <f>LEN(全车数据表!G27)</f>
        <v>5</v>
      </c>
      <c r="I26" s="88" t="str">
        <f>VLOOKUP(全车数据表!P27,辅助计算!A:B,2,FALSE)</f>
        <v>epic</v>
      </c>
      <c r="J26" s="88" t="str">
        <f>全车数据表!Q27</f>
        <v>🔑</v>
      </c>
      <c r="K26" s="88">
        <f>全车数据表!R27</f>
        <v>30</v>
      </c>
      <c r="L26" s="88">
        <f>全车数据表!S27</f>
        <v>35</v>
      </c>
      <c r="M26" s="88">
        <f>全车数据表!T27</f>
        <v>42</v>
      </c>
      <c r="N26" s="88">
        <f>全车数据表!U27</f>
        <v>50</v>
      </c>
      <c r="O26" s="88">
        <f>全车数据表!V27</f>
        <v>0</v>
      </c>
      <c r="P26" s="88">
        <f>全车数据表!J27</f>
        <v>2840</v>
      </c>
      <c r="Q26" s="88">
        <f>全车数据表!K27</f>
        <v>311.2</v>
      </c>
      <c r="R26" s="88">
        <f>全车数据表!L27</f>
        <v>76.75</v>
      </c>
      <c r="S26" s="88">
        <f>全车数据表!M27</f>
        <v>56.89</v>
      </c>
      <c r="T26" s="88">
        <f>全车数据表!N27</f>
        <v>60.87</v>
      </c>
      <c r="U26" s="88">
        <f>全车数据表!O27</f>
        <v>0</v>
      </c>
      <c r="V26" s="88">
        <f>全车数据表!AL27</f>
        <v>4952000</v>
      </c>
      <c r="W26" s="88">
        <f>全车数据表!AM27</f>
        <v>22500</v>
      </c>
      <c r="X26" s="88">
        <f>全车数据表!AU27</f>
        <v>3240000</v>
      </c>
      <c r="Y26" s="88">
        <f>全车数据表!AV27</f>
        <v>8192000</v>
      </c>
      <c r="Z26" s="88">
        <f>全车数据表!AN27</f>
        <v>8</v>
      </c>
      <c r="AA26" s="88">
        <f>全车数据表!AP27</f>
        <v>5</v>
      </c>
      <c r="AB26" s="88">
        <f>全车数据表!AR27</f>
        <v>3</v>
      </c>
      <c r="AC26" s="88">
        <f>全车数据表!AW27</f>
        <v>324</v>
      </c>
      <c r="AD26" s="88">
        <f>全车数据表!AX27</f>
        <v>0</v>
      </c>
      <c r="AE26" s="88">
        <f>全车数据表!AY27</f>
        <v>413</v>
      </c>
      <c r="AF26" s="88" t="str">
        <f>IF(全车数据表!BA27="","",全车数据表!BA27)</f>
        <v>大奖赛</v>
      </c>
      <c r="AG26" s="88" t="str">
        <f>IF(全车数据表!BB27="","",全车数据表!BB27)</f>
        <v/>
      </c>
      <c r="AH26" s="88" t="str">
        <f>IF(全车数据表!BC27="","",全车数据表!BC27)</f>
        <v/>
      </c>
      <c r="AI26" s="88" t="str">
        <f>IF(全车数据表!BD27="","",全车数据表!BD27)</f>
        <v/>
      </c>
      <c r="AJ26" s="88" t="str">
        <f>IF(全车数据表!BE27="","",全车数据表!BE27)</f>
        <v/>
      </c>
      <c r="AK26" s="88" t="str">
        <f>IF(全车数据表!BF27="","",全车数据表!BF27)</f>
        <v/>
      </c>
      <c r="AL26" s="88" t="str">
        <f>IF(全车数据表!BG27="","",全车数据表!BG27)</f>
        <v/>
      </c>
      <c r="AM26" s="88" t="str">
        <f>IF(全车数据表!BH27="","",全车数据表!BH27)</f>
        <v/>
      </c>
      <c r="AN26" s="88" t="str">
        <f>IF(全车数据表!BI27="","",全车数据表!BI27)</f>
        <v/>
      </c>
      <c r="AO26" s="88" t="str">
        <f>IF(全车数据表!BJ27="","",全车数据表!BJ27)</f>
        <v/>
      </c>
      <c r="AP26" s="88" t="str">
        <f>IF(全车数据表!BK27="","",全车数据表!BK27)</f>
        <v/>
      </c>
      <c r="AQ26" s="88" t="str">
        <f>IF(全车数据表!BL27="","",全车数据表!BL27)</f>
        <v/>
      </c>
      <c r="AR26" s="88">
        <f>IF(全车数据表!BM27="","",全车数据表!BM27)</f>
        <v>1</v>
      </c>
      <c r="AS26" s="88" t="str">
        <f>IF(全车数据表!BN27="","",全车数据表!BN27)</f>
        <v/>
      </c>
      <c r="AT26" s="88">
        <f>IF(全车数据表!BO27="","",全车数据表!BO27)</f>
        <v>1</v>
      </c>
      <c r="AU26" s="88" t="str">
        <f>IF(全车数据表!BP27="","",全车数据表!BP27)</f>
        <v/>
      </c>
      <c r="AV26" s="88" t="str">
        <f>IF(全车数据表!BQ27="","",全车数据表!BQ27)</f>
        <v/>
      </c>
      <c r="AW26" s="88" t="str">
        <f>IF(全车数据表!BR27="","",全车数据表!BR27)</f>
        <v/>
      </c>
      <c r="AX26" s="88" t="str">
        <f>IF(全车数据表!BS27="","",全车数据表!BS27)</f>
        <v/>
      </c>
      <c r="AY26" s="88" t="str">
        <f>IF(全车数据表!BT27="","",全车数据表!BT27)</f>
        <v/>
      </c>
      <c r="AZ26" s="88" t="str">
        <f>IF(全车数据表!BU27="","",全车数据表!BU27)</f>
        <v/>
      </c>
      <c r="BA26" s="88" t="str">
        <f>IF(全车数据表!BV27="","",全车数据表!BV27)</f>
        <v/>
      </c>
      <c r="BB26" s="91" t="str">
        <f>IF(全车数据表!AZ27="","",全车数据表!AZ27)</f>
        <v/>
      </c>
    </row>
    <row r="27" spans="1:54">
      <c r="A27" s="88">
        <f>全车数据表!A28</f>
        <v>26</v>
      </c>
      <c r="B27" s="88" t="str">
        <f>全车数据表!B28</f>
        <v>Alfa Romeo Giulia GTAm🔑</v>
      </c>
      <c r="C27" s="89" t="str">
        <f>全车数据表!E28</f>
        <v>giulia</v>
      </c>
      <c r="D27" s="88" t="str">
        <f>IF(全车数据表!D28="","",全车数据表!D28)</f>
        <v>Alfa Romeo</v>
      </c>
      <c r="E27" s="89" t="str">
        <f>全车数据表!H28</f>
        <v>4.5</v>
      </c>
      <c r="F27" s="89" t="str">
        <f>全车数据表!C28</f>
        <v>Giulia</v>
      </c>
      <c r="G27" s="89" t="str">
        <f>全车数据表!F28</f>
        <v>D</v>
      </c>
      <c r="H27" s="88">
        <f>LEN(全车数据表!G28)</f>
        <v>5</v>
      </c>
      <c r="I27" s="88" t="str">
        <f>VLOOKUP(全车数据表!P28,辅助计算!A:B,2,FALSE)</f>
        <v>epic</v>
      </c>
      <c r="J27" s="88" t="str">
        <f>全车数据表!Q28</f>
        <v>🔑</v>
      </c>
      <c r="K27" s="88">
        <f>全车数据表!R28</f>
        <v>30</v>
      </c>
      <c r="L27" s="88">
        <f>全车数据表!S28</f>
        <v>35</v>
      </c>
      <c r="M27" s="88">
        <f>全车数据表!T28</f>
        <v>42</v>
      </c>
      <c r="N27" s="88">
        <f>全车数据表!U28</f>
        <v>50</v>
      </c>
      <c r="O27" s="88">
        <f>全车数据表!V28</f>
        <v>0</v>
      </c>
      <c r="P27" s="88">
        <f>全车数据表!J28</f>
        <v>2895</v>
      </c>
      <c r="Q27" s="88">
        <f>全车数据表!K28</f>
        <v>312.2</v>
      </c>
      <c r="R27" s="88">
        <f>全车数据表!L28</f>
        <v>77.28</v>
      </c>
      <c r="S27" s="88">
        <f>全车数据表!M28</f>
        <v>45.17</v>
      </c>
      <c r="T27" s="88">
        <f>全车数据表!N28</f>
        <v>47.09</v>
      </c>
      <c r="U27" s="88">
        <f>全车数据表!O28</f>
        <v>0</v>
      </c>
      <c r="V27" s="88">
        <f>全车数据表!AL28</f>
        <v>4952000</v>
      </c>
      <c r="W27" s="88">
        <f>全车数据表!AM28</f>
        <v>24000</v>
      </c>
      <c r="X27" s="88">
        <f>全车数据表!AU28</f>
        <v>3456000</v>
      </c>
      <c r="Y27" s="88">
        <f>全车数据表!AV28</f>
        <v>8408000</v>
      </c>
      <c r="Z27" s="88">
        <f>全车数据表!AN28</f>
        <v>8</v>
      </c>
      <c r="AA27" s="88">
        <f>全车数据表!AP28</f>
        <v>5</v>
      </c>
      <c r="AB27" s="88">
        <f>全车数据表!AR28</f>
        <v>3</v>
      </c>
      <c r="AC27" s="88">
        <f>全车数据表!AW28</f>
        <v>0</v>
      </c>
      <c r="AD27" s="88">
        <f>全车数据表!AX28</f>
        <v>0</v>
      </c>
      <c r="AE27" s="88">
        <f>全车数据表!AY28</f>
        <v>0</v>
      </c>
      <c r="AF27" s="88" t="str">
        <f>IF(全车数据表!BA28="","",全车数据表!BA28)</f>
        <v>大奖赛</v>
      </c>
      <c r="AG27" s="88" t="str">
        <f>IF(全车数据表!BB28="","",全车数据表!BB28)</f>
        <v/>
      </c>
      <c r="AH27" s="88" t="str">
        <f>IF(全车数据表!BC28="","",全车数据表!BC28)</f>
        <v/>
      </c>
      <c r="AI27" s="88" t="str">
        <f>IF(全车数据表!BD28="","",全车数据表!BD28)</f>
        <v/>
      </c>
      <c r="AJ27" s="88" t="str">
        <f>IF(全车数据表!BE28="","",全车数据表!BE28)</f>
        <v/>
      </c>
      <c r="AK27" s="88" t="str">
        <f>IF(全车数据表!BF28="","",全车数据表!BF28)</f>
        <v/>
      </c>
      <c r="AL27" s="88" t="str">
        <f>IF(全车数据表!BG28="","",全车数据表!BG28)</f>
        <v/>
      </c>
      <c r="AM27" s="88" t="str">
        <f>IF(全车数据表!BH28="","",全车数据表!BH28)</f>
        <v/>
      </c>
      <c r="AN27" s="88" t="str">
        <f>IF(全车数据表!BI28="","",全车数据表!BI28)</f>
        <v/>
      </c>
      <c r="AO27" s="88" t="str">
        <f>IF(全车数据表!BJ28="","",全车数据表!BJ28)</f>
        <v/>
      </c>
      <c r="AP27" s="88" t="str">
        <f>IF(全车数据表!BK28="","",全车数据表!BK28)</f>
        <v/>
      </c>
      <c r="AQ27" s="88" t="str">
        <f>IF(全车数据表!BL28="","",全车数据表!BL28)</f>
        <v/>
      </c>
      <c r="AR27" s="88">
        <f>IF(全车数据表!BM28="","",全车数据表!BM28)</f>
        <v>1</v>
      </c>
      <c r="AS27" s="88" t="str">
        <f>IF(全车数据表!BN28="","",全车数据表!BN28)</f>
        <v/>
      </c>
      <c r="AT27" s="88">
        <f>IF(全车数据表!BO28="","",全车数据表!BO28)</f>
        <v>1</v>
      </c>
      <c r="AU27" s="88" t="str">
        <f>IF(全车数据表!BP28="","",全车数据表!BP28)</f>
        <v/>
      </c>
      <c r="AV27" s="88" t="str">
        <f>IF(全车数据表!BQ28="","",全车数据表!BQ28)</f>
        <v/>
      </c>
      <c r="AW27" s="88" t="str">
        <f>IF(全车数据表!BR28="","",全车数据表!BR28)</f>
        <v/>
      </c>
      <c r="AX27" s="88" t="str">
        <f>IF(全车数据表!BS28="","",全车数据表!BS28)</f>
        <v/>
      </c>
      <c r="AY27" s="88" t="str">
        <f>IF(全车数据表!BT28="","",全车数据表!BT28)</f>
        <v/>
      </c>
      <c r="AZ27" s="88" t="str">
        <f>IF(全车数据表!BU28="","",全车数据表!BU28)</f>
        <v/>
      </c>
      <c r="BA27" s="88" t="str">
        <f>IF(全车数据表!BV28="","",全车数据表!BV28)</f>
        <v>阿尔法罗密欧</v>
      </c>
      <c r="BB27" s="91" t="str">
        <f>IF(全车数据表!AZ28="","",全车数据表!AZ28)</f>
        <v/>
      </c>
    </row>
    <row r="28" spans="1:54">
      <c r="A28" s="88">
        <f>全车数据表!A29</f>
        <v>27</v>
      </c>
      <c r="B28" s="88" t="str">
        <f>全车数据表!B29</f>
        <v>Toyota GR Supra Racing Concept</v>
      </c>
      <c r="C28" s="89" t="str">
        <f>全车数据表!E29</f>
        <v>supraracing</v>
      </c>
      <c r="D28" s="88" t="str">
        <f>IF(全车数据表!D29="","",全车数据表!D29)</f>
        <v>Toyota</v>
      </c>
      <c r="E28" s="89" t="str">
        <f>全车数据表!H29</f>
        <v>5.4</v>
      </c>
      <c r="F28" s="89" t="str">
        <f>全车数据表!C29</f>
        <v>Supra</v>
      </c>
      <c r="G28" s="89" t="str">
        <f>全车数据表!F29</f>
        <v>D</v>
      </c>
      <c r="H28" s="88">
        <f>LEN(全车数据表!G29)</f>
        <v>5</v>
      </c>
      <c r="I28" s="88" t="str">
        <f>VLOOKUP(全车数据表!P29,辅助计算!A:B,2,FALSE)</f>
        <v>epic</v>
      </c>
      <c r="J28" s="88">
        <f>全车数据表!Q29</f>
        <v>30</v>
      </c>
      <c r="K28" s="88">
        <f>全车数据表!R29</f>
        <v>12</v>
      </c>
      <c r="L28" s="88">
        <f>全车数据表!S29</f>
        <v>18</v>
      </c>
      <c r="M28" s="88">
        <f>全车数据表!T29</f>
        <v>27</v>
      </c>
      <c r="N28" s="88">
        <f>全车数据表!U29</f>
        <v>38</v>
      </c>
      <c r="O28" s="88">
        <f>全车数据表!V29</f>
        <v>0</v>
      </c>
      <c r="P28" s="88">
        <f>全车数据表!J29</f>
        <v>2930</v>
      </c>
      <c r="Q28" s="88">
        <f>全车数据表!K29</f>
        <v>312</v>
      </c>
      <c r="R28" s="88">
        <f>全车数据表!L29</f>
        <v>71.98</v>
      </c>
      <c r="S28" s="88">
        <f>全车数据表!M29</f>
        <v>61.16</v>
      </c>
      <c r="T28" s="88">
        <f>全车数据表!N29</f>
        <v>53.66</v>
      </c>
      <c r="U28" s="88">
        <f>全车数据表!O29</f>
        <v>0</v>
      </c>
      <c r="V28" s="88">
        <f>全车数据表!AL29</f>
        <v>4952000</v>
      </c>
      <c r="W28" s="88">
        <f>全车数据表!AM29</f>
        <v>24000</v>
      </c>
      <c r="X28" s="88">
        <f>全车数据表!AU29</f>
        <v>3456000</v>
      </c>
      <c r="Y28" s="88">
        <f>全车数据表!AV29</f>
        <v>8408000</v>
      </c>
      <c r="Z28" s="88">
        <f>全车数据表!AN29</f>
        <v>8</v>
      </c>
      <c r="AA28" s="88">
        <f>全车数据表!AP29</f>
        <v>5</v>
      </c>
      <c r="AB28" s="88">
        <f>全车数据表!AR29</f>
        <v>3</v>
      </c>
      <c r="AC28" s="88">
        <f>全车数据表!AW29</f>
        <v>0</v>
      </c>
      <c r="AD28" s="88">
        <f>全车数据表!AX29</f>
        <v>0</v>
      </c>
      <c r="AE28" s="88">
        <f>全车数据表!AY29</f>
        <v>0</v>
      </c>
      <c r="AF28" s="88" t="str">
        <f>IF(全车数据表!BA29="","",全车数据表!BA29)</f>
        <v>通行证</v>
      </c>
      <c r="AG28" s="88" t="str">
        <f>IF(全车数据表!BB29="","",全车数据表!BB29)</f>
        <v/>
      </c>
      <c r="AH28" s="88" t="str">
        <f>IF(全车数据表!BC29="","",全车数据表!BC29)</f>
        <v/>
      </c>
      <c r="AI28" s="88" t="str">
        <f>IF(全车数据表!BD29="","",全车数据表!BD29)</f>
        <v/>
      </c>
      <c r="AJ28" s="88" t="str">
        <f>IF(全车数据表!BE29="","",全车数据表!BE29)</f>
        <v/>
      </c>
      <c r="AK28" s="88" t="str">
        <f>IF(全车数据表!BF29="","",全车数据表!BF29)</f>
        <v/>
      </c>
      <c r="AL28" s="88" t="str">
        <f>IF(全车数据表!BG29="","",全车数据表!BG29)</f>
        <v/>
      </c>
      <c r="AM28" s="88" t="str">
        <f>IF(全车数据表!BH29="","",全车数据表!BH29)</f>
        <v/>
      </c>
      <c r="AN28" s="88" t="str">
        <f>IF(全车数据表!BI29="","",全车数据表!BI29)</f>
        <v/>
      </c>
      <c r="AO28" s="88" t="str">
        <f>IF(全车数据表!BJ29="","",全车数据表!BJ29)</f>
        <v/>
      </c>
      <c r="AP28" s="88" t="str">
        <f>IF(全车数据表!BK29="","",全车数据表!BK29)</f>
        <v/>
      </c>
      <c r="AQ28" s="88" t="str">
        <f>IF(全车数据表!BL29="","",全车数据表!BL29)</f>
        <v/>
      </c>
      <c r="AR28" s="88" t="str">
        <f>IF(全车数据表!BM29="","",全车数据表!BM29)</f>
        <v/>
      </c>
      <c r="AS28" s="88" t="str">
        <f>IF(全车数据表!BN29="","",全车数据表!BN29)</f>
        <v/>
      </c>
      <c r="AT28" s="88" t="str">
        <f>IF(全车数据表!BO29="","",全车数据表!BO29)</f>
        <v/>
      </c>
      <c r="AU28" s="88" t="str">
        <f>IF(全车数据表!BP29="","",全车数据表!BP29)</f>
        <v/>
      </c>
      <c r="AV28" s="88" t="str">
        <f>IF(全车数据表!BQ29="","",全车数据表!BQ29)</f>
        <v/>
      </c>
      <c r="AW28" s="88" t="str">
        <f>IF(全车数据表!BR29="","",全车数据表!BR29)</f>
        <v/>
      </c>
      <c r="AX28" s="88" t="str">
        <f>IF(全车数据表!BS29="","",全车数据表!BS29)</f>
        <v/>
      </c>
      <c r="AY28" s="88" t="str">
        <f>IF(全车数据表!BT29="","",全车数据表!BT29)</f>
        <v/>
      </c>
      <c r="AZ28" s="88" t="str">
        <f>IF(全车数据表!BU29="","",全车数据表!BU29)</f>
        <v/>
      </c>
      <c r="BA28" s="88" t="str">
        <f>IF(全车数据表!BV29="","",全车数据表!BV29)</f>
        <v/>
      </c>
      <c r="BB28" s="91" t="str">
        <f>IF(全车数据表!AZ29="","",全车数据表!AZ29)</f>
        <v/>
      </c>
    </row>
    <row r="29" spans="1:54">
      <c r="A29" s="88">
        <f>全车数据表!A30</f>
        <v>28</v>
      </c>
      <c r="B29" s="88" t="str">
        <f>全车数据表!B30</f>
        <v>Ford Mustang Mach-E1400🔑</v>
      </c>
      <c r="C29" s="89" t="str">
        <f>全车数据表!E30</f>
        <v>e1400</v>
      </c>
      <c r="D29" s="88" t="str">
        <f>IF(全车数据表!D30="","",全车数据表!D30)</f>
        <v>Ford</v>
      </c>
      <c r="E29" s="89" t="str">
        <f>全车数据表!H30</f>
        <v>4.4</v>
      </c>
      <c r="F29" s="89" t="str">
        <f>全车数据表!C30</f>
        <v>电马</v>
      </c>
      <c r="G29" s="89" t="str">
        <f>全车数据表!F30</f>
        <v>D</v>
      </c>
      <c r="H29" s="88">
        <f>LEN(全车数据表!G30)</f>
        <v>5</v>
      </c>
      <c r="I29" s="88" t="str">
        <f>VLOOKUP(全车数据表!P30,辅助计算!A:B,2,FALSE)</f>
        <v>epic</v>
      </c>
      <c r="J29" s="88" t="str">
        <f>全车数据表!Q30</f>
        <v>🔑</v>
      </c>
      <c r="K29" s="88">
        <f>全车数据表!R30</f>
        <v>30</v>
      </c>
      <c r="L29" s="88">
        <f>全车数据表!S30</f>
        <v>35</v>
      </c>
      <c r="M29" s="88">
        <f>全车数据表!T30</f>
        <v>42</v>
      </c>
      <c r="N29" s="88">
        <f>全车数据表!U30</f>
        <v>50</v>
      </c>
      <c r="O29" s="88">
        <f>全车数据表!V30</f>
        <v>0</v>
      </c>
      <c r="P29" s="88">
        <f>全车数据表!J30</f>
        <v>3097</v>
      </c>
      <c r="Q29" s="88">
        <f>全车数据表!K30</f>
        <v>301.2</v>
      </c>
      <c r="R29" s="88">
        <f>全车数据表!L30</f>
        <v>82.87</v>
      </c>
      <c r="S29" s="88">
        <f>全车数据表!M30</f>
        <v>51.83</v>
      </c>
      <c r="T29" s="88">
        <f>全车数据表!N30</f>
        <v>64.819999999999993</v>
      </c>
      <c r="U29" s="88">
        <f>全车数据表!O30</f>
        <v>0</v>
      </c>
      <c r="V29" s="88">
        <f>全车数据表!AL30</f>
        <v>4952000</v>
      </c>
      <c r="W29" s="88">
        <f>全车数据表!AM30</f>
        <v>22750</v>
      </c>
      <c r="X29" s="88">
        <f>全车数据表!AU30</f>
        <v>3276000</v>
      </c>
      <c r="Y29" s="88">
        <f>全车数据表!AV30</f>
        <v>8228000</v>
      </c>
      <c r="Z29" s="88">
        <f>全车数据表!AN30</f>
        <v>8</v>
      </c>
      <c r="AA29" s="88">
        <f>全车数据表!AP30</f>
        <v>5</v>
      </c>
      <c r="AB29" s="88">
        <f>全车数据表!AR30</f>
        <v>3</v>
      </c>
      <c r="AC29" s="88">
        <f>全车数据表!AW30</f>
        <v>314</v>
      </c>
      <c r="AD29" s="88">
        <f>全车数据表!AX30</f>
        <v>0</v>
      </c>
      <c r="AE29" s="88">
        <f>全车数据表!AY30</f>
        <v>0</v>
      </c>
      <c r="AF29" s="88" t="str">
        <f>IF(全车数据表!BA30="","",全车数据表!BA30)</f>
        <v>大奖赛</v>
      </c>
      <c r="AG29" s="88" t="str">
        <f>IF(全车数据表!BB30="","",全车数据表!BB30)</f>
        <v/>
      </c>
      <c r="AH29" s="88" t="str">
        <f>IF(全车数据表!BC30="","",全车数据表!BC30)</f>
        <v/>
      </c>
      <c r="AI29" s="88" t="str">
        <f>IF(全车数据表!BD30="","",全车数据表!BD30)</f>
        <v/>
      </c>
      <c r="AJ29" s="88" t="str">
        <f>IF(全车数据表!BE30="","",全车数据表!BE30)</f>
        <v/>
      </c>
      <c r="AK29" s="88" t="str">
        <f>IF(全车数据表!BF30="","",全车数据表!BF30)</f>
        <v/>
      </c>
      <c r="AL29" s="88" t="str">
        <f>IF(全车数据表!BG30="","",全车数据表!BG30)</f>
        <v/>
      </c>
      <c r="AM29" s="88" t="str">
        <f>IF(全车数据表!BH30="","",全车数据表!BH30)</f>
        <v/>
      </c>
      <c r="AN29" s="88" t="str">
        <f>IF(全车数据表!BI30="","",全车数据表!BI30)</f>
        <v/>
      </c>
      <c r="AO29" s="88" t="str">
        <f>IF(全车数据表!BJ30="","",全车数据表!BJ30)</f>
        <v/>
      </c>
      <c r="AP29" s="88" t="str">
        <f>IF(全车数据表!BK30="","",全车数据表!BK30)</f>
        <v/>
      </c>
      <c r="AQ29" s="88" t="str">
        <f>IF(全车数据表!BL30="","",全车数据表!BL30)</f>
        <v/>
      </c>
      <c r="AR29" s="88">
        <f>IF(全车数据表!BM30="","",全车数据表!BM30)</f>
        <v>1</v>
      </c>
      <c r="AS29" s="88" t="str">
        <f>IF(全车数据表!BN30="","",全车数据表!BN30)</f>
        <v/>
      </c>
      <c r="AT29" s="88">
        <f>IF(全车数据表!BO30="","",全车数据表!BO30)</f>
        <v>1</v>
      </c>
      <c r="AU29" s="88" t="str">
        <f>IF(全车数据表!BP30="","",全车数据表!BP30)</f>
        <v/>
      </c>
      <c r="AV29" s="88" t="str">
        <f>IF(全车数据表!BQ30="","",全车数据表!BQ30)</f>
        <v/>
      </c>
      <c r="AW29" s="88" t="str">
        <f>IF(全车数据表!BR30="","",全车数据表!BR30)</f>
        <v/>
      </c>
      <c r="AX29" s="88" t="str">
        <f>IF(全车数据表!BS30="","",全车数据表!BS30)</f>
        <v/>
      </c>
      <c r="AY29" s="88" t="str">
        <f>IF(全车数据表!BT30="","",全车数据表!BT30)</f>
        <v/>
      </c>
      <c r="AZ29" s="88" t="str">
        <f>IF(全车数据表!BU30="","",全车数据表!BU30)</f>
        <v/>
      </c>
      <c r="BA29" s="88" t="str">
        <f>IF(全车数据表!BV30="","",全车数据表!BV30)</f>
        <v>福特 野马</v>
      </c>
      <c r="BB29" s="91" t="str">
        <f>IF(全车数据表!AZ30="","",全车数据表!AZ30)</f>
        <v/>
      </c>
    </row>
    <row r="30" spans="1:54">
      <c r="A30" s="88">
        <f>全车数据表!A31</f>
        <v>29</v>
      </c>
      <c r="B30" s="88" t="str">
        <f>全车数据表!B31</f>
        <v>Kimera EVO37🔑</v>
      </c>
      <c r="C30" s="89" t="str">
        <f>全车数据表!E31</f>
        <v>evo37</v>
      </c>
      <c r="D30" s="88" t="str">
        <f>IF(全车数据表!D31="","",全车数据表!D31)</f>
        <v>Kimera</v>
      </c>
      <c r="E30" s="89" t="str">
        <f>全车数据表!H31</f>
        <v>5.2</v>
      </c>
      <c r="F30" s="89" t="str">
        <f>全车数据表!C31</f>
        <v>EVO37</v>
      </c>
      <c r="G30" s="89" t="str">
        <f>全车数据表!F31</f>
        <v>D</v>
      </c>
      <c r="H30" s="88">
        <f>LEN(全车数据表!G31)</f>
        <v>5</v>
      </c>
      <c r="I30" s="88" t="str">
        <f>VLOOKUP(全车数据表!P31,辅助计算!A:B,2,FALSE)</f>
        <v>epic</v>
      </c>
      <c r="J30" s="88" t="str">
        <f>全车数据表!Q31</f>
        <v>🔑</v>
      </c>
      <c r="K30" s="88">
        <f>全车数据表!R31</f>
        <v>30</v>
      </c>
      <c r="L30" s="88">
        <f>全车数据表!S31</f>
        <v>35</v>
      </c>
      <c r="M30" s="88">
        <f>全车数据表!T31</f>
        <v>42</v>
      </c>
      <c r="N30" s="88">
        <f>全车数据表!U31</f>
        <v>50</v>
      </c>
      <c r="O30" s="88">
        <f>全车数据表!V31</f>
        <v>0</v>
      </c>
      <c r="P30" s="88">
        <f>全车数据表!J31</f>
        <v>3108</v>
      </c>
      <c r="Q30" s="88">
        <f>全车数据表!K31</f>
        <v>297.8</v>
      </c>
      <c r="R30" s="88">
        <f>全车数据表!L31</f>
        <v>80.98</v>
      </c>
      <c r="S30" s="88">
        <f>全车数据表!M31</f>
        <v>78.180000000000007</v>
      </c>
      <c r="T30" s="88">
        <f>全车数据表!N31</f>
        <v>57.43</v>
      </c>
      <c r="U30" s="88">
        <f>全车数据表!O31</f>
        <v>0</v>
      </c>
      <c r="V30" s="88">
        <f>全车数据表!AL31</f>
        <v>4952000</v>
      </c>
      <c r="W30" s="88">
        <f>全车数据表!AM31</f>
        <v>28000</v>
      </c>
      <c r="X30" s="88">
        <f>全车数据表!AU31</f>
        <v>4032000</v>
      </c>
      <c r="Y30" s="88">
        <f>全车数据表!AV31</f>
        <v>8984000</v>
      </c>
      <c r="Z30" s="88">
        <f>全车数据表!AN31</f>
        <v>8</v>
      </c>
      <c r="AA30" s="88">
        <f>全车数据表!AP31</f>
        <v>5</v>
      </c>
      <c r="AB30" s="88">
        <f>全车数据表!AR31</f>
        <v>3</v>
      </c>
      <c r="AC30" s="88">
        <f>全车数据表!AW31</f>
        <v>0</v>
      </c>
      <c r="AD30" s="88">
        <f>全车数据表!AX31</f>
        <v>0</v>
      </c>
      <c r="AE30" s="88">
        <f>全车数据表!AY31</f>
        <v>0</v>
      </c>
      <c r="AF30" s="88" t="str">
        <f>IF(全车数据表!BA31="","",全车数据表!BA31)</f>
        <v>大奖赛</v>
      </c>
      <c r="AG30" s="88" t="str">
        <f>IF(全车数据表!BB31="","",全车数据表!BB31)</f>
        <v/>
      </c>
      <c r="AH30" s="88" t="str">
        <f>IF(全车数据表!BC31="","",全车数据表!BC31)</f>
        <v/>
      </c>
      <c r="AI30" s="88" t="str">
        <f>IF(全车数据表!BD31="","",全车数据表!BD31)</f>
        <v/>
      </c>
      <c r="AJ30" s="88" t="str">
        <f>IF(全车数据表!BE31="","",全车数据表!BE31)</f>
        <v/>
      </c>
      <c r="AK30" s="88" t="str">
        <f>IF(全车数据表!BF31="","",全车数据表!BF31)</f>
        <v/>
      </c>
      <c r="AL30" s="88" t="str">
        <f>IF(全车数据表!BG31="","",全车数据表!BG31)</f>
        <v/>
      </c>
      <c r="AM30" s="88" t="str">
        <f>IF(全车数据表!BH31="","",全车数据表!BH31)</f>
        <v/>
      </c>
      <c r="AN30" s="88" t="str">
        <f>IF(全车数据表!BI31="","",全车数据表!BI31)</f>
        <v/>
      </c>
      <c r="AO30" s="88" t="str">
        <f>IF(全车数据表!BJ31="","",全车数据表!BJ31)</f>
        <v/>
      </c>
      <c r="AP30" s="88" t="str">
        <f>IF(全车数据表!BK31="","",全车数据表!BK31)</f>
        <v/>
      </c>
      <c r="AQ30" s="88" t="str">
        <f>IF(全车数据表!BL31="","",全车数据表!BL31)</f>
        <v/>
      </c>
      <c r="AR30" s="88" t="str">
        <f>IF(全车数据表!BM31="","",全车数据表!BM31)</f>
        <v/>
      </c>
      <c r="AS30" s="88" t="str">
        <f>IF(全车数据表!BN31="","",全车数据表!BN31)</f>
        <v/>
      </c>
      <c r="AT30" s="88">
        <f>IF(全车数据表!BO31="","",全车数据表!BO31)</f>
        <v>1</v>
      </c>
      <c r="AU30" s="88" t="str">
        <f>IF(全车数据表!BP31="","",全车数据表!BP31)</f>
        <v/>
      </c>
      <c r="AV30" s="88" t="str">
        <f>IF(全车数据表!BQ31="","",全车数据表!BQ31)</f>
        <v/>
      </c>
      <c r="AW30" s="88" t="str">
        <f>IF(全车数据表!BR31="","",全车数据表!BR31)</f>
        <v/>
      </c>
      <c r="AX30" s="88" t="str">
        <f>IF(全车数据表!BS31="","",全车数据表!BS31)</f>
        <v/>
      </c>
      <c r="AY30" s="88" t="str">
        <f>IF(全车数据表!BT31="","",全车数据表!BT31)</f>
        <v/>
      </c>
      <c r="AZ30" s="88" t="str">
        <f>IF(全车数据表!BU31="","",全车数据表!BU31)</f>
        <v/>
      </c>
      <c r="BA30" s="88" t="str">
        <f>IF(全车数据表!BV31="","",全车数据表!BV31)</f>
        <v/>
      </c>
      <c r="BB30" s="91" t="str">
        <f>IF(全车数据表!AZ31="","",全车数据表!AZ31)</f>
        <v/>
      </c>
    </row>
    <row r="31" spans="1:54">
      <c r="A31" s="88">
        <f>全车数据表!A32</f>
        <v>30</v>
      </c>
      <c r="B31" s="88" t="str">
        <f>全车数据表!B32</f>
        <v>Lotus Evora Sport 410</v>
      </c>
      <c r="C31" s="89" t="str">
        <f>全车数据表!E32</f>
        <v>410</v>
      </c>
      <c r="D31" s="88" t="str">
        <f>IF(全车数据表!D32="","",全车数据表!D32)</f>
        <v>Lotus</v>
      </c>
      <c r="E31" s="89" t="str">
        <f>全车数据表!H32</f>
        <v>1.3</v>
      </c>
      <c r="F31" s="89" t="str">
        <f>全车数据表!C32</f>
        <v>大莲花</v>
      </c>
      <c r="G31" s="89" t="str">
        <f>全车数据表!F32</f>
        <v>C</v>
      </c>
      <c r="H31" s="88">
        <f>LEN(全车数据表!G32)</f>
        <v>3</v>
      </c>
      <c r="I31" s="88" t="str">
        <f>VLOOKUP(全车数据表!P32,辅助计算!A:B,2,FALSE)</f>
        <v>uncm</v>
      </c>
      <c r="J31" s="88">
        <f>全车数据表!Q32</f>
        <v>20</v>
      </c>
      <c r="K31" s="88">
        <f>全车数据表!R32</f>
        <v>30</v>
      </c>
      <c r="L31" s="88">
        <f>全车数据表!S32</f>
        <v>50</v>
      </c>
      <c r="M31" s="88">
        <f>全车数据表!T32</f>
        <v>0</v>
      </c>
      <c r="N31" s="88">
        <f>全车数据表!U32</f>
        <v>0</v>
      </c>
      <c r="O31" s="88">
        <f>全车数据表!V32</f>
        <v>0</v>
      </c>
      <c r="P31" s="88">
        <f>全车数据表!J32</f>
        <v>2123</v>
      </c>
      <c r="Q31" s="88">
        <f>全车数据表!K32</f>
        <v>317.7</v>
      </c>
      <c r="R31" s="88">
        <f>全车数据表!L32</f>
        <v>71.7</v>
      </c>
      <c r="S31" s="88">
        <f>全车数据表!M32</f>
        <v>50.92</v>
      </c>
      <c r="T31" s="88">
        <f>全车数据表!N32</f>
        <v>47.05</v>
      </c>
      <c r="U31" s="88">
        <f>全车数据表!O32</f>
        <v>5.133</v>
      </c>
      <c r="V31" s="88">
        <f>全车数据表!AL32</f>
        <v>916000</v>
      </c>
      <c r="W31" s="88">
        <f>全车数据表!AM32</f>
        <v>9000</v>
      </c>
      <c r="X31" s="88">
        <f>全车数据表!AU32</f>
        <v>432000</v>
      </c>
      <c r="Y31" s="88">
        <f>全车数据表!AV32</f>
        <v>1348000</v>
      </c>
      <c r="Z31" s="88">
        <f>全车数据表!AN32</f>
        <v>4</v>
      </c>
      <c r="AA31" s="88">
        <f>全车数据表!AP32</f>
        <v>1</v>
      </c>
      <c r="AB31" s="88">
        <f>全车数据表!AR32</f>
        <v>1</v>
      </c>
      <c r="AC31" s="88">
        <f>全车数据表!AW32</f>
        <v>331</v>
      </c>
      <c r="AD31" s="88">
        <f>全车数据表!AX32</f>
        <v>0</v>
      </c>
      <c r="AE31" s="88">
        <f>全车数据表!AY32</f>
        <v>422</v>
      </c>
      <c r="AF31" s="88" t="str">
        <f>IF(全车数据表!BA32="","",全车数据表!BA32)</f>
        <v>级别杯</v>
      </c>
      <c r="AG31" s="88">
        <f>IF(全车数据表!BB32="","",全车数据表!BB32)</f>
        <v>1</v>
      </c>
      <c r="AH31" s="88" t="str">
        <f>IF(全车数据表!BC32="","",全车数据表!BC32)</f>
        <v/>
      </c>
      <c r="AI31" s="88">
        <f>IF(全车数据表!BD32="","",全车数据表!BD32)</f>
        <v>1</v>
      </c>
      <c r="AJ31" s="88">
        <f>IF(全车数据表!BE32="","",全车数据表!BE32)</f>
        <v>1</v>
      </c>
      <c r="AK31" s="88" t="str">
        <f>IF(全车数据表!BF32="","",全车数据表!BF32)</f>
        <v/>
      </c>
      <c r="AL31" s="88" t="str">
        <f>IF(全车数据表!BG32="","",全车数据表!BG32)</f>
        <v/>
      </c>
      <c r="AM31" s="88" t="str">
        <f>IF(全车数据表!BH32="","",全车数据表!BH32)</f>
        <v/>
      </c>
      <c r="AN31" s="88" t="str">
        <f>IF(全车数据表!BI32="","",全车数据表!BI32)</f>
        <v/>
      </c>
      <c r="AO31" s="88" t="str">
        <f>IF(全车数据表!BJ32="","",全车数据表!BJ32)</f>
        <v/>
      </c>
      <c r="AP31" s="88" t="str">
        <f>IF(全车数据表!BK32="","",全车数据表!BK32)</f>
        <v/>
      </c>
      <c r="AQ31" s="88" t="str">
        <f>IF(全车数据表!BL32="","",全车数据表!BL32)</f>
        <v/>
      </c>
      <c r="AR31" s="88" t="str">
        <f>IF(全车数据表!BM32="","",全车数据表!BM32)</f>
        <v/>
      </c>
      <c r="AS31" s="88" t="str">
        <f>IF(全车数据表!BN32="","",全车数据表!BN32)</f>
        <v/>
      </c>
      <c r="AT31" s="88" t="str">
        <f>IF(全车数据表!BO32="","",全车数据表!BO32)</f>
        <v/>
      </c>
      <c r="AU31" s="88" t="str">
        <f>IF(全车数据表!BP32="","",全车数据表!BP32)</f>
        <v/>
      </c>
      <c r="AV31" s="88" t="str">
        <f>IF(全车数据表!BQ32="","",全车数据表!BQ32)</f>
        <v/>
      </c>
      <c r="AW31" s="88" t="str">
        <f>IF(全车数据表!BR32="","",全车数据表!BR32)</f>
        <v/>
      </c>
      <c r="AX31" s="88" t="str">
        <f>IF(全车数据表!BS32="","",全车数据表!BS32)</f>
        <v/>
      </c>
      <c r="AY31" s="88" t="str">
        <f>IF(全车数据表!BT32="","",全车数据表!BT32)</f>
        <v/>
      </c>
      <c r="AZ31" s="88">
        <f>IF(全车数据表!BU32="","",全车数据表!BU32)</f>
        <v>1</v>
      </c>
      <c r="BA31" s="88" t="str">
        <f>IF(全车数据表!BV32="","",全车数据表!BV32)</f>
        <v>路特斯 大莲花</v>
      </c>
      <c r="BB31" s="91">
        <f>IF(全车数据表!AZ32="","",全车数据表!AZ32)</f>
        <v>1</v>
      </c>
    </row>
    <row r="32" spans="1:54">
      <c r="A32" s="88">
        <f>全车数据表!A33</f>
        <v>31</v>
      </c>
      <c r="B32" s="88" t="str">
        <f>全车数据表!B33</f>
        <v>Dodge Challenger 392 Hemi Scat Pack</v>
      </c>
      <c r="C32" s="89" t="str">
        <f>全车数据表!E33</f>
        <v>392</v>
      </c>
      <c r="D32" s="88" t="str">
        <f>IF(全车数据表!D33="","",全车数据表!D33)</f>
        <v>Dodge</v>
      </c>
      <c r="E32" s="89" t="str">
        <f>全车数据表!H33</f>
        <v>1.3</v>
      </c>
      <c r="F32" s="89" t="str">
        <f>全车数据表!C33</f>
        <v>392</v>
      </c>
      <c r="G32" s="89" t="str">
        <f>全车数据表!F33</f>
        <v>C</v>
      </c>
      <c r="H32" s="88">
        <f>LEN(全车数据表!G33)</f>
        <v>3</v>
      </c>
      <c r="I32" s="88" t="str">
        <f>VLOOKUP(全车数据表!P33,辅助计算!A:B,2,FALSE)</f>
        <v>uncm</v>
      </c>
      <c r="J32" s="88">
        <f>全车数据表!Q33</f>
        <v>20</v>
      </c>
      <c r="K32" s="88">
        <f>全车数据表!R33</f>
        <v>30</v>
      </c>
      <c r="L32" s="88">
        <f>全车数据表!S33</f>
        <v>50</v>
      </c>
      <c r="M32" s="88">
        <f>全车数据表!T33</f>
        <v>0</v>
      </c>
      <c r="N32" s="88">
        <f>全车数据表!U33</f>
        <v>0</v>
      </c>
      <c r="O32" s="88">
        <f>全车数据表!V33</f>
        <v>0</v>
      </c>
      <c r="P32" s="88">
        <f>全车数据表!J33</f>
        <v>2152</v>
      </c>
      <c r="Q32" s="88">
        <f>全车数据表!K33</f>
        <v>302.7</v>
      </c>
      <c r="R32" s="88">
        <f>全车数据表!L33</f>
        <v>73.64</v>
      </c>
      <c r="S32" s="88">
        <f>全车数据表!M33</f>
        <v>43.57</v>
      </c>
      <c r="T32" s="88">
        <f>全车数据表!N33</f>
        <v>62.82</v>
      </c>
      <c r="U32" s="88">
        <f>全车数据表!O33</f>
        <v>7.48</v>
      </c>
      <c r="V32" s="88">
        <f>全车数据表!AL33</f>
        <v>916000</v>
      </c>
      <c r="W32" s="88">
        <f>全车数据表!AM33</f>
        <v>9000</v>
      </c>
      <c r="X32" s="88">
        <f>全车数据表!AU33</f>
        <v>432000</v>
      </c>
      <c r="Y32" s="88">
        <f>全车数据表!AV33</f>
        <v>1348000</v>
      </c>
      <c r="Z32" s="88">
        <f>全车数据表!AN33</f>
        <v>4</v>
      </c>
      <c r="AA32" s="88">
        <f>全车数据表!AP33</f>
        <v>1</v>
      </c>
      <c r="AB32" s="88">
        <f>全车数据表!AR33</f>
        <v>1</v>
      </c>
      <c r="AC32" s="88">
        <f>全车数据表!AW33</f>
        <v>315</v>
      </c>
      <c r="AD32" s="88">
        <f>全车数据表!AX33</f>
        <v>0</v>
      </c>
      <c r="AE32" s="88">
        <f>全车数据表!AY33</f>
        <v>403</v>
      </c>
      <c r="AF32" s="88" t="str">
        <f>IF(全车数据表!BA33="","",全车数据表!BA33)</f>
        <v>级别杯</v>
      </c>
      <c r="AG32" s="88" t="str">
        <f>IF(全车数据表!BB33="","",全车数据表!BB33)</f>
        <v/>
      </c>
      <c r="AH32" s="88" t="str">
        <f>IF(全车数据表!BC33="","",全车数据表!BC33)</f>
        <v/>
      </c>
      <c r="AI32" s="88">
        <f>IF(全车数据表!BD33="","",全车数据表!BD33)</f>
        <v>1</v>
      </c>
      <c r="AJ32" s="88">
        <f>IF(全车数据表!BE33="","",全车数据表!BE33)</f>
        <v>1</v>
      </c>
      <c r="AK32" s="88" t="str">
        <f>IF(全车数据表!BF33="","",全车数据表!BF33)</f>
        <v/>
      </c>
      <c r="AL32" s="88" t="str">
        <f>IF(全车数据表!BG33="","",全车数据表!BG33)</f>
        <v/>
      </c>
      <c r="AM32" s="88" t="str">
        <f>IF(全车数据表!BH33="","",全车数据表!BH33)</f>
        <v/>
      </c>
      <c r="AN32" s="88" t="str">
        <f>IF(全车数据表!BI33="","",全车数据表!BI33)</f>
        <v/>
      </c>
      <c r="AO32" s="88" t="str">
        <f>IF(全车数据表!BJ33="","",全车数据表!BJ33)</f>
        <v/>
      </c>
      <c r="AP32" s="88" t="str">
        <f>IF(全车数据表!BK33="","",全车数据表!BK33)</f>
        <v/>
      </c>
      <c r="AQ32" s="88" t="str">
        <f>IF(全车数据表!BL33="","",全车数据表!BL33)</f>
        <v/>
      </c>
      <c r="AR32" s="88" t="str">
        <f>IF(全车数据表!BM33="","",全车数据表!BM33)</f>
        <v/>
      </c>
      <c r="AS32" s="88" t="str">
        <f>IF(全车数据表!BN33="","",全车数据表!BN33)</f>
        <v/>
      </c>
      <c r="AT32" s="88" t="str">
        <f>IF(全车数据表!BO33="","",全车数据表!BO33)</f>
        <v/>
      </c>
      <c r="AU32" s="88" t="str">
        <f>IF(全车数据表!BP33="","",全车数据表!BP33)</f>
        <v/>
      </c>
      <c r="AV32" s="88" t="str">
        <f>IF(全车数据表!BQ33="","",全车数据表!BQ33)</f>
        <v/>
      </c>
      <c r="AW32" s="88" t="str">
        <f>IF(全车数据表!BR33="","",全车数据表!BR33)</f>
        <v/>
      </c>
      <c r="AX32" s="88" t="str">
        <f>IF(全车数据表!BS33="","",全车数据表!BS33)</f>
        <v/>
      </c>
      <c r="AY32" s="88" t="str">
        <f>IF(全车数据表!BT33="","",全车数据表!BT33)</f>
        <v/>
      </c>
      <c r="AZ32" s="88">
        <f>IF(全车数据表!BU33="","",全车数据表!BU33)</f>
        <v>1</v>
      </c>
      <c r="BA32" s="88" t="str">
        <f>IF(全车数据表!BV33="","",全车数据表!BV33)</f>
        <v>道奇 挑战者</v>
      </c>
      <c r="BB32" s="91">
        <f>IF(全车数据表!AZ33="","",全车数据表!AZ33)</f>
        <v>1</v>
      </c>
    </row>
    <row r="33" spans="1:54">
      <c r="A33" s="88">
        <f>全车数据表!A34</f>
        <v>32</v>
      </c>
      <c r="B33" s="88" t="str">
        <f>全车数据表!B34</f>
        <v>Porsche 911 GTS Coupe</v>
      </c>
      <c r="C33" s="89" t="str">
        <f>全车数据表!E34</f>
        <v>911</v>
      </c>
      <c r="D33" s="88" t="str">
        <f>IF(全车数据表!D34="","",全车数据表!D34)</f>
        <v>Porsche</v>
      </c>
      <c r="E33" s="89" t="str">
        <f>全车数据表!H34</f>
        <v>1.3</v>
      </c>
      <c r="F33" s="89" t="str">
        <f>全车数据表!C34</f>
        <v>911GTS</v>
      </c>
      <c r="G33" s="89" t="str">
        <f>全车数据表!F34</f>
        <v>C</v>
      </c>
      <c r="H33" s="88">
        <f>LEN(全车数据表!G34)</f>
        <v>3</v>
      </c>
      <c r="I33" s="88" t="str">
        <f>VLOOKUP(全车数据表!P34,辅助计算!A:B,2,FALSE)</f>
        <v>uncm</v>
      </c>
      <c r="J33" s="88">
        <f>全车数据表!Q34</f>
        <v>25</v>
      </c>
      <c r="K33" s="88">
        <f>全车数据表!R34</f>
        <v>30</v>
      </c>
      <c r="L33" s="88">
        <f>全车数据表!S34</f>
        <v>50</v>
      </c>
      <c r="M33" s="88">
        <f>全车数据表!T34</f>
        <v>0</v>
      </c>
      <c r="N33" s="88">
        <f>全车数据表!U34</f>
        <v>0</v>
      </c>
      <c r="O33" s="88">
        <f>全车数据表!V34</f>
        <v>0</v>
      </c>
      <c r="P33" s="88">
        <f>全车数据表!J34</f>
        <v>2185</v>
      </c>
      <c r="Q33" s="88">
        <f>全车数据表!K34</f>
        <v>328.7</v>
      </c>
      <c r="R33" s="88">
        <f>全车数据表!L34</f>
        <v>71.209999999999994</v>
      </c>
      <c r="S33" s="88">
        <f>全车数据表!M34</f>
        <v>45.84</v>
      </c>
      <c r="T33" s="88">
        <f>全车数据表!N34</f>
        <v>56.6</v>
      </c>
      <c r="U33" s="88">
        <f>全车数据表!O34</f>
        <v>5.9829999999999997</v>
      </c>
      <c r="V33" s="88">
        <f>全车数据表!AL34</f>
        <v>916000</v>
      </c>
      <c r="W33" s="88">
        <f>全车数据表!AM34</f>
        <v>9000</v>
      </c>
      <c r="X33" s="88">
        <f>全车数据表!AU34</f>
        <v>432000</v>
      </c>
      <c r="Y33" s="88">
        <f>全车数据表!AV34</f>
        <v>1348000</v>
      </c>
      <c r="Z33" s="88">
        <f>全车数据表!AN34</f>
        <v>4</v>
      </c>
      <c r="AA33" s="88">
        <f>全车数据表!AP34</f>
        <v>1</v>
      </c>
      <c r="AB33" s="88">
        <f>全车数据表!AR34</f>
        <v>1</v>
      </c>
      <c r="AC33" s="88">
        <f>全车数据表!AW34</f>
        <v>342</v>
      </c>
      <c r="AD33" s="88">
        <f>全车数据表!AX34</f>
        <v>0</v>
      </c>
      <c r="AE33" s="88">
        <f>全车数据表!AY34</f>
        <v>441</v>
      </c>
      <c r="AF33" s="88" t="str">
        <f>IF(全车数据表!BA34="","",全车数据表!BA34)</f>
        <v>级别杯</v>
      </c>
      <c r="AG33" s="88" t="str">
        <f>IF(全车数据表!BB34="","",全车数据表!BB34)</f>
        <v/>
      </c>
      <c r="AH33" s="88" t="str">
        <f>IF(全车数据表!BC34="","",全车数据表!BC34)</f>
        <v/>
      </c>
      <c r="AI33" s="88">
        <f>IF(全车数据表!BD34="","",全车数据表!BD34)</f>
        <v>1</v>
      </c>
      <c r="AJ33" s="88">
        <f>IF(全车数据表!BE34="","",全车数据表!BE34)</f>
        <v>1</v>
      </c>
      <c r="AK33" s="88" t="str">
        <f>IF(全车数据表!BF34="","",全车数据表!BF34)</f>
        <v/>
      </c>
      <c r="AL33" s="88" t="str">
        <f>IF(全车数据表!BG34="","",全车数据表!BG34)</f>
        <v/>
      </c>
      <c r="AM33" s="88" t="str">
        <f>IF(全车数据表!BH34="","",全车数据表!BH34)</f>
        <v/>
      </c>
      <c r="AN33" s="88" t="str">
        <f>IF(全车数据表!BI34="","",全车数据表!BI34)</f>
        <v/>
      </c>
      <c r="AO33" s="88" t="str">
        <f>IF(全车数据表!BJ34="","",全车数据表!BJ34)</f>
        <v/>
      </c>
      <c r="AP33" s="88" t="str">
        <f>IF(全车数据表!BK34="","",全车数据表!BK34)</f>
        <v/>
      </c>
      <c r="AQ33" s="88" t="str">
        <f>IF(全车数据表!BL34="","",全车数据表!BL34)</f>
        <v/>
      </c>
      <c r="AR33" s="88" t="str">
        <f>IF(全车数据表!BM34="","",全车数据表!BM34)</f>
        <v/>
      </c>
      <c r="AS33" s="88" t="str">
        <f>IF(全车数据表!BN34="","",全车数据表!BN34)</f>
        <v/>
      </c>
      <c r="AT33" s="88" t="str">
        <f>IF(全车数据表!BO34="","",全车数据表!BO34)</f>
        <v/>
      </c>
      <c r="AU33" s="88" t="str">
        <f>IF(全车数据表!BP34="","",全车数据表!BP34)</f>
        <v/>
      </c>
      <c r="AV33" s="88" t="str">
        <f>IF(全车数据表!BQ34="","",全车数据表!BQ34)</f>
        <v/>
      </c>
      <c r="AW33" s="88">
        <f>IF(全车数据表!BR34="","",全车数据表!BR34)</f>
        <v>1</v>
      </c>
      <c r="AX33" s="88" t="str">
        <f>IF(全车数据表!BS34="","",全车数据表!BS34)</f>
        <v/>
      </c>
      <c r="AY33" s="88" t="str">
        <f>IF(全车数据表!BT34="","",全车数据表!BT34)</f>
        <v/>
      </c>
      <c r="AZ33" s="88">
        <f>IF(全车数据表!BU34="","",全车数据表!BU34)</f>
        <v>1</v>
      </c>
      <c r="BA33" s="88" t="str">
        <f>IF(全车数据表!BV34="","",全车数据表!BV34)</f>
        <v>保时捷</v>
      </c>
      <c r="BB33" s="91">
        <f>IF(全车数据表!AZ34="","",全车数据表!AZ34)</f>
        <v>1</v>
      </c>
    </row>
    <row r="34" spans="1:54">
      <c r="A34" s="88">
        <f>全车数据表!A35</f>
        <v>33</v>
      </c>
      <c r="B34" s="88" t="str">
        <f>全车数据表!B35</f>
        <v>Mercedes-Benz AMG GT S</v>
      </c>
      <c r="C34" s="89" t="str">
        <f>全车数据表!E35</f>
        <v>amg</v>
      </c>
      <c r="D34" s="88" t="str">
        <f>IF(全车数据表!D35="","",全车数据表!D35)</f>
        <v>Mercedes-Benz</v>
      </c>
      <c r="E34" s="89" t="str">
        <f>全车数据表!H35</f>
        <v>1.3</v>
      </c>
      <c r="F34" s="89" t="str">
        <f>全车数据表!C35</f>
        <v>AMG</v>
      </c>
      <c r="G34" s="89" t="str">
        <f>全车数据表!F35</f>
        <v>C</v>
      </c>
      <c r="H34" s="88">
        <f>LEN(全车数据表!G35)</f>
        <v>3</v>
      </c>
      <c r="I34" s="88" t="str">
        <f>VLOOKUP(全车数据表!P35,辅助计算!A:B,2,FALSE)</f>
        <v>uncm</v>
      </c>
      <c r="J34" s="88">
        <f>全车数据表!Q35</f>
        <v>25</v>
      </c>
      <c r="K34" s="88">
        <f>全车数据表!R35</f>
        <v>30</v>
      </c>
      <c r="L34" s="88">
        <f>全车数据表!S35</f>
        <v>50</v>
      </c>
      <c r="M34" s="88">
        <f>全车数据表!T35</f>
        <v>0</v>
      </c>
      <c r="N34" s="88">
        <f>全车数据表!U35</f>
        <v>0</v>
      </c>
      <c r="O34" s="88">
        <f>全车数据表!V35</f>
        <v>0</v>
      </c>
      <c r="P34" s="88">
        <f>全车数据表!J35</f>
        <v>2281</v>
      </c>
      <c r="Q34" s="88">
        <f>全车数据表!K35</f>
        <v>329.4</v>
      </c>
      <c r="R34" s="88">
        <f>全车数据表!L35</f>
        <v>71.34</v>
      </c>
      <c r="S34" s="88">
        <f>全车数据表!M35</f>
        <v>42.69</v>
      </c>
      <c r="T34" s="88">
        <f>全车数据表!N35</f>
        <v>54.66</v>
      </c>
      <c r="U34" s="88">
        <f>全车数据表!O35</f>
        <v>5.7489999999999997</v>
      </c>
      <c r="V34" s="88">
        <f>全车数据表!AL35</f>
        <v>1148000</v>
      </c>
      <c r="W34" s="88">
        <f>全车数据表!AM35</f>
        <v>10000</v>
      </c>
      <c r="X34" s="88">
        <f>全车数据表!AU35</f>
        <v>480000</v>
      </c>
      <c r="Y34" s="88">
        <f>全车数据表!AV35</f>
        <v>1628000</v>
      </c>
      <c r="Z34" s="88">
        <f>全车数据表!AN35</f>
        <v>4</v>
      </c>
      <c r="AA34" s="88">
        <f>全车数据表!AP35</f>
        <v>1</v>
      </c>
      <c r="AB34" s="88">
        <f>全车数据表!AR35</f>
        <v>1</v>
      </c>
      <c r="AC34" s="88">
        <f>全车数据表!AW35</f>
        <v>343</v>
      </c>
      <c r="AD34" s="88">
        <f>全车数据表!AX35</f>
        <v>0</v>
      </c>
      <c r="AE34" s="88">
        <f>全车数据表!AY35</f>
        <v>442</v>
      </c>
      <c r="AF34" s="88" t="str">
        <f>IF(全车数据表!BA35="","",全车数据表!BA35)</f>
        <v>级别杯</v>
      </c>
      <c r="AG34" s="88" t="str">
        <f>IF(全车数据表!BB35="","",全车数据表!BB35)</f>
        <v/>
      </c>
      <c r="AH34" s="88" t="str">
        <f>IF(全车数据表!BC35="","",全车数据表!BC35)</f>
        <v/>
      </c>
      <c r="AI34" s="88">
        <f>IF(全车数据表!BD35="","",全车数据表!BD35)</f>
        <v>1</v>
      </c>
      <c r="AJ34" s="88">
        <f>IF(全车数据表!BE35="","",全车数据表!BE35)</f>
        <v>1</v>
      </c>
      <c r="AK34" s="88" t="str">
        <f>IF(全车数据表!BF35="","",全车数据表!BF35)</f>
        <v/>
      </c>
      <c r="AL34" s="88" t="str">
        <f>IF(全车数据表!BG35="","",全车数据表!BG35)</f>
        <v/>
      </c>
      <c r="AM34" s="88" t="str">
        <f>IF(全车数据表!BH35="","",全车数据表!BH35)</f>
        <v/>
      </c>
      <c r="AN34" s="88" t="str">
        <f>IF(全车数据表!BI35="","",全车数据表!BI35)</f>
        <v/>
      </c>
      <c r="AO34" s="88" t="str">
        <f>IF(全车数据表!BJ35="","",全车数据表!BJ35)</f>
        <v/>
      </c>
      <c r="AP34" s="88" t="str">
        <f>IF(全车数据表!BK35="","",全车数据表!BK35)</f>
        <v/>
      </c>
      <c r="AQ34" s="88" t="str">
        <f>IF(全车数据表!BL35="","",全车数据表!BL35)</f>
        <v/>
      </c>
      <c r="AR34" s="88" t="str">
        <f>IF(全车数据表!BM35="","",全车数据表!BM35)</f>
        <v/>
      </c>
      <c r="AS34" s="88" t="str">
        <f>IF(全车数据表!BN35="","",全车数据表!BN35)</f>
        <v/>
      </c>
      <c r="AT34" s="88" t="str">
        <f>IF(全车数据表!BO35="","",全车数据表!BO35)</f>
        <v/>
      </c>
      <c r="AU34" s="88" t="str">
        <f>IF(全车数据表!BP35="","",全车数据表!BP35)</f>
        <v/>
      </c>
      <c r="AV34" s="88" t="str">
        <f>IF(全车数据表!BQ35="","",全车数据表!BQ35)</f>
        <v/>
      </c>
      <c r="AW34" s="88">
        <f>IF(全车数据表!BR35="","",全车数据表!BR35)</f>
        <v>1</v>
      </c>
      <c r="AX34" s="88" t="str">
        <f>IF(全车数据表!BS35="","",全车数据表!BS35)</f>
        <v/>
      </c>
      <c r="AY34" s="88" t="str">
        <f>IF(全车数据表!BT35="","",全车数据表!BT35)</f>
        <v/>
      </c>
      <c r="AZ34" s="88">
        <f>IF(全车数据表!BU35="","",全车数据表!BU35)</f>
        <v>1</v>
      </c>
      <c r="BA34" s="88" t="str">
        <f>IF(全车数据表!BV35="","",全车数据表!BV35)</f>
        <v>奔驰</v>
      </c>
      <c r="BB34" s="91">
        <f>IF(全车数据表!AZ35="","",全车数据表!AZ35)</f>
        <v>1</v>
      </c>
    </row>
    <row r="35" spans="1:54">
      <c r="A35" s="88">
        <f>全车数据表!A36</f>
        <v>34</v>
      </c>
      <c r="B35" s="88" t="str">
        <f>全车数据表!B36</f>
        <v>Aston Martin DB11</v>
      </c>
      <c r="C35" s="89" t="str">
        <f>全车数据表!E36</f>
        <v>db11</v>
      </c>
      <c r="D35" s="88" t="str">
        <f>IF(全车数据表!D36="","",全车数据表!D36)</f>
        <v>Aston Martin</v>
      </c>
      <c r="E35" s="89" t="str">
        <f>全车数据表!H36</f>
        <v>1.3</v>
      </c>
      <c r="F35" s="89" t="str">
        <f>全车数据表!C36</f>
        <v>DB11</v>
      </c>
      <c r="G35" s="89" t="str">
        <f>全车数据表!F36</f>
        <v>C</v>
      </c>
      <c r="H35" s="88">
        <f>LEN(全车数据表!G36)</f>
        <v>3</v>
      </c>
      <c r="I35" s="88" t="str">
        <f>VLOOKUP(全车数据表!P36,辅助计算!A:B,2,FALSE)</f>
        <v>uncm</v>
      </c>
      <c r="J35" s="88">
        <f>全车数据表!Q36</f>
        <v>25</v>
      </c>
      <c r="K35" s="88">
        <f>全车数据表!R36</f>
        <v>30</v>
      </c>
      <c r="L35" s="88">
        <f>全车数据表!S36</f>
        <v>50</v>
      </c>
      <c r="M35" s="88">
        <f>全车数据表!T36</f>
        <v>0</v>
      </c>
      <c r="N35" s="88">
        <f>全车数据表!U36</f>
        <v>0</v>
      </c>
      <c r="O35" s="88">
        <f>全车数据表!V36</f>
        <v>0</v>
      </c>
      <c r="P35" s="88">
        <f>全车数据表!J36</f>
        <v>2330</v>
      </c>
      <c r="Q35" s="88">
        <f>全车数据表!K36</f>
        <v>340.4</v>
      </c>
      <c r="R35" s="88">
        <f>全车数据表!L36</f>
        <v>74.2</v>
      </c>
      <c r="S35" s="88">
        <f>全车数据表!M36</f>
        <v>43.21</v>
      </c>
      <c r="T35" s="88">
        <f>全车数据表!N36</f>
        <v>55.4</v>
      </c>
      <c r="U35" s="88">
        <f>全车数据表!O36</f>
        <v>5.6660000000000004</v>
      </c>
      <c r="V35" s="88">
        <f>全车数据表!AL36</f>
        <v>1148000</v>
      </c>
      <c r="W35" s="88">
        <f>全车数据表!AM36</f>
        <v>10000</v>
      </c>
      <c r="X35" s="88">
        <f>全车数据表!AU36</f>
        <v>480000</v>
      </c>
      <c r="Y35" s="88">
        <f>全车数据表!AV36</f>
        <v>1628000</v>
      </c>
      <c r="Z35" s="88">
        <f>全车数据表!AN36</f>
        <v>4</v>
      </c>
      <c r="AA35" s="88">
        <f>全车数据表!AP36</f>
        <v>1</v>
      </c>
      <c r="AB35" s="88">
        <f>全车数据表!AR36</f>
        <v>1</v>
      </c>
      <c r="AC35" s="88">
        <f>全车数据表!AW36</f>
        <v>354</v>
      </c>
      <c r="AD35" s="88">
        <f>全车数据表!AX36</f>
        <v>0</v>
      </c>
      <c r="AE35" s="88">
        <f>全车数据表!AY36</f>
        <v>462</v>
      </c>
      <c r="AF35" s="88" t="str">
        <f>IF(全车数据表!BA36="","",全车数据表!BA36)</f>
        <v>级别杯</v>
      </c>
      <c r="AG35" s="88" t="str">
        <f>IF(全车数据表!BB36="","",全车数据表!BB36)</f>
        <v/>
      </c>
      <c r="AH35" s="88" t="str">
        <f>IF(全车数据表!BC36="","",全车数据表!BC36)</f>
        <v/>
      </c>
      <c r="AI35" s="88" t="str">
        <f>IF(全车数据表!BD36="","",全车数据表!BD36)</f>
        <v/>
      </c>
      <c r="AJ35" s="88">
        <f>IF(全车数据表!BE36="","",全车数据表!BE36)</f>
        <v>1</v>
      </c>
      <c r="AK35" s="88" t="str">
        <f>IF(全车数据表!BF36="","",全车数据表!BF36)</f>
        <v/>
      </c>
      <c r="AL35" s="88">
        <f>IF(全车数据表!BG36="","",全车数据表!BG36)</f>
        <v>1</v>
      </c>
      <c r="AM35" s="88" t="str">
        <f>IF(全车数据表!BH36="","",全车数据表!BH36)</f>
        <v/>
      </c>
      <c r="AN35" s="88" t="str">
        <f>IF(全车数据表!BI36="","",全车数据表!BI36)</f>
        <v/>
      </c>
      <c r="AO35" s="88" t="str">
        <f>IF(全车数据表!BJ36="","",全车数据表!BJ36)</f>
        <v/>
      </c>
      <c r="AP35" s="88" t="str">
        <f>IF(全车数据表!BK36="","",全车数据表!BK36)</f>
        <v/>
      </c>
      <c r="AQ35" s="88" t="str">
        <f>IF(全车数据表!BL36="","",全车数据表!BL36)</f>
        <v/>
      </c>
      <c r="AR35" s="88" t="str">
        <f>IF(全车数据表!BM36="","",全车数据表!BM36)</f>
        <v/>
      </c>
      <c r="AS35" s="88" t="str">
        <f>IF(全车数据表!BN36="","",全车数据表!BN36)</f>
        <v/>
      </c>
      <c r="AT35" s="88" t="str">
        <f>IF(全车数据表!BO36="","",全车数据表!BO36)</f>
        <v/>
      </c>
      <c r="AU35" s="88" t="str">
        <f>IF(全车数据表!BP36="","",全车数据表!BP36)</f>
        <v/>
      </c>
      <c r="AV35" s="88" t="str">
        <f>IF(全车数据表!BQ36="","",全车数据表!BQ36)</f>
        <v/>
      </c>
      <c r="AW35" s="88" t="str">
        <f>IF(全车数据表!BR36="","",全车数据表!BR36)</f>
        <v/>
      </c>
      <c r="AX35" s="88" t="str">
        <f>IF(全车数据表!BS36="","",全车数据表!BS36)</f>
        <v/>
      </c>
      <c r="AY35" s="88" t="str">
        <f>IF(全车数据表!BT36="","",全车数据表!BT36)</f>
        <v/>
      </c>
      <c r="AZ35" s="88">
        <f>IF(全车数据表!BU36="","",全车数据表!BU36)</f>
        <v>1</v>
      </c>
      <c r="BA35" s="88" t="str">
        <f>IF(全车数据表!BV36="","",全车数据表!BV36)</f>
        <v>阿斯顿马丁</v>
      </c>
      <c r="BB35" s="91">
        <f>IF(全车数据表!AZ36="","",全车数据表!AZ36)</f>
        <v>1</v>
      </c>
    </row>
    <row r="36" spans="1:54">
      <c r="A36" s="88">
        <f>全车数据表!A37</f>
        <v>35</v>
      </c>
      <c r="B36" s="88" t="str">
        <f>全车数据表!B37</f>
        <v>Porsche 718 Cayman</v>
      </c>
      <c r="C36" s="89" t="str">
        <f>全车数据表!E37</f>
        <v>718</v>
      </c>
      <c r="D36" s="88" t="str">
        <f>IF(全车数据表!D37="","",全车数据表!D37)</f>
        <v>Porsche</v>
      </c>
      <c r="E36" s="89" t="str">
        <f>全车数据表!H37</f>
        <v>1.3</v>
      </c>
      <c r="F36" s="89" t="str">
        <f>全车数据表!C37</f>
        <v>718</v>
      </c>
      <c r="G36" s="89" t="str">
        <f>全车数据表!F37</f>
        <v>C</v>
      </c>
      <c r="H36" s="88">
        <f>LEN(全车数据表!G37)</f>
        <v>4</v>
      </c>
      <c r="I36" s="88" t="str">
        <f>VLOOKUP(全车数据表!P37,辅助计算!A:B,2,FALSE)</f>
        <v>uncm</v>
      </c>
      <c r="J36" s="88">
        <f>全车数据表!Q37</f>
        <v>25</v>
      </c>
      <c r="K36" s="88">
        <f>全车数据表!R37</f>
        <v>18</v>
      </c>
      <c r="L36" s="88">
        <f>全车数据表!S37</f>
        <v>21</v>
      </c>
      <c r="M36" s="88">
        <f>全车数据表!T37</f>
        <v>32</v>
      </c>
      <c r="N36" s="88">
        <f>全车数据表!U37</f>
        <v>0</v>
      </c>
      <c r="O36" s="88">
        <f>全车数据表!V37</f>
        <v>0</v>
      </c>
      <c r="P36" s="88">
        <f>全车数据表!J37</f>
        <v>2344</v>
      </c>
      <c r="Q36" s="88">
        <f>全车数据表!K37</f>
        <v>295.60000000000002</v>
      </c>
      <c r="R36" s="88">
        <f>全车数据表!L37</f>
        <v>70.52</v>
      </c>
      <c r="S36" s="88">
        <f>全车数据表!M37</f>
        <v>61.9</v>
      </c>
      <c r="T36" s="88">
        <f>全车数据表!N37</f>
        <v>60.28</v>
      </c>
      <c r="U36" s="88">
        <f>全车数据表!O37</f>
        <v>7.17</v>
      </c>
      <c r="V36" s="88">
        <f>全车数据表!AL37</f>
        <v>1076000</v>
      </c>
      <c r="W36" s="88">
        <f>全车数据表!AM37</f>
        <v>10000</v>
      </c>
      <c r="X36" s="88">
        <f>全车数据表!AU37</f>
        <v>720000</v>
      </c>
      <c r="Y36" s="88">
        <f>全车数据表!AV37</f>
        <v>1796000</v>
      </c>
      <c r="Z36" s="88">
        <f>全车数据表!AN37</f>
        <v>6</v>
      </c>
      <c r="AA36" s="88">
        <f>全车数据表!AP37</f>
        <v>3</v>
      </c>
      <c r="AB36" s="88">
        <f>全车数据表!AR37</f>
        <v>1</v>
      </c>
      <c r="AC36" s="88">
        <f>全车数据表!AW37</f>
        <v>308</v>
      </c>
      <c r="AD36" s="88">
        <f>全车数据表!AX37</f>
        <v>0</v>
      </c>
      <c r="AE36" s="88">
        <f>全车数据表!AY37</f>
        <v>394</v>
      </c>
      <c r="AF36" s="88" t="str">
        <f>IF(全车数据表!BA37="","",全车数据表!BA37)</f>
        <v>级别杯</v>
      </c>
      <c r="AG36" s="88" t="str">
        <f>IF(全车数据表!BB37="","",全车数据表!BB37)</f>
        <v/>
      </c>
      <c r="AH36" s="88" t="str">
        <f>IF(全车数据表!BC37="","",全车数据表!BC37)</f>
        <v/>
      </c>
      <c r="AI36" s="88">
        <f>IF(全车数据表!BD37="","",全车数据表!BD37)</f>
        <v>1</v>
      </c>
      <c r="AJ36" s="88">
        <f>IF(全车数据表!BE37="","",全车数据表!BE37)</f>
        <v>1</v>
      </c>
      <c r="AK36" s="88" t="str">
        <f>IF(全车数据表!BF37="","",全车数据表!BF37)</f>
        <v/>
      </c>
      <c r="AL36" s="88">
        <f>IF(全车数据表!BG37="","",全车数据表!BG37)</f>
        <v>1</v>
      </c>
      <c r="AM36" s="88" t="str">
        <f>IF(全车数据表!BH37="","",全车数据表!BH37)</f>
        <v/>
      </c>
      <c r="AN36" s="88" t="str">
        <f>IF(全车数据表!BI37="","",全车数据表!BI37)</f>
        <v/>
      </c>
      <c r="AO36" s="88" t="str">
        <f>IF(全车数据表!BJ37="","",全车数据表!BJ37)</f>
        <v/>
      </c>
      <c r="AP36" s="88" t="str">
        <f>IF(全车数据表!BK37="","",全车数据表!BK37)</f>
        <v/>
      </c>
      <c r="AQ36" s="88" t="str">
        <f>IF(全车数据表!BL37="","",全车数据表!BL37)</f>
        <v/>
      </c>
      <c r="AR36" s="88" t="str">
        <f>IF(全车数据表!BM37="","",全车数据表!BM37)</f>
        <v/>
      </c>
      <c r="AS36" s="88" t="str">
        <f>IF(全车数据表!BN37="","",全车数据表!BN37)</f>
        <v/>
      </c>
      <c r="AT36" s="88" t="str">
        <f>IF(全车数据表!BO37="","",全车数据表!BO37)</f>
        <v/>
      </c>
      <c r="AU36" s="88" t="str">
        <f>IF(全车数据表!BP37="","",全车数据表!BP37)</f>
        <v/>
      </c>
      <c r="AV36" s="88" t="str">
        <f>IF(全车数据表!BQ37="","",全车数据表!BQ37)</f>
        <v/>
      </c>
      <c r="AW36" s="88">
        <f>IF(全车数据表!BR37="","",全车数据表!BR37)</f>
        <v>1</v>
      </c>
      <c r="AX36" s="88" t="str">
        <f>IF(全车数据表!BS37="","",全车数据表!BS37)</f>
        <v/>
      </c>
      <c r="AY36" s="88" t="str">
        <f>IF(全车数据表!BT37="","",全车数据表!BT37)</f>
        <v/>
      </c>
      <c r="AZ36" s="88">
        <f>IF(全车数据表!BU37="","",全车数据表!BU37)</f>
        <v>1</v>
      </c>
      <c r="BA36" s="88" t="str">
        <f>IF(全车数据表!BV37="","",全车数据表!BV37)</f>
        <v>保时捷</v>
      </c>
      <c r="BB36" s="91">
        <f>IF(全车数据表!AZ37="","",全车数据表!AZ37)</f>
        <v>1</v>
      </c>
    </row>
    <row r="37" spans="1:54">
      <c r="A37" s="88">
        <f>全车数据表!A38</f>
        <v>36</v>
      </c>
      <c r="B37" s="88" t="str">
        <f>全车数据表!B38</f>
        <v>Lotus Elise Sprint 220</v>
      </c>
      <c r="C37" s="89" t="str">
        <f>全车数据表!E38</f>
        <v>220</v>
      </c>
      <c r="D37" s="88" t="str">
        <f>IF(全车数据表!D38="","",全车数据表!D38)</f>
        <v>Lotus</v>
      </c>
      <c r="E37" s="89" t="str">
        <f>全车数据表!H38</f>
        <v>1.3</v>
      </c>
      <c r="F37" s="89" t="str">
        <f>全车数据表!C38</f>
        <v>小莲花</v>
      </c>
      <c r="G37" s="89" t="str">
        <f>全车数据表!F38</f>
        <v>C</v>
      </c>
      <c r="H37" s="88">
        <f>LEN(全车数据表!G38)</f>
        <v>4</v>
      </c>
      <c r="I37" s="88" t="str">
        <f>VLOOKUP(全车数据表!P38,辅助计算!A:B,2,FALSE)</f>
        <v>uncm</v>
      </c>
      <c r="J37" s="88">
        <f>全车数据表!Q38</f>
        <v>25</v>
      </c>
      <c r="K37" s="88">
        <f>全车数据表!R38</f>
        <v>18</v>
      </c>
      <c r="L37" s="88">
        <f>全车数据表!S38</f>
        <v>21</v>
      </c>
      <c r="M37" s="88">
        <f>全车数据表!T38</f>
        <v>32</v>
      </c>
      <c r="N37" s="88">
        <f>全车数据表!U38</f>
        <v>0</v>
      </c>
      <c r="O37" s="88">
        <f>全车数据表!V38</f>
        <v>0</v>
      </c>
      <c r="P37" s="88">
        <f>全车数据表!J38</f>
        <v>2363</v>
      </c>
      <c r="Q37" s="88">
        <f>全车数据表!K38</f>
        <v>269.5</v>
      </c>
      <c r="R37" s="88">
        <f>全车数据表!L38</f>
        <v>82.25</v>
      </c>
      <c r="S37" s="88">
        <f>全车数据表!M38</f>
        <v>83.47</v>
      </c>
      <c r="T37" s="88">
        <f>全车数据表!N38</f>
        <v>72.709999999999994</v>
      </c>
      <c r="U37" s="88">
        <f>全车数据表!O38</f>
        <v>13.382</v>
      </c>
      <c r="V37" s="88">
        <f>全车数据表!AL38</f>
        <v>1183200</v>
      </c>
      <c r="W37" s="88">
        <f>全车数据表!AM38</f>
        <v>10000</v>
      </c>
      <c r="X37" s="88">
        <f>全车数据表!AU38</f>
        <v>720000</v>
      </c>
      <c r="Y37" s="88">
        <f>全车数据表!AV38</f>
        <v>1903200</v>
      </c>
      <c r="Z37" s="88">
        <f>全车数据表!AN38</f>
        <v>6</v>
      </c>
      <c r="AA37" s="88">
        <f>全车数据表!AP38</f>
        <v>3</v>
      </c>
      <c r="AB37" s="88">
        <f>全车数据表!AR38</f>
        <v>1</v>
      </c>
      <c r="AC37" s="88">
        <f>全车数据表!AW38</f>
        <v>282</v>
      </c>
      <c r="AD37" s="88">
        <f>全车数据表!AX38</f>
        <v>0</v>
      </c>
      <c r="AE37" s="88">
        <f>全车数据表!AY38</f>
        <v>363</v>
      </c>
      <c r="AF37" s="88" t="str">
        <f>IF(全车数据表!BA38="","",全车数据表!BA38)</f>
        <v>寻车</v>
      </c>
      <c r="AG37" s="88" t="str">
        <f>IF(全车数据表!BB38="","",全车数据表!BB38)</f>
        <v/>
      </c>
      <c r="AH37" s="88" t="str">
        <f>IF(全车数据表!BC38="","",全车数据表!BC38)</f>
        <v/>
      </c>
      <c r="AI37" s="88">
        <f>IF(全车数据表!BD38="","",全车数据表!BD38)</f>
        <v>1</v>
      </c>
      <c r="AJ37" s="88" t="str">
        <f>IF(全车数据表!BE38="","",全车数据表!BE38)</f>
        <v/>
      </c>
      <c r="AK37" s="88" t="str">
        <f>IF(全车数据表!BF38="","",全车数据表!BF38)</f>
        <v/>
      </c>
      <c r="AL37" s="88">
        <f>IF(全车数据表!BG38="","",全车数据表!BG38)</f>
        <v>1</v>
      </c>
      <c r="AM37" s="88" t="str">
        <f>IF(全车数据表!BH38="","",全车数据表!BH38)</f>
        <v/>
      </c>
      <c r="AN37" s="88" t="str">
        <f>IF(全车数据表!BI38="","",全车数据表!BI38)</f>
        <v/>
      </c>
      <c r="AO37" s="88" t="str">
        <f>IF(全车数据表!BJ38="","",全车数据表!BJ38)</f>
        <v/>
      </c>
      <c r="AP37" s="88" t="str">
        <f>IF(全车数据表!BK38="","",全车数据表!BK38)</f>
        <v/>
      </c>
      <c r="AQ37" s="88" t="str">
        <f>IF(全车数据表!BL38="","",全车数据表!BL38)</f>
        <v/>
      </c>
      <c r="AR37" s="88" t="str">
        <f>IF(全车数据表!BM38="","",全车数据表!BM38)</f>
        <v/>
      </c>
      <c r="AS37" s="88" t="str">
        <f>IF(全车数据表!BN38="","",全车数据表!BN38)</f>
        <v/>
      </c>
      <c r="AT37" s="88" t="str">
        <f>IF(全车数据表!BO38="","",全车数据表!BO38)</f>
        <v/>
      </c>
      <c r="AU37" s="88" t="str">
        <f>IF(全车数据表!BP38="","",全车数据表!BP38)</f>
        <v/>
      </c>
      <c r="AV37" s="88" t="str">
        <f>IF(全车数据表!BQ38="","",全车数据表!BQ38)</f>
        <v>1款</v>
      </c>
      <c r="AW37" s="88" t="str">
        <f>IF(全车数据表!BR38="","",全车数据表!BR38)</f>
        <v/>
      </c>
      <c r="AX37" s="88" t="str">
        <f>IF(全车数据表!BS38="","",全车数据表!BS38)</f>
        <v/>
      </c>
      <c r="AY37" s="88" t="str">
        <f>IF(全车数据表!BT38="","",全车数据表!BT38)</f>
        <v/>
      </c>
      <c r="AZ37" s="88" t="str">
        <f>IF(全车数据表!BU38="","",全车数据表!BU38)</f>
        <v/>
      </c>
      <c r="BA37" s="88" t="str">
        <f>IF(全车数据表!BV38="","",全车数据表!BV38)</f>
        <v>路特斯 小莲花</v>
      </c>
      <c r="BB37" s="91">
        <f>IF(全车数据表!AZ38="","",全车数据表!AZ38)</f>
        <v>5</v>
      </c>
    </row>
    <row r="38" spans="1:54">
      <c r="A38" s="88">
        <f>全车数据表!A39</f>
        <v>37</v>
      </c>
      <c r="B38" s="88" t="str">
        <f>全车数据表!B39</f>
        <v>BMW M4 GTS</v>
      </c>
      <c r="C38" s="89" t="str">
        <f>全车数据表!E39</f>
        <v>m4</v>
      </c>
      <c r="D38" s="88" t="str">
        <f>IF(全车数据表!D39="","",全车数据表!D39)</f>
        <v>BMW</v>
      </c>
      <c r="E38" s="89" t="str">
        <f>全车数据表!H39</f>
        <v>1.3</v>
      </c>
      <c r="F38" s="89" t="str">
        <f>全车数据表!C39</f>
        <v>m4</v>
      </c>
      <c r="G38" s="89" t="str">
        <f>全车数据表!F39</f>
        <v>C</v>
      </c>
      <c r="H38" s="88">
        <f>LEN(全车数据表!G39)</f>
        <v>3</v>
      </c>
      <c r="I38" s="88" t="str">
        <f>VLOOKUP(全车数据表!P39,辅助计算!A:B,2,FALSE)</f>
        <v>uncm</v>
      </c>
      <c r="J38" s="88">
        <f>全车数据表!Q39</f>
        <v>25</v>
      </c>
      <c r="K38" s="88">
        <f>全车数据表!R39</f>
        <v>30</v>
      </c>
      <c r="L38" s="88">
        <f>全车数据表!S39</f>
        <v>50</v>
      </c>
      <c r="M38" s="88">
        <f>全车数据表!T39</f>
        <v>0</v>
      </c>
      <c r="N38" s="88">
        <f>全车数据表!U39</f>
        <v>0</v>
      </c>
      <c r="O38" s="88">
        <f>全车数据表!V39</f>
        <v>0</v>
      </c>
      <c r="P38" s="88">
        <f>全车数据表!J39</f>
        <v>2447</v>
      </c>
      <c r="Q38" s="88">
        <f>全车数据表!K39</f>
        <v>326.5</v>
      </c>
      <c r="R38" s="88">
        <f>全车数据表!L39</f>
        <v>73.72</v>
      </c>
      <c r="S38" s="88">
        <f>全车数据表!M39</f>
        <v>51.19</v>
      </c>
      <c r="T38" s="88">
        <f>全车数据表!N39</f>
        <v>52.48</v>
      </c>
      <c r="U38" s="88">
        <f>全车数据表!O39</f>
        <v>5.5490000000000004</v>
      </c>
      <c r="V38" s="88">
        <f>全车数据表!AL39</f>
        <v>1501800</v>
      </c>
      <c r="W38" s="88">
        <f>全车数据表!AM39</f>
        <v>10000</v>
      </c>
      <c r="X38" s="88">
        <f>全车数据表!AU39</f>
        <v>480000</v>
      </c>
      <c r="Y38" s="88">
        <f>全车数据表!AV39</f>
        <v>1981800</v>
      </c>
      <c r="Z38" s="88">
        <f>全车数据表!AN39</f>
        <v>4</v>
      </c>
      <c r="AA38" s="88">
        <f>全车数据表!AP39</f>
        <v>1</v>
      </c>
      <c r="AB38" s="88">
        <f>全车数据表!AR39</f>
        <v>1</v>
      </c>
      <c r="AC38" s="88">
        <f>全车数据表!AW39</f>
        <v>340</v>
      </c>
      <c r="AD38" s="88">
        <f>全车数据表!AX39</f>
        <v>0</v>
      </c>
      <c r="AE38" s="88">
        <f>全车数据表!AY39</f>
        <v>437</v>
      </c>
      <c r="AF38" s="88" t="str">
        <f>IF(全车数据表!BA39="","",全车数据表!BA39)</f>
        <v>级别杯</v>
      </c>
      <c r="AG38" s="88" t="str">
        <f>IF(全车数据表!BB39="","",全车数据表!BB39)</f>
        <v/>
      </c>
      <c r="AH38" s="88" t="str">
        <f>IF(全车数据表!BC39="","",全车数据表!BC39)</f>
        <v/>
      </c>
      <c r="AI38" s="88">
        <f>IF(全车数据表!BD39="","",全车数据表!BD39)</f>
        <v>1</v>
      </c>
      <c r="AJ38" s="88">
        <f>IF(全车数据表!BE39="","",全车数据表!BE39)</f>
        <v>1</v>
      </c>
      <c r="AK38" s="88" t="str">
        <f>IF(全车数据表!BF39="","",全车数据表!BF39)</f>
        <v/>
      </c>
      <c r="AL38" s="88">
        <f>IF(全车数据表!BG39="","",全车数据表!BG39)</f>
        <v>1</v>
      </c>
      <c r="AM38" s="88" t="str">
        <f>IF(全车数据表!BH39="","",全车数据表!BH39)</f>
        <v/>
      </c>
      <c r="AN38" s="88" t="str">
        <f>IF(全车数据表!BI39="","",全车数据表!BI39)</f>
        <v/>
      </c>
      <c r="AO38" s="88" t="str">
        <f>IF(全车数据表!BJ39="","",全车数据表!BJ39)</f>
        <v/>
      </c>
      <c r="AP38" s="88" t="str">
        <f>IF(全车数据表!BK39="","",全车数据表!BK39)</f>
        <v/>
      </c>
      <c r="AQ38" s="88" t="str">
        <f>IF(全车数据表!BL39="","",全车数据表!BL39)</f>
        <v/>
      </c>
      <c r="AR38" s="88" t="str">
        <f>IF(全车数据表!BM39="","",全车数据表!BM39)</f>
        <v/>
      </c>
      <c r="AS38" s="88" t="str">
        <f>IF(全车数据表!BN39="","",全车数据表!BN39)</f>
        <v/>
      </c>
      <c r="AT38" s="88" t="str">
        <f>IF(全车数据表!BO39="","",全车数据表!BO39)</f>
        <v/>
      </c>
      <c r="AU38" s="88" t="str">
        <f>IF(全车数据表!BP39="","",全车数据表!BP39)</f>
        <v/>
      </c>
      <c r="AV38" s="88" t="str">
        <f>IF(全车数据表!BQ39="","",全车数据表!BQ39)</f>
        <v/>
      </c>
      <c r="AW38" s="88" t="str">
        <f>IF(全车数据表!BR39="","",全车数据表!BR39)</f>
        <v/>
      </c>
      <c r="AX38" s="88" t="str">
        <f>IF(全车数据表!BS39="","",全车数据表!BS39)</f>
        <v/>
      </c>
      <c r="AY38" s="88" t="str">
        <f>IF(全车数据表!BT39="","",全车数据表!BT39)</f>
        <v/>
      </c>
      <c r="AZ38" s="88">
        <f>IF(全车数据表!BU39="","",全车数据表!BU39)</f>
        <v>1</v>
      </c>
      <c r="BA38" s="88" t="str">
        <f>IF(全车数据表!BV39="","",全车数据表!BV39)</f>
        <v>宝马</v>
      </c>
      <c r="BB38" s="91">
        <f>IF(全车数据表!AZ39="","",全车数据表!AZ39)</f>
        <v>1</v>
      </c>
    </row>
    <row r="39" spans="1:54">
      <c r="A39" s="88">
        <f>全车数据表!A40</f>
        <v>38</v>
      </c>
      <c r="B39" s="88" t="str">
        <f>全车数据表!B40</f>
        <v>Jaguar F-Type SVR</v>
      </c>
      <c r="C39" s="89" t="str">
        <f>全车数据表!E40</f>
        <v>svr</v>
      </c>
      <c r="D39" s="88" t="str">
        <f>IF(全车数据表!D40="","",全车数据表!D40)</f>
        <v>Jaguar</v>
      </c>
      <c r="E39" s="89" t="str">
        <f>全车数据表!H40</f>
        <v>1.3</v>
      </c>
      <c r="F39" s="89" t="str">
        <f>全车数据表!C40</f>
        <v>捷豹</v>
      </c>
      <c r="G39" s="89" t="str">
        <f>全车数据表!F40</f>
        <v>C</v>
      </c>
      <c r="H39" s="88">
        <f>LEN(全车数据表!G40)</f>
        <v>4</v>
      </c>
      <c r="I39" s="88" t="str">
        <f>VLOOKUP(全车数据表!P40,辅助计算!A:B,2,FALSE)</f>
        <v>uncm</v>
      </c>
      <c r="J39" s="88">
        <f>全车数据表!Q40</f>
        <v>30</v>
      </c>
      <c r="K39" s="88">
        <f>全车数据表!R40</f>
        <v>18</v>
      </c>
      <c r="L39" s="88">
        <f>全车数据表!S40</f>
        <v>21</v>
      </c>
      <c r="M39" s="88">
        <f>全车数据表!T40</f>
        <v>32</v>
      </c>
      <c r="N39" s="88">
        <f>全车数据表!U40</f>
        <v>0</v>
      </c>
      <c r="O39" s="88">
        <f>全车数据表!V40</f>
        <v>0</v>
      </c>
      <c r="P39" s="88">
        <f>全车数据表!J40</f>
        <v>2487</v>
      </c>
      <c r="Q39" s="88">
        <f>全车数据表!K40</f>
        <v>340.3</v>
      </c>
      <c r="R39" s="88">
        <f>全车数据表!L40</f>
        <v>75.55</v>
      </c>
      <c r="S39" s="88">
        <f>全车数据表!M40</f>
        <v>49.28</v>
      </c>
      <c r="T39" s="88">
        <f>全车数据表!N40</f>
        <v>50.12</v>
      </c>
      <c r="U39" s="88">
        <f>全车数据表!O40</f>
        <v>5.1660000000000004</v>
      </c>
      <c r="V39" s="88">
        <f>全车数据表!AL40</f>
        <v>0</v>
      </c>
      <c r="W39" s="88">
        <f>全车数据表!AM40</f>
        <v>10000</v>
      </c>
      <c r="X39" s="88">
        <f>全车数据表!AU40</f>
        <v>720000</v>
      </c>
      <c r="Y39" s="88">
        <f>全车数据表!AV40</f>
        <v>0</v>
      </c>
      <c r="Z39" s="88">
        <f>全车数据表!AN40</f>
        <v>6</v>
      </c>
      <c r="AA39" s="88">
        <f>全车数据表!AP40</f>
        <v>3</v>
      </c>
      <c r="AB39" s="88">
        <f>全车数据表!AR40</f>
        <v>1</v>
      </c>
      <c r="AC39" s="88">
        <f>全车数据表!AW40</f>
        <v>354</v>
      </c>
      <c r="AD39" s="88">
        <f>全车数据表!AX40</f>
        <v>0</v>
      </c>
      <c r="AE39" s="88">
        <f>全车数据表!AY40</f>
        <v>461</v>
      </c>
      <c r="AF39" s="88" t="str">
        <f>IF(全车数据表!BA40="","",全车数据表!BA40)</f>
        <v>级别杯</v>
      </c>
      <c r="AG39" s="88" t="str">
        <f>IF(全车数据表!BB40="","",全车数据表!BB40)</f>
        <v/>
      </c>
      <c r="AH39" s="88" t="str">
        <f>IF(全车数据表!BC40="","",全车数据表!BC40)</f>
        <v/>
      </c>
      <c r="AI39" s="88" t="str">
        <f>IF(全车数据表!BD40="","",全车数据表!BD40)</f>
        <v/>
      </c>
      <c r="AJ39" s="88">
        <f>IF(全车数据表!BE40="","",全车数据表!BE40)</f>
        <v>1</v>
      </c>
      <c r="AK39" s="88" t="str">
        <f>IF(全车数据表!BF40="","",全车数据表!BF40)</f>
        <v/>
      </c>
      <c r="AL39" s="88">
        <f>IF(全车数据表!BG40="","",全车数据表!BG40)</f>
        <v>1</v>
      </c>
      <c r="AM39" s="88" t="str">
        <f>IF(全车数据表!BH40="","",全车数据表!BH40)</f>
        <v/>
      </c>
      <c r="AN39" s="88" t="str">
        <f>IF(全车数据表!BI40="","",全车数据表!BI40)</f>
        <v/>
      </c>
      <c r="AO39" s="88" t="str">
        <f>IF(全车数据表!BJ40="","",全车数据表!BJ40)</f>
        <v/>
      </c>
      <c r="AP39" s="88" t="str">
        <f>IF(全车数据表!BK40="","",全车数据表!BK40)</f>
        <v/>
      </c>
      <c r="AQ39" s="88" t="str">
        <f>IF(全车数据表!BL40="","",全车数据表!BL40)</f>
        <v/>
      </c>
      <c r="AR39" s="88" t="str">
        <f>IF(全车数据表!BM40="","",全车数据表!BM40)</f>
        <v/>
      </c>
      <c r="AS39" s="88" t="str">
        <f>IF(全车数据表!BN40="","",全车数据表!BN40)</f>
        <v/>
      </c>
      <c r="AT39" s="88" t="str">
        <f>IF(全车数据表!BO40="","",全车数据表!BO40)</f>
        <v/>
      </c>
      <c r="AU39" s="88" t="str">
        <f>IF(全车数据表!BP40="","",全车数据表!BP40)</f>
        <v/>
      </c>
      <c r="AV39" s="88" t="str">
        <f>IF(全车数据表!BQ40="","",全车数据表!BQ40)</f>
        <v>1款</v>
      </c>
      <c r="AW39" s="88" t="str">
        <f>IF(全车数据表!BR40="","",全车数据表!BR40)</f>
        <v/>
      </c>
      <c r="AX39" s="88" t="str">
        <f>IF(全车数据表!BS40="","",全车数据表!BS40)</f>
        <v/>
      </c>
      <c r="AY39" s="88" t="str">
        <f>IF(全车数据表!BT40="","",全车数据表!BT40)</f>
        <v/>
      </c>
      <c r="AZ39" s="88">
        <f>IF(全车数据表!BU40="","",全车数据表!BU40)</f>
        <v>1</v>
      </c>
      <c r="BA39" s="88" t="str">
        <f>IF(全车数据表!BV40="","",全车数据表!BV40)</f>
        <v>捷豹</v>
      </c>
      <c r="BB39" s="91" t="str">
        <f>IF(全车数据表!AZ40="","",全车数据表!AZ40)</f>
        <v/>
      </c>
    </row>
    <row r="40" spans="1:54">
      <c r="A40" s="88">
        <f>全车数据表!A41</f>
        <v>39</v>
      </c>
      <c r="B40" s="88" t="str">
        <f>全车数据表!B41</f>
        <v>Ford Shelby GT350R</v>
      </c>
      <c r="C40" s="89" t="str">
        <f>全车数据表!E41</f>
        <v>gt350r</v>
      </c>
      <c r="D40" s="88" t="str">
        <f>IF(全车数据表!D41="","",全车数据表!D41)</f>
        <v>Ford</v>
      </c>
      <c r="E40" s="89" t="str">
        <f>全车数据表!H41</f>
        <v>1.3</v>
      </c>
      <c r="F40" s="89" t="str">
        <f>全车数据表!C41</f>
        <v>野马</v>
      </c>
      <c r="G40" s="89" t="str">
        <f>全车数据表!F41</f>
        <v>C</v>
      </c>
      <c r="H40" s="88">
        <f>LEN(全车数据表!G41)</f>
        <v>4</v>
      </c>
      <c r="I40" s="88" t="str">
        <f>VLOOKUP(全车数据表!P41,辅助计算!A:B,2,FALSE)</f>
        <v>uncm</v>
      </c>
      <c r="J40" s="88">
        <f>全车数据表!Q41</f>
        <v>30</v>
      </c>
      <c r="K40" s="88">
        <f>全车数据表!R41</f>
        <v>18</v>
      </c>
      <c r="L40" s="88">
        <f>全车数据表!S41</f>
        <v>21</v>
      </c>
      <c r="M40" s="88">
        <f>全车数据表!T41</f>
        <v>32</v>
      </c>
      <c r="N40" s="88">
        <f>全车数据表!U41</f>
        <v>0</v>
      </c>
      <c r="O40" s="88">
        <f>全车数据表!V41</f>
        <v>0</v>
      </c>
      <c r="P40" s="88">
        <f>全车数据表!J41</f>
        <v>2531</v>
      </c>
      <c r="Q40" s="88">
        <f>全车数据表!K41</f>
        <v>299.7</v>
      </c>
      <c r="R40" s="88">
        <f>全车数据表!L41</f>
        <v>75.06</v>
      </c>
      <c r="S40" s="88">
        <f>全车数据表!M41</f>
        <v>58.97</v>
      </c>
      <c r="T40" s="88">
        <f>全车数据表!N41</f>
        <v>52.93</v>
      </c>
      <c r="U40" s="88">
        <f>全车数据表!O41</f>
        <v>5.93</v>
      </c>
      <c r="V40" s="88">
        <f>全车数据表!AL41</f>
        <v>1076000</v>
      </c>
      <c r="W40" s="88">
        <f>全车数据表!AM41</f>
        <v>10000</v>
      </c>
      <c r="X40" s="88">
        <f>全车数据表!AU41</f>
        <v>720000</v>
      </c>
      <c r="Y40" s="88">
        <f>全车数据表!AV41</f>
        <v>1796000</v>
      </c>
      <c r="Z40" s="88">
        <f>全车数据表!AN41</f>
        <v>6</v>
      </c>
      <c r="AA40" s="88">
        <f>全车数据表!AP41</f>
        <v>3</v>
      </c>
      <c r="AB40" s="88">
        <f>全车数据表!AR41</f>
        <v>1</v>
      </c>
      <c r="AC40" s="88">
        <f>全车数据表!AW41</f>
        <v>313</v>
      </c>
      <c r="AD40" s="88">
        <f>全车数据表!AX41</f>
        <v>0</v>
      </c>
      <c r="AE40" s="88">
        <f>全车数据表!AY41</f>
        <v>400</v>
      </c>
      <c r="AF40" s="88" t="str">
        <f>IF(全车数据表!BA41="","",全车数据表!BA41)</f>
        <v>级别杯</v>
      </c>
      <c r="AG40" s="88" t="str">
        <f>IF(全车数据表!BB41="","",全车数据表!BB41)</f>
        <v/>
      </c>
      <c r="AH40" s="88" t="str">
        <f>IF(全车数据表!BC41="","",全车数据表!BC41)</f>
        <v/>
      </c>
      <c r="AI40" s="88" t="str">
        <f>IF(全车数据表!BD41="","",全车数据表!BD41)</f>
        <v/>
      </c>
      <c r="AJ40" s="88">
        <f>IF(全车数据表!BE41="","",全车数据表!BE41)</f>
        <v>1</v>
      </c>
      <c r="AK40" s="88" t="str">
        <f>IF(全车数据表!BF41="","",全车数据表!BF41)</f>
        <v/>
      </c>
      <c r="AL40" s="88">
        <f>IF(全车数据表!BG41="","",全车数据表!BG41)</f>
        <v>1</v>
      </c>
      <c r="AM40" s="88" t="str">
        <f>IF(全车数据表!BH41="","",全车数据表!BH41)</f>
        <v/>
      </c>
      <c r="AN40" s="88" t="str">
        <f>IF(全车数据表!BI41="","",全车数据表!BI41)</f>
        <v/>
      </c>
      <c r="AO40" s="88" t="str">
        <f>IF(全车数据表!BJ41="","",全车数据表!BJ41)</f>
        <v/>
      </c>
      <c r="AP40" s="88" t="str">
        <f>IF(全车数据表!BK41="","",全车数据表!BK41)</f>
        <v/>
      </c>
      <c r="AQ40" s="88" t="str">
        <f>IF(全车数据表!BL41="","",全车数据表!BL41)</f>
        <v/>
      </c>
      <c r="AR40" s="88" t="str">
        <f>IF(全车数据表!BM41="","",全车数据表!BM41)</f>
        <v/>
      </c>
      <c r="AS40" s="88" t="str">
        <f>IF(全车数据表!BN41="","",全车数据表!BN41)</f>
        <v/>
      </c>
      <c r="AT40" s="88" t="str">
        <f>IF(全车数据表!BO41="","",全车数据表!BO41)</f>
        <v/>
      </c>
      <c r="AU40" s="88" t="str">
        <f>IF(全车数据表!BP41="","",全车数据表!BP41)</f>
        <v/>
      </c>
      <c r="AV40" s="88" t="str">
        <f>IF(全车数据表!BQ41="","",全车数据表!BQ41)</f>
        <v/>
      </c>
      <c r="AW40" s="88" t="str">
        <f>IF(全车数据表!BR41="","",全车数据表!BR41)</f>
        <v/>
      </c>
      <c r="AX40" s="88" t="str">
        <f>IF(全车数据表!BS41="","",全车数据表!BS41)</f>
        <v/>
      </c>
      <c r="AY40" s="88" t="str">
        <f>IF(全车数据表!BT41="","",全车数据表!BT41)</f>
        <v/>
      </c>
      <c r="AZ40" s="88">
        <f>IF(全车数据表!BU41="","",全车数据表!BU41)</f>
        <v>1</v>
      </c>
      <c r="BA40" s="88" t="str">
        <f>IF(全车数据表!BV41="","",全车数据表!BV41)</f>
        <v>野马 福特</v>
      </c>
      <c r="BB40" s="91">
        <f>IF(全车数据表!AZ41="","",全车数据表!AZ41)</f>
        <v>1</v>
      </c>
    </row>
    <row r="41" spans="1:54">
      <c r="A41" s="88">
        <f>全车数据表!A42</f>
        <v>40</v>
      </c>
      <c r="B41" s="88" t="str">
        <f>全车数据表!B42</f>
        <v>Porsche 911 Targa 4S</v>
      </c>
      <c r="C41" s="89" t="str">
        <f>全车数据表!E42</f>
        <v>targa</v>
      </c>
      <c r="D41" s="88" t="str">
        <f>IF(全车数据表!D42="","",全车数据表!D42)</f>
        <v>Porsche</v>
      </c>
      <c r="E41" s="89" t="str">
        <f>全车数据表!H42</f>
        <v>1.9</v>
      </c>
      <c r="F41" s="89" t="str">
        <f>全车数据表!C42</f>
        <v>Targa</v>
      </c>
      <c r="G41" s="89" t="str">
        <f>全车数据表!F42</f>
        <v>C</v>
      </c>
      <c r="H41" s="88">
        <f>LEN(全车数据表!G42)</f>
        <v>4</v>
      </c>
      <c r="I41" s="88" t="str">
        <f>VLOOKUP(全车数据表!P42,辅助计算!A:B,2,FALSE)</f>
        <v>uncm</v>
      </c>
      <c r="J41" s="88">
        <f>全车数据表!Q42</f>
        <v>35</v>
      </c>
      <c r="K41" s="88">
        <f>全车数据表!R42</f>
        <v>18</v>
      </c>
      <c r="L41" s="88">
        <f>全车数据表!S42</f>
        <v>21</v>
      </c>
      <c r="M41" s="88">
        <f>全车数据表!T42</f>
        <v>32</v>
      </c>
      <c r="N41" s="88">
        <f>全车数据表!U42</f>
        <v>0</v>
      </c>
      <c r="O41" s="88">
        <f>全车数据表!V42</f>
        <v>0</v>
      </c>
      <c r="P41" s="88">
        <f>全车数据表!J42</f>
        <v>2571</v>
      </c>
      <c r="Q41" s="88">
        <f>全车数据表!K42</f>
        <v>315</v>
      </c>
      <c r="R41" s="88">
        <f>全车数据表!L42</f>
        <v>75.37</v>
      </c>
      <c r="S41" s="88">
        <f>全车数据表!M42</f>
        <v>41.56</v>
      </c>
      <c r="T41" s="88">
        <f>全车数据表!N42</f>
        <v>38.33</v>
      </c>
      <c r="U41" s="88">
        <f>全车数据表!O42</f>
        <v>4.4829999999999997</v>
      </c>
      <c r="V41" s="88">
        <f>全车数据表!AL42</f>
        <v>0</v>
      </c>
      <c r="W41" s="88">
        <f>全车数据表!AM42</f>
        <v>10000</v>
      </c>
      <c r="X41" s="88">
        <f>全车数据表!AU42</f>
        <v>720000</v>
      </c>
      <c r="Y41" s="88">
        <f>全车数据表!AV42</f>
        <v>0</v>
      </c>
      <c r="Z41" s="88">
        <f>全车数据表!AN42</f>
        <v>6</v>
      </c>
      <c r="AA41" s="88">
        <f>全车数据表!AP42</f>
        <v>3</v>
      </c>
      <c r="AB41" s="88">
        <f>全车数据表!AR42</f>
        <v>1</v>
      </c>
      <c r="AC41" s="88">
        <f>全车数据表!AW42</f>
        <v>328</v>
      </c>
      <c r="AD41" s="88">
        <f>全车数据表!AX42</f>
        <v>0</v>
      </c>
      <c r="AE41" s="88">
        <f>全车数据表!AY42</f>
        <v>418</v>
      </c>
      <c r="AF41" s="88" t="str">
        <f>IF(全车数据表!BA42="","",全车数据表!BA42)</f>
        <v>寻车</v>
      </c>
      <c r="AG41" s="88" t="str">
        <f>IF(全车数据表!BB42="","",全车数据表!BB42)</f>
        <v/>
      </c>
      <c r="AH41" s="88" t="str">
        <f>IF(全车数据表!BC42="","",全车数据表!BC42)</f>
        <v/>
      </c>
      <c r="AI41" s="88">
        <f>IF(全车数据表!BD42="","",全车数据表!BD42)</f>
        <v>1</v>
      </c>
      <c r="AJ41" s="88" t="str">
        <f>IF(全车数据表!BE42="","",全车数据表!BE42)</f>
        <v/>
      </c>
      <c r="AK41" s="88" t="str">
        <f>IF(全车数据表!BF42="","",全车数据表!BF42)</f>
        <v/>
      </c>
      <c r="AL41" s="88">
        <f>IF(全车数据表!BG42="","",全车数据表!BG42)</f>
        <v>1</v>
      </c>
      <c r="AM41" s="88" t="str">
        <f>IF(全车数据表!BH42="","",全车数据表!BH42)</f>
        <v/>
      </c>
      <c r="AN41" s="88" t="str">
        <f>IF(全车数据表!BI42="","",全车数据表!BI42)</f>
        <v/>
      </c>
      <c r="AO41" s="88" t="str">
        <f>IF(全车数据表!BJ42="","",全车数据表!BJ42)</f>
        <v/>
      </c>
      <c r="AP41" s="88" t="str">
        <f>IF(全车数据表!BK42="","",全车数据表!BK42)</f>
        <v/>
      </c>
      <c r="AQ41" s="88" t="str">
        <f>IF(全车数据表!BL42="","",全车数据表!BL42)</f>
        <v/>
      </c>
      <c r="AR41" s="88" t="str">
        <f>IF(全车数据表!BM42="","",全车数据表!BM42)</f>
        <v/>
      </c>
      <c r="AS41" s="88" t="str">
        <f>IF(全车数据表!BN42="","",全车数据表!BN42)</f>
        <v/>
      </c>
      <c r="AT41" s="88" t="str">
        <f>IF(全车数据表!BO42="","",全车数据表!BO42)</f>
        <v/>
      </c>
      <c r="AU41" s="88" t="str">
        <f>IF(全车数据表!BP42="","",全车数据表!BP42)</f>
        <v/>
      </c>
      <c r="AV41" s="88" t="str">
        <f>IF(全车数据表!BQ42="","",全车数据表!BQ42)</f>
        <v>1款</v>
      </c>
      <c r="AW41" s="88" t="str">
        <f>IF(全车数据表!BR42="","",全车数据表!BR42)</f>
        <v/>
      </c>
      <c r="AX41" s="88" t="str">
        <f>IF(全车数据表!BS42="","",全车数据表!BS42)</f>
        <v>可开合</v>
      </c>
      <c r="AY41" s="88" t="str">
        <f>IF(全车数据表!BT42="","",全车数据表!BT42)</f>
        <v/>
      </c>
      <c r="AZ41" s="88" t="str">
        <f>IF(全车数据表!BU42="","",全车数据表!BU42)</f>
        <v/>
      </c>
      <c r="BA41" s="88" t="str">
        <f>IF(全车数据表!BV42="","",全车数据表!BV42)</f>
        <v>保时捷</v>
      </c>
      <c r="BB41" s="91">
        <f>IF(全车数据表!AZ42="","",全车数据表!AZ42)</f>
        <v>3</v>
      </c>
    </row>
    <row r="42" spans="1:54">
      <c r="A42" s="88">
        <f>全车数据表!A43</f>
        <v>41</v>
      </c>
      <c r="B42" s="88" t="str">
        <f>全车数据表!B43</f>
        <v>Honda Civic Type-R</v>
      </c>
      <c r="C42" s="89" t="str">
        <f>全车数据表!E43</f>
        <v>civic</v>
      </c>
      <c r="D42" s="88" t="str">
        <f>IF(全车数据表!D43="","",全车数据表!D43)</f>
        <v>Honda</v>
      </c>
      <c r="E42" s="89" t="str">
        <f>全车数据表!H43</f>
        <v>2.0</v>
      </c>
      <c r="F42" s="89" t="str">
        <f>全车数据表!C43</f>
        <v>思域</v>
      </c>
      <c r="G42" s="89" t="str">
        <f>全车数据表!F43</f>
        <v>C</v>
      </c>
      <c r="H42" s="88">
        <f>LEN(全车数据表!G43)</f>
        <v>4</v>
      </c>
      <c r="I42" s="88" t="str">
        <f>VLOOKUP(全车数据表!P43,辅助计算!A:B,2,FALSE)</f>
        <v>uncm</v>
      </c>
      <c r="J42" s="88">
        <f>全车数据表!Q43</f>
        <v>35</v>
      </c>
      <c r="K42" s="88">
        <f>全车数据表!R43</f>
        <v>18</v>
      </c>
      <c r="L42" s="88">
        <f>全车数据表!S43</f>
        <v>21</v>
      </c>
      <c r="M42" s="88">
        <f>全车数据表!T43</f>
        <v>32</v>
      </c>
      <c r="N42" s="88">
        <f>全车数据表!U43</f>
        <v>0</v>
      </c>
      <c r="O42" s="88">
        <f>全车数据表!V43</f>
        <v>0</v>
      </c>
      <c r="P42" s="88">
        <f>全车数据表!J43</f>
        <v>2627</v>
      </c>
      <c r="Q42" s="88">
        <f>全车数据表!K43</f>
        <v>285.10000000000002</v>
      </c>
      <c r="R42" s="88">
        <f>全车数据表!L43</f>
        <v>82.09</v>
      </c>
      <c r="S42" s="88">
        <f>全车数据表!M43</f>
        <v>68.41</v>
      </c>
      <c r="T42" s="88">
        <f>全车数据表!N43</f>
        <v>62.55</v>
      </c>
      <c r="U42" s="88">
        <f>全车数据表!O43</f>
        <v>7.98</v>
      </c>
      <c r="V42" s="88">
        <f>全车数据表!AL43</f>
        <v>1840000</v>
      </c>
      <c r="W42" s="88">
        <f>全车数据表!AM43</f>
        <v>12500</v>
      </c>
      <c r="X42" s="88">
        <f>全车数据表!AU43</f>
        <v>900000</v>
      </c>
      <c r="Y42" s="88">
        <f>全车数据表!AV43</f>
        <v>2740000</v>
      </c>
      <c r="Z42" s="88">
        <f>全车数据表!AN43</f>
        <v>6</v>
      </c>
      <c r="AA42" s="88">
        <f>全车数据表!AP43</f>
        <v>3</v>
      </c>
      <c r="AB42" s="88">
        <f>全车数据表!AR43</f>
        <v>1</v>
      </c>
      <c r="AC42" s="88">
        <f>全车数据表!AW43</f>
        <v>297</v>
      </c>
      <c r="AD42" s="88">
        <f>全车数据表!AX43</f>
        <v>0</v>
      </c>
      <c r="AE42" s="88">
        <f>全车数据表!AY43</f>
        <v>381</v>
      </c>
      <c r="AF42" s="88" t="str">
        <f>IF(全车数据表!BA43="","",全车数据表!BA43)</f>
        <v>寻车</v>
      </c>
      <c r="AG42" s="88" t="str">
        <f>IF(全车数据表!BB43="","",全车数据表!BB43)</f>
        <v/>
      </c>
      <c r="AH42" s="88" t="str">
        <f>IF(全车数据表!BC43="","",全车数据表!BC43)</f>
        <v/>
      </c>
      <c r="AI42" s="88" t="str">
        <f>IF(全车数据表!BD43="","",全车数据表!BD43)</f>
        <v/>
      </c>
      <c r="AJ42" s="88" t="str">
        <f>IF(全车数据表!BE43="","",全车数据表!BE43)</f>
        <v/>
      </c>
      <c r="AK42" s="88" t="str">
        <f>IF(全车数据表!BF43="","",全车数据表!BF43)</f>
        <v/>
      </c>
      <c r="AL42" s="88">
        <f>IF(全车数据表!BG43="","",全车数据表!BG43)</f>
        <v>1</v>
      </c>
      <c r="AM42" s="88" t="str">
        <f>IF(全车数据表!BH43="","",全车数据表!BH43)</f>
        <v/>
      </c>
      <c r="AN42" s="88" t="str">
        <f>IF(全车数据表!BI43="","",全车数据表!BI43)</f>
        <v/>
      </c>
      <c r="AO42" s="88">
        <f>IF(全车数据表!BJ43="","",全车数据表!BJ43)</f>
        <v>1</v>
      </c>
      <c r="AP42" s="88" t="str">
        <f>IF(全车数据表!BK43="","",全车数据表!BK43)</f>
        <v/>
      </c>
      <c r="AQ42" s="88" t="str">
        <f>IF(全车数据表!BL43="","",全车数据表!BL43)</f>
        <v/>
      </c>
      <c r="AR42" s="88" t="str">
        <f>IF(全车数据表!BM43="","",全车数据表!BM43)</f>
        <v/>
      </c>
      <c r="AS42" s="88" t="str">
        <f>IF(全车数据表!BN43="","",全车数据表!BN43)</f>
        <v/>
      </c>
      <c r="AT42" s="88" t="str">
        <f>IF(全车数据表!BO43="","",全车数据表!BO43)</f>
        <v/>
      </c>
      <c r="AU42" s="88" t="str">
        <f>IF(全车数据表!BP43="","",全车数据表!BP43)</f>
        <v/>
      </c>
      <c r="AV42" s="88" t="str">
        <f>IF(全车数据表!BQ43="","",全车数据表!BQ43)</f>
        <v/>
      </c>
      <c r="AW42" s="88" t="str">
        <f>IF(全车数据表!BR43="","",全车数据表!BR43)</f>
        <v/>
      </c>
      <c r="AX42" s="88" t="str">
        <f>IF(全车数据表!BS43="","",全车数据表!BS43)</f>
        <v/>
      </c>
      <c r="AY42" s="88" t="str">
        <f>IF(全车数据表!BT43="","",全车数据表!BT43)</f>
        <v/>
      </c>
      <c r="AZ42" s="88" t="str">
        <f>IF(全车数据表!BU43="","",全车数据表!BU43)</f>
        <v/>
      </c>
      <c r="BA42" s="88" t="str">
        <f>IF(全车数据表!BV43="","",全车数据表!BV43)</f>
        <v>思域 宏达 本田</v>
      </c>
      <c r="BB42" s="91">
        <f>IF(全车数据表!AZ43="","",全车数据表!AZ43)</f>
        <v>1</v>
      </c>
    </row>
    <row r="43" spans="1:54">
      <c r="A43" s="88">
        <f>全车数据表!A44</f>
        <v>42</v>
      </c>
      <c r="B43" s="88" t="str">
        <f>全车数据表!B44</f>
        <v>Rezvani Beast X</v>
      </c>
      <c r="C43" s="89" t="str">
        <f>全车数据表!E44</f>
        <v>beast</v>
      </c>
      <c r="D43" s="88" t="str">
        <f>IF(全车数据表!D44="","",全车数据表!D44)</f>
        <v>Rezvani</v>
      </c>
      <c r="E43" s="89" t="str">
        <f>全车数据表!H44</f>
        <v>1.3</v>
      </c>
      <c r="F43" s="89" t="str">
        <f>全车数据表!C44</f>
        <v>野兽</v>
      </c>
      <c r="G43" s="89" t="str">
        <f>全车数据表!F44</f>
        <v>C</v>
      </c>
      <c r="H43" s="88">
        <f>LEN(全车数据表!G44)</f>
        <v>4</v>
      </c>
      <c r="I43" s="88" t="str">
        <f>VLOOKUP(全车数据表!P44,辅助计算!A:B,2,FALSE)</f>
        <v>uncm</v>
      </c>
      <c r="J43" s="88">
        <f>全车数据表!Q44</f>
        <v>35</v>
      </c>
      <c r="K43" s="88">
        <f>全车数据表!R44</f>
        <v>20</v>
      </c>
      <c r="L43" s="88">
        <f>全车数据表!S44</f>
        <v>24</v>
      </c>
      <c r="M43" s="88">
        <f>全车数据表!T44</f>
        <v>32</v>
      </c>
      <c r="N43" s="88">
        <f>全车数据表!U44</f>
        <v>0</v>
      </c>
      <c r="O43" s="88">
        <f>全车数据表!V44</f>
        <v>0</v>
      </c>
      <c r="P43" s="88">
        <f>全车数据表!J44</f>
        <v>2635</v>
      </c>
      <c r="Q43" s="88">
        <f>全车数据表!K44</f>
        <v>299.39999999999998</v>
      </c>
      <c r="R43" s="88">
        <f>全车数据表!L44</f>
        <v>84.62</v>
      </c>
      <c r="S43" s="88">
        <f>全车数据表!M44</f>
        <v>69.2</v>
      </c>
      <c r="T43" s="88">
        <f>全车数据表!N44</f>
        <v>63.68</v>
      </c>
      <c r="U43" s="88">
        <f>全车数据表!O44</f>
        <v>7.7830000000000004</v>
      </c>
      <c r="V43" s="88">
        <f>全车数据表!AL44</f>
        <v>0</v>
      </c>
      <c r="W43" s="88">
        <f>全车数据表!AM44</f>
        <v>0</v>
      </c>
      <c r="X43" s="88">
        <f>全车数据表!AU44</f>
        <v>0</v>
      </c>
      <c r="Y43" s="88">
        <f>全车数据表!AV44</f>
        <v>0</v>
      </c>
      <c r="Z43" s="88">
        <f>全车数据表!AN44</f>
        <v>6</v>
      </c>
      <c r="AA43" s="88">
        <f>全车数据表!AP44</f>
        <v>3</v>
      </c>
      <c r="AB43" s="88">
        <f>全车数据表!AR44</f>
        <v>1</v>
      </c>
      <c r="AC43" s="88">
        <f>全车数据表!AW44</f>
        <v>312</v>
      </c>
      <c r="AD43" s="88">
        <f>全车数据表!AX44</f>
        <v>0</v>
      </c>
      <c r="AE43" s="88">
        <f>全车数据表!AY44</f>
        <v>399</v>
      </c>
      <c r="AF43" s="88" t="str">
        <f>IF(全车数据表!BA44="","",全车数据表!BA44)</f>
        <v>独家赛事</v>
      </c>
      <c r="AG43" s="88" t="str">
        <f>IF(全车数据表!BB44="","",全车数据表!BB44)</f>
        <v/>
      </c>
      <c r="AH43" s="88" t="str">
        <f>IF(全车数据表!BC44="","",全车数据表!BC44)</f>
        <v/>
      </c>
      <c r="AI43" s="88" t="str">
        <f>IF(全车数据表!BD44="","",全车数据表!BD44)</f>
        <v/>
      </c>
      <c r="AJ43" s="88" t="str">
        <f>IF(全车数据表!BE44="","",全车数据表!BE44)</f>
        <v/>
      </c>
      <c r="AK43" s="88">
        <f>IF(全车数据表!BF44="","",全车数据表!BF44)</f>
        <v>1</v>
      </c>
      <c r="AL43" s="88" t="str">
        <f>IF(全车数据表!BG44="","",全车数据表!BG44)</f>
        <v/>
      </c>
      <c r="AM43" s="88" t="str">
        <f>IF(全车数据表!BH44="","",全车数据表!BH44)</f>
        <v/>
      </c>
      <c r="AN43" s="88" t="str">
        <f>IF(全车数据表!BI44="","",全车数据表!BI44)</f>
        <v/>
      </c>
      <c r="AO43" s="88" t="str">
        <f>IF(全车数据表!BJ44="","",全车数据表!BJ44)</f>
        <v/>
      </c>
      <c r="AP43" s="88" t="str">
        <f>IF(全车数据表!BK44="","",全车数据表!BK44)</f>
        <v/>
      </c>
      <c r="AQ43" s="88" t="str">
        <f>IF(全车数据表!BL44="","",全车数据表!BL44)</f>
        <v/>
      </c>
      <c r="AR43" s="88" t="str">
        <f>IF(全车数据表!BM44="","",全车数据表!BM44)</f>
        <v/>
      </c>
      <c r="AS43" s="88" t="str">
        <f>IF(全车数据表!BN44="","",全车数据表!BN44)</f>
        <v/>
      </c>
      <c r="AT43" s="88" t="str">
        <f>IF(全车数据表!BO44="","",全车数据表!BO44)</f>
        <v/>
      </c>
      <c r="AU43" s="88" t="str">
        <f>IF(全车数据表!BP44="","",全车数据表!BP44)</f>
        <v/>
      </c>
      <c r="AV43" s="88" t="str">
        <f>IF(全车数据表!BQ44="","",全车数据表!BQ44)</f>
        <v>1款</v>
      </c>
      <c r="AW43" s="88" t="str">
        <f>IF(全车数据表!BR44="","",全车数据表!BR44)</f>
        <v/>
      </c>
      <c r="AX43" s="88" t="str">
        <f>IF(全车数据表!BS44="","",全车数据表!BS44)</f>
        <v/>
      </c>
      <c r="AY43" s="88" t="str">
        <f>IF(全车数据表!BT44="","",全车数据表!BT44)</f>
        <v/>
      </c>
      <c r="AZ43" s="88" t="str">
        <f>IF(全车数据表!BU44="","",全车数据表!BU44)</f>
        <v/>
      </c>
      <c r="BA43" s="88" t="str">
        <f>IF(全车数据表!BV44="","",全车数据表!BV44)</f>
        <v>野兽</v>
      </c>
      <c r="BB43" s="91" t="str">
        <f>IF(全车数据表!AZ44="","",全车数据表!AZ44)</f>
        <v/>
      </c>
    </row>
    <row r="44" spans="1:54">
      <c r="A44" s="88">
        <f>全车数据表!A45</f>
        <v>43</v>
      </c>
      <c r="B44" s="88" t="str">
        <f>全车数据表!B45</f>
        <v>TVR Griffith</v>
      </c>
      <c r="C44" s="89" t="str">
        <f>全车数据表!E45</f>
        <v>griffith</v>
      </c>
      <c r="D44" s="88" t="str">
        <f>IF(全车数据表!D45="","",全车数据表!D45)</f>
        <v>TVR</v>
      </c>
      <c r="E44" s="89" t="str">
        <f>全车数据表!H45</f>
        <v>2.0</v>
      </c>
      <c r="F44" s="89" t="str">
        <f>全车数据表!C45</f>
        <v>TVR</v>
      </c>
      <c r="G44" s="89" t="str">
        <f>全车数据表!F45</f>
        <v>C</v>
      </c>
      <c r="H44" s="88">
        <f>LEN(全车数据表!G45)</f>
        <v>4</v>
      </c>
      <c r="I44" s="88" t="str">
        <f>VLOOKUP(全车数据表!P45,辅助计算!A:B,2,FALSE)</f>
        <v>uncm</v>
      </c>
      <c r="J44" s="88">
        <f>全车数据表!Q45</f>
        <v>35</v>
      </c>
      <c r="K44" s="88">
        <f>全车数据表!R45</f>
        <v>18</v>
      </c>
      <c r="L44" s="88">
        <f>全车数据表!S45</f>
        <v>21</v>
      </c>
      <c r="M44" s="88">
        <f>全车数据表!T45</f>
        <v>32</v>
      </c>
      <c r="N44" s="88">
        <f>全车数据表!U45</f>
        <v>0</v>
      </c>
      <c r="O44" s="88">
        <f>全车数据表!V45</f>
        <v>0</v>
      </c>
      <c r="P44" s="88">
        <f>全车数据表!J45</f>
        <v>2641</v>
      </c>
      <c r="Q44" s="88">
        <f>全车数据表!K45</f>
        <v>338.7</v>
      </c>
      <c r="R44" s="88">
        <f>全车数据表!L45</f>
        <v>69.28</v>
      </c>
      <c r="S44" s="88">
        <f>全车数据表!M45</f>
        <v>47.31</v>
      </c>
      <c r="T44" s="88">
        <f>全车数据表!N45</f>
        <v>37.49</v>
      </c>
      <c r="U44" s="88">
        <f>全车数据表!O45</f>
        <v>4.3</v>
      </c>
      <c r="V44" s="88">
        <f>全车数据表!AL45</f>
        <v>1840000</v>
      </c>
      <c r="W44" s="88">
        <f>全车数据表!AM45</f>
        <v>12500</v>
      </c>
      <c r="X44" s="88">
        <f>全车数据表!AU45</f>
        <v>900000</v>
      </c>
      <c r="Y44" s="88">
        <f>全车数据表!AV45</f>
        <v>2740000</v>
      </c>
      <c r="Z44" s="88">
        <f>全车数据表!AN45</f>
        <v>6</v>
      </c>
      <c r="AA44" s="88">
        <f>全车数据表!AP45</f>
        <v>3</v>
      </c>
      <c r="AB44" s="88">
        <f>全车数据表!AR45</f>
        <v>1</v>
      </c>
      <c r="AC44" s="88">
        <f>全车数据表!AW45</f>
        <v>352</v>
      </c>
      <c r="AD44" s="88">
        <f>全车数据表!AX45</f>
        <v>0</v>
      </c>
      <c r="AE44" s="88">
        <f>全车数据表!AY45</f>
        <v>458</v>
      </c>
      <c r="AF44" s="88" t="str">
        <f>IF(全车数据表!BA45="","",全车数据表!BA45)</f>
        <v>旧版寻车</v>
      </c>
      <c r="AG44" s="88" t="str">
        <f>IF(全车数据表!BB45="","",全车数据表!BB45)</f>
        <v/>
      </c>
      <c r="AH44" s="88" t="str">
        <f>IF(全车数据表!BC45="","",全车数据表!BC45)</f>
        <v/>
      </c>
      <c r="AI44" s="88" t="str">
        <f>IF(全车数据表!BD45="","",全车数据表!BD45)</f>
        <v/>
      </c>
      <c r="AJ44" s="88" t="str">
        <f>IF(全车数据表!BE45="","",全车数据表!BE45)</f>
        <v/>
      </c>
      <c r="AK44" s="88" t="str">
        <f>IF(全车数据表!BF45="","",全车数据表!BF45)</f>
        <v/>
      </c>
      <c r="AL44" s="88" t="str">
        <f>IF(全车数据表!BG45="","",全车数据表!BG45)</f>
        <v/>
      </c>
      <c r="AM44" s="88" t="str">
        <f>IF(全车数据表!BH45="","",全车数据表!BH45)</f>
        <v/>
      </c>
      <c r="AN44" s="88" t="str">
        <f>IF(全车数据表!BI45="","",全车数据表!BI45)</f>
        <v/>
      </c>
      <c r="AO44" s="88">
        <f>IF(全车数据表!BJ45="","",全车数据表!BJ45)</f>
        <v>1</v>
      </c>
      <c r="AP44" s="88" t="str">
        <f>IF(全车数据表!BK45="","",全车数据表!BK45)</f>
        <v/>
      </c>
      <c r="AQ44" s="88" t="str">
        <f>IF(全车数据表!BL45="","",全车数据表!BL45)</f>
        <v/>
      </c>
      <c r="AR44" s="88" t="str">
        <f>IF(全车数据表!BM45="","",全车数据表!BM45)</f>
        <v/>
      </c>
      <c r="AS44" s="88" t="str">
        <f>IF(全车数据表!BN45="","",全车数据表!BN45)</f>
        <v/>
      </c>
      <c r="AT44" s="88" t="str">
        <f>IF(全车数据表!BO45="","",全车数据表!BO45)</f>
        <v/>
      </c>
      <c r="AU44" s="88" t="str">
        <f>IF(全车数据表!BP45="","",全车数据表!BP45)</f>
        <v/>
      </c>
      <c r="AV44" s="88" t="str">
        <f>IF(全车数据表!BQ45="","",全车数据表!BQ45)</f>
        <v/>
      </c>
      <c r="AW44" s="88" t="str">
        <f>IF(全车数据表!BR45="","",全车数据表!BR45)</f>
        <v/>
      </c>
      <c r="AX44" s="88" t="str">
        <f>IF(全车数据表!BS45="","",全车数据表!BS45)</f>
        <v/>
      </c>
      <c r="AY44" s="88" t="str">
        <f>IF(全车数据表!BT45="","",全车数据表!BT45)</f>
        <v/>
      </c>
      <c r="AZ44" s="88" t="str">
        <f>IF(全车数据表!BU45="","",全车数据表!BU45)</f>
        <v/>
      </c>
      <c r="BA44" s="88" t="str">
        <f>IF(全车数据表!BV45="","",全车数据表!BV45)</f>
        <v/>
      </c>
      <c r="BB44" s="91">
        <f>IF(全车数据表!AZ45="","",全车数据表!AZ45)</f>
        <v>7</v>
      </c>
    </row>
    <row r="45" spans="1:54">
      <c r="A45" s="88">
        <f>全车数据表!A46</f>
        <v>44</v>
      </c>
      <c r="B45" s="88" t="str">
        <f>全车数据表!B46</f>
        <v>Ford Shelby GR-1</v>
      </c>
      <c r="C45" s="89" t="str">
        <f>全车数据表!E46</f>
        <v>gr-1</v>
      </c>
      <c r="D45" s="88" t="str">
        <f>IF(全车数据表!D46="","",全车数据表!D46)</f>
        <v>Ford</v>
      </c>
      <c r="E45" s="89" t="str">
        <f>全车数据表!H46</f>
        <v>2.1</v>
      </c>
      <c r="F45" s="89" t="str">
        <f>全车数据表!C46</f>
        <v>大野马</v>
      </c>
      <c r="G45" s="89" t="str">
        <f>全车数据表!F46</f>
        <v>C</v>
      </c>
      <c r="H45" s="88">
        <f>LEN(全车数据表!G46)</f>
        <v>4</v>
      </c>
      <c r="I45" s="88" t="str">
        <f>VLOOKUP(全车数据表!P46,辅助计算!A:B,2,FALSE)</f>
        <v>uncm</v>
      </c>
      <c r="J45" s="88">
        <f>全车数据表!Q46</f>
        <v>35</v>
      </c>
      <c r="K45" s="88">
        <f>全车数据表!R46</f>
        <v>18</v>
      </c>
      <c r="L45" s="88">
        <f>全车数据表!S46</f>
        <v>21</v>
      </c>
      <c r="M45" s="88">
        <f>全车数据表!T46</f>
        <v>32</v>
      </c>
      <c r="N45" s="88">
        <f>全车数据表!U46</f>
        <v>0</v>
      </c>
      <c r="O45" s="88">
        <f>全车数据表!V46</f>
        <v>0</v>
      </c>
      <c r="P45" s="88">
        <f>全车数据表!J46</f>
        <v>2642</v>
      </c>
      <c r="Q45" s="88">
        <f>全车数据表!K46</f>
        <v>321.7</v>
      </c>
      <c r="R45" s="88">
        <f>全车数据表!L46</f>
        <v>75.319999999999993</v>
      </c>
      <c r="S45" s="88">
        <f>全车数据表!M46</f>
        <v>69.599999999999994</v>
      </c>
      <c r="T45" s="88">
        <f>全车数据表!N46</f>
        <v>66.63</v>
      </c>
      <c r="U45" s="88">
        <f>全车数据表!O46</f>
        <v>7.7</v>
      </c>
      <c r="V45" s="88">
        <f>全车数据表!AL46</f>
        <v>1850200</v>
      </c>
      <c r="W45" s="88">
        <f>全车数据表!AM46</f>
        <v>12500</v>
      </c>
      <c r="X45" s="88">
        <f>全车数据表!AU46</f>
        <v>900000</v>
      </c>
      <c r="Y45" s="88">
        <f>全车数据表!AV46</f>
        <v>2750200</v>
      </c>
      <c r="Z45" s="88">
        <f>全车数据表!AN46</f>
        <v>6</v>
      </c>
      <c r="AA45" s="88">
        <f>全车数据表!AP46</f>
        <v>3</v>
      </c>
      <c r="AB45" s="88">
        <f>全车数据表!AR46</f>
        <v>1</v>
      </c>
      <c r="AC45" s="88">
        <f>全车数据表!AW46</f>
        <v>335</v>
      </c>
      <c r="AD45" s="88">
        <f>全车数据表!AX46</f>
        <v>0</v>
      </c>
      <c r="AE45" s="88">
        <f>全车数据表!AY46</f>
        <v>429</v>
      </c>
      <c r="AF45" s="88" t="str">
        <f>IF(全车数据表!BA46="","",全车数据表!BA46)</f>
        <v>多人</v>
      </c>
      <c r="AG45" s="88" t="str">
        <f>IF(全车数据表!BB46="","",全车数据表!BB46)</f>
        <v/>
      </c>
      <c r="AH45" s="88" t="str">
        <f>IF(全车数据表!BC46="","",全车数据表!BC46)</f>
        <v/>
      </c>
      <c r="AI45" s="88" t="str">
        <f>IF(全车数据表!BD46="","",全车数据表!BD46)</f>
        <v/>
      </c>
      <c r="AJ45" s="88">
        <f>IF(全车数据表!BE46="","",全车数据表!BE46)</f>
        <v>1</v>
      </c>
      <c r="AK45" s="88" t="str">
        <f>IF(全车数据表!BF46="","",全车数据表!BF46)</f>
        <v/>
      </c>
      <c r="AL45" s="88">
        <f>IF(全车数据表!BG46="","",全车数据表!BG46)</f>
        <v>1</v>
      </c>
      <c r="AM45" s="88" t="str">
        <f>IF(全车数据表!BH46="","",全车数据表!BH46)</f>
        <v/>
      </c>
      <c r="AN45" s="88" t="str">
        <f>IF(全车数据表!BI46="","",全车数据表!BI46)</f>
        <v/>
      </c>
      <c r="AO45" s="88" t="str">
        <f>IF(全车数据表!BJ46="","",全车数据表!BJ46)</f>
        <v/>
      </c>
      <c r="AP45" s="88" t="str">
        <f>IF(全车数据表!BK46="","",全车数据表!BK46)</f>
        <v/>
      </c>
      <c r="AQ45" s="88" t="str">
        <f>IF(全车数据表!BL46="","",全车数据表!BL46)</f>
        <v/>
      </c>
      <c r="AR45" s="88" t="str">
        <f>IF(全车数据表!BM46="","",全车数据表!BM46)</f>
        <v/>
      </c>
      <c r="AS45" s="88" t="str">
        <f>IF(全车数据表!BN46="","",全车数据表!BN46)</f>
        <v/>
      </c>
      <c r="AT45" s="88" t="str">
        <f>IF(全车数据表!BO46="","",全车数据表!BO46)</f>
        <v/>
      </c>
      <c r="AU45" s="88" t="str">
        <f>IF(全车数据表!BP46="","",全车数据表!BP46)</f>
        <v/>
      </c>
      <c r="AV45" s="88" t="str">
        <f>IF(全车数据表!BQ46="","",全车数据表!BQ46)</f>
        <v>2款</v>
      </c>
      <c r="AW45" s="88" t="str">
        <f>IF(全车数据表!BR46="","",全车数据表!BR46)</f>
        <v/>
      </c>
      <c r="AX45" s="88" t="str">
        <f>IF(全车数据表!BS46="","",全车数据表!BS46)</f>
        <v/>
      </c>
      <c r="AY45" s="88" t="str">
        <f>IF(全车数据表!BT46="","",全车数据表!BT46)</f>
        <v/>
      </c>
      <c r="AZ45" s="88">
        <f>IF(全车数据表!BU46="","",全车数据表!BU46)</f>
        <v>1</v>
      </c>
      <c r="BA45" s="88" t="str">
        <f>IF(全车数据表!BV46="","",全车数据表!BV46)</f>
        <v>大野马 福特 阿巴</v>
      </c>
      <c r="BB45" s="91" t="str">
        <f>IF(全车数据表!AZ46="","",全车数据表!AZ46)</f>
        <v/>
      </c>
    </row>
    <row r="46" spans="1:54">
      <c r="A46" s="88">
        <f>全车数据表!A47</f>
        <v>45</v>
      </c>
      <c r="B46" s="88" t="str">
        <f>全车数据表!B47</f>
        <v>Renault TreZor</v>
      </c>
      <c r="C46" s="89" t="str">
        <f>全车数据表!E47</f>
        <v>trezor</v>
      </c>
      <c r="D46" s="88" t="str">
        <f>IF(全车数据表!D47="","",全车数据表!D47)</f>
        <v>Renault</v>
      </c>
      <c r="E46" s="89" t="str">
        <f>全车数据表!H47</f>
        <v>3.1</v>
      </c>
      <c r="F46" s="89" t="str">
        <f>全车数据表!C47</f>
        <v>TreZor</v>
      </c>
      <c r="G46" s="89" t="str">
        <f>全车数据表!F47</f>
        <v>C</v>
      </c>
      <c r="H46" s="88">
        <f>LEN(全车数据表!G47)</f>
        <v>4</v>
      </c>
      <c r="I46" s="88" t="str">
        <f>VLOOKUP(全车数据表!P47,辅助计算!A:B,2,FALSE)</f>
        <v>rare</v>
      </c>
      <c r="J46" s="88">
        <f>全车数据表!Q47</f>
        <v>50</v>
      </c>
      <c r="K46" s="88">
        <f>全车数据表!R47</f>
        <v>29</v>
      </c>
      <c r="L46" s="88">
        <f>全车数据表!S47</f>
        <v>38</v>
      </c>
      <c r="M46" s="88">
        <f>全车数据表!T47</f>
        <v>48</v>
      </c>
      <c r="N46" s="88">
        <f>全车数据表!U47</f>
        <v>0</v>
      </c>
      <c r="O46" s="88">
        <f>全车数据表!V47</f>
        <v>0</v>
      </c>
      <c r="P46" s="88">
        <f>全车数据表!J47</f>
        <v>2646</v>
      </c>
      <c r="Q46" s="88">
        <f>全车数据表!K47</f>
        <v>306</v>
      </c>
      <c r="R46" s="88">
        <f>全车数据表!L47</f>
        <v>78.42</v>
      </c>
      <c r="S46" s="88">
        <f>全车数据表!M47</f>
        <v>63.39</v>
      </c>
      <c r="T46" s="88">
        <f>全车数据表!N47</f>
        <v>67.48</v>
      </c>
      <c r="U46" s="88">
        <f>全车数据表!O47</f>
        <v>0</v>
      </c>
      <c r="V46" s="88">
        <f>全车数据表!AL47</f>
        <v>972000</v>
      </c>
      <c r="W46" s="88">
        <f>全车数据表!AM47</f>
        <v>12500</v>
      </c>
      <c r="X46" s="88">
        <f>全车数据表!AU47</f>
        <v>900000</v>
      </c>
      <c r="Y46" s="88">
        <f>全车数据表!AV47</f>
        <v>0</v>
      </c>
      <c r="Z46" s="88">
        <f>全车数据表!AN47</f>
        <v>6</v>
      </c>
      <c r="AA46" s="88">
        <f>全车数据表!AP47</f>
        <v>3</v>
      </c>
      <c r="AB46" s="88">
        <f>全车数据表!AR47</f>
        <v>1</v>
      </c>
      <c r="AC46" s="88">
        <f>全车数据表!AW47</f>
        <v>307</v>
      </c>
      <c r="AD46" s="88">
        <f>全车数据表!AX47</f>
        <v>0</v>
      </c>
      <c r="AE46" s="88">
        <f>全车数据表!AY47</f>
        <v>392</v>
      </c>
      <c r="AF46" s="88" t="str">
        <f>IF(全车数据表!BA47="","",全车数据表!BA47)</f>
        <v>通行证</v>
      </c>
      <c r="AG46" s="88" t="str">
        <f>IF(全车数据表!BB47="","",全车数据表!BB47)</f>
        <v/>
      </c>
      <c r="AH46" s="88" t="str">
        <f>IF(全车数据表!BC47="","",全车数据表!BC47)</f>
        <v/>
      </c>
      <c r="AI46" s="88" t="str">
        <f>IF(全车数据表!BD47="","",全车数据表!BD47)</f>
        <v/>
      </c>
      <c r="AJ46" s="88" t="str">
        <f>IF(全车数据表!BE47="","",全车数据表!BE47)</f>
        <v/>
      </c>
      <c r="AK46" s="88" t="str">
        <f>IF(全车数据表!BF47="","",全车数据表!BF47)</f>
        <v/>
      </c>
      <c r="AL46" s="88" t="str">
        <f>IF(全车数据表!BG47="","",全车数据表!BG47)</f>
        <v/>
      </c>
      <c r="AM46" s="88">
        <f>IF(全车数据表!BH47="","",全车数据表!BH47)</f>
        <v>1</v>
      </c>
      <c r="AN46" s="88" t="str">
        <f>IF(全车数据表!BI47="","",全车数据表!BI47)</f>
        <v/>
      </c>
      <c r="AO46" s="88" t="str">
        <f>IF(全车数据表!BJ47="","",全车数据表!BJ47)</f>
        <v/>
      </c>
      <c r="AP46" s="88" t="str">
        <f>IF(全车数据表!BK47="","",全车数据表!BK47)</f>
        <v/>
      </c>
      <c r="AQ46" s="88" t="str">
        <f>IF(全车数据表!BL47="","",全车数据表!BL47)</f>
        <v/>
      </c>
      <c r="AR46" s="88" t="str">
        <f>IF(全车数据表!BM47="","",全车数据表!BM47)</f>
        <v/>
      </c>
      <c r="AS46" s="88" t="str">
        <f>IF(全车数据表!BN47="","",全车数据表!BN47)</f>
        <v/>
      </c>
      <c r="AT46" s="88" t="str">
        <f>IF(全车数据表!BO47="","",全车数据表!BO47)</f>
        <v/>
      </c>
      <c r="AU46" s="88" t="str">
        <f>IF(全车数据表!BP47="","",全车数据表!BP47)</f>
        <v/>
      </c>
      <c r="AV46" s="88" t="str">
        <f>IF(全车数据表!BQ47="","",全车数据表!BQ47)</f>
        <v>1款</v>
      </c>
      <c r="AW46" s="88" t="str">
        <f>IF(全车数据表!BR47="","",全车数据表!BR47)</f>
        <v/>
      </c>
      <c r="AX46" s="88" t="str">
        <f>IF(全车数据表!BS47="","",全车数据表!BS47)</f>
        <v/>
      </c>
      <c r="AY46" s="88" t="str">
        <f>IF(全车数据表!BT47="","",全车数据表!BT47)</f>
        <v/>
      </c>
      <c r="AZ46" s="88" t="str">
        <f>IF(全车数据表!BU47="","",全车数据表!BU47)</f>
        <v/>
      </c>
      <c r="BA46" s="88" t="str">
        <f>IF(全车数据表!BV47="","",全车数据表!BV47)</f>
        <v>雷诺 红头盔</v>
      </c>
      <c r="BB46" s="91" t="str">
        <f>IF(全车数据表!AZ47="","",全车数据表!AZ47)</f>
        <v/>
      </c>
    </row>
    <row r="47" spans="1:54">
      <c r="A47" s="88">
        <f>全车数据表!A48</f>
        <v>46</v>
      </c>
      <c r="B47" s="88" t="str">
        <f>全车数据表!B48</f>
        <v>Jaguar XKR-S GT</v>
      </c>
      <c r="C47" s="89" t="str">
        <f>全车数据表!E48</f>
        <v>xkr-s</v>
      </c>
      <c r="D47" s="88" t="str">
        <f>IF(全车数据表!D48="","",全车数据表!D48)</f>
        <v>Jaguar</v>
      </c>
      <c r="E47" s="89" t="str">
        <f>全车数据表!H48</f>
        <v>5.3</v>
      </c>
      <c r="F47" s="89" t="str">
        <f>全车数据表!C48</f>
        <v>XKR</v>
      </c>
      <c r="G47" s="89" t="str">
        <f>全车数据表!F48</f>
        <v>C</v>
      </c>
      <c r="H47" s="88">
        <f>LEN(全车数据表!G48)</f>
        <v>4</v>
      </c>
      <c r="I47" s="88" t="str">
        <f>VLOOKUP(全车数据表!P48,辅助计算!A:B,2,FALSE)</f>
        <v>rare</v>
      </c>
      <c r="J47" s="88">
        <f>全车数据表!Q48</f>
        <v>35</v>
      </c>
      <c r="K47" s="88">
        <f>全车数据表!R48</f>
        <v>38</v>
      </c>
      <c r="L47" s="88">
        <f>全车数据表!S48</f>
        <v>48</v>
      </c>
      <c r="M47" s="88">
        <f>全车数据表!T48</f>
        <v>58</v>
      </c>
      <c r="N47" s="88">
        <f>全车数据表!U48</f>
        <v>0</v>
      </c>
      <c r="O47" s="88">
        <f>全车数据表!V48</f>
        <v>0</v>
      </c>
      <c r="P47" s="88">
        <f>全车数据表!J48</f>
        <v>2700</v>
      </c>
      <c r="Q47" s="88">
        <f>全车数据表!K48</f>
        <v>321.2</v>
      </c>
      <c r="R47" s="88">
        <f>全车数据表!L48</f>
        <v>72.92</v>
      </c>
      <c r="S47" s="88">
        <f>全车数据表!M48</f>
        <v>52.08</v>
      </c>
      <c r="T47" s="88">
        <f>全车数据表!N48</f>
        <v>60.42</v>
      </c>
      <c r="U47" s="88">
        <f>全车数据表!O48</f>
        <v>0</v>
      </c>
      <c r="V47" s="88">
        <f>全车数据表!AL48</f>
        <v>3556000</v>
      </c>
      <c r="W47" s="88">
        <f>全车数据表!AM48</f>
        <v>0</v>
      </c>
      <c r="X47" s="88">
        <f>全车数据表!AU48</f>
        <v>0</v>
      </c>
      <c r="Y47" s="88">
        <f>全车数据表!AV48</f>
        <v>0</v>
      </c>
      <c r="Z47" s="88">
        <f>全车数据表!AN48</f>
        <v>0</v>
      </c>
      <c r="AA47" s="88">
        <f>全车数据表!AP48</f>
        <v>0</v>
      </c>
      <c r="AB47" s="88">
        <f>全车数据表!AR48</f>
        <v>0</v>
      </c>
      <c r="AC47" s="88">
        <f>全车数据表!AW48</f>
        <v>334</v>
      </c>
      <c r="AD47" s="88">
        <f>全车数据表!AX48</f>
        <v>0</v>
      </c>
      <c r="AE47" s="88">
        <f>全车数据表!AY48</f>
        <v>428</v>
      </c>
      <c r="AF47" s="88" t="str">
        <f>IF(全车数据表!BA48="","",全车数据表!BA48)</f>
        <v>联会赛事</v>
      </c>
      <c r="AG47" s="88" t="str">
        <f>IF(全车数据表!BB48="","",全车数据表!BB48)</f>
        <v/>
      </c>
      <c r="AH47" s="88" t="str">
        <f>IF(全车数据表!BC48="","",全车数据表!BC48)</f>
        <v/>
      </c>
      <c r="AI47" s="88" t="str">
        <f>IF(全车数据表!BD48="","",全车数据表!BD48)</f>
        <v/>
      </c>
      <c r="AJ47" s="88" t="str">
        <f>IF(全车数据表!BE48="","",全车数据表!BE48)</f>
        <v/>
      </c>
      <c r="AK47" s="88" t="str">
        <f>IF(全车数据表!BF48="","",全车数据表!BF48)</f>
        <v/>
      </c>
      <c r="AL47" s="88" t="str">
        <f>IF(全车数据表!BG48="","",全车数据表!BG48)</f>
        <v/>
      </c>
      <c r="AM47" s="88" t="str">
        <f>IF(全车数据表!BH48="","",全车数据表!BH48)</f>
        <v/>
      </c>
      <c r="AN47" s="88" t="str">
        <f>IF(全车数据表!BI48="","",全车数据表!BI48)</f>
        <v/>
      </c>
      <c r="AO47" s="88" t="str">
        <f>IF(全车数据表!BJ48="","",全车数据表!BJ48)</f>
        <v/>
      </c>
      <c r="AP47" s="88" t="str">
        <f>IF(全车数据表!BK48="","",全车数据表!BK48)</f>
        <v/>
      </c>
      <c r="AQ47" s="88" t="str">
        <f>IF(全车数据表!BL48="","",全车数据表!BL48)</f>
        <v/>
      </c>
      <c r="AR47" s="88" t="str">
        <f>IF(全车数据表!BM48="","",全车数据表!BM48)</f>
        <v/>
      </c>
      <c r="AS47" s="88" t="str">
        <f>IF(全车数据表!BN48="","",全车数据表!BN48)</f>
        <v/>
      </c>
      <c r="AT47" s="88" t="str">
        <f>IF(全车数据表!BO48="","",全车数据表!BO48)</f>
        <v/>
      </c>
      <c r="AU47" s="88" t="str">
        <f>IF(全车数据表!BP48="","",全车数据表!BP48)</f>
        <v/>
      </c>
      <c r="AV47" s="88" t="str">
        <f>IF(全车数据表!BQ48="","",全车数据表!BQ48)</f>
        <v/>
      </c>
      <c r="AW47" s="88" t="str">
        <f>IF(全车数据表!BR48="","",全车数据表!BR48)</f>
        <v/>
      </c>
      <c r="AX47" s="88" t="str">
        <f>IF(全车数据表!BS48="","",全车数据表!BS48)</f>
        <v/>
      </c>
      <c r="AY47" s="88" t="str">
        <f>IF(全车数据表!BT48="","",全车数据表!BT48)</f>
        <v/>
      </c>
      <c r="AZ47" s="88" t="str">
        <f>IF(全车数据表!BU48="","",全车数据表!BU48)</f>
        <v/>
      </c>
      <c r="BA47" s="88" t="str">
        <f>IF(全车数据表!BV48="","",全车数据表!BV48)</f>
        <v>捷豹</v>
      </c>
      <c r="BB47" s="91" t="str">
        <f>IF(全车数据表!AZ48="","",全车数据表!AZ48)</f>
        <v/>
      </c>
    </row>
    <row r="48" spans="1:54">
      <c r="A48" s="88">
        <f>全车数据表!A49</f>
        <v>47</v>
      </c>
      <c r="B48" s="88" t="str">
        <f>全车数据表!B49</f>
        <v>Porsche Taycan Turbo S</v>
      </c>
      <c r="C48" s="89" t="str">
        <f>全车数据表!E49</f>
        <v>taycan</v>
      </c>
      <c r="D48" s="88" t="str">
        <f>IF(全车数据表!D49="","",全车数据表!D49)</f>
        <v>Porsche</v>
      </c>
      <c r="E48" s="89" t="str">
        <f>全车数据表!H49</f>
        <v>2.3</v>
      </c>
      <c r="F48" s="89" t="str">
        <f>全车数据表!C49</f>
        <v>电蛙</v>
      </c>
      <c r="G48" s="89" t="str">
        <f>全车数据表!F49</f>
        <v>C</v>
      </c>
      <c r="H48" s="88">
        <f>LEN(全车数据表!G49)</f>
        <v>4</v>
      </c>
      <c r="I48" s="88" t="str">
        <f>VLOOKUP(全车数据表!P49,辅助计算!A:B,2,FALSE)</f>
        <v>uncm</v>
      </c>
      <c r="J48" s="88">
        <f>全车数据表!Q49</f>
        <v>35</v>
      </c>
      <c r="K48" s="88">
        <f>全车数据表!R49</f>
        <v>18</v>
      </c>
      <c r="L48" s="88">
        <f>全车数据表!S49</f>
        <v>21</v>
      </c>
      <c r="M48" s="88">
        <f>全车数据表!T49</f>
        <v>32</v>
      </c>
      <c r="N48" s="88">
        <f>全车数据表!U49</f>
        <v>0</v>
      </c>
      <c r="O48" s="88">
        <f>全车数据表!V49</f>
        <v>0</v>
      </c>
      <c r="P48" s="88">
        <f>全车数据表!J49</f>
        <v>2704</v>
      </c>
      <c r="Q48" s="88">
        <f>全车数据表!K49</f>
        <v>278.8</v>
      </c>
      <c r="R48" s="88">
        <f>全车数据表!L49</f>
        <v>83.66</v>
      </c>
      <c r="S48" s="88">
        <f>全车数据表!M49</f>
        <v>75.47</v>
      </c>
      <c r="T48" s="88">
        <f>全车数据表!N49</f>
        <v>56.94</v>
      </c>
      <c r="U48" s="88">
        <f>全车数据表!O49</f>
        <v>0</v>
      </c>
      <c r="V48" s="88">
        <f>全车数据表!AL49</f>
        <v>1840000</v>
      </c>
      <c r="W48" s="88">
        <f>全车数据表!AM49</f>
        <v>12500</v>
      </c>
      <c r="X48" s="88">
        <f>全车数据表!AU49</f>
        <v>900000</v>
      </c>
      <c r="Y48" s="88">
        <f>全车数据表!AV49</f>
        <v>2740000</v>
      </c>
      <c r="Z48" s="88">
        <f>全车数据表!AN49</f>
        <v>6</v>
      </c>
      <c r="AA48" s="88">
        <f>全车数据表!AP49</f>
        <v>3</v>
      </c>
      <c r="AB48" s="88">
        <f>全车数据表!AR49</f>
        <v>1</v>
      </c>
      <c r="AC48" s="88">
        <f>全车数据表!AW49</f>
        <v>291</v>
      </c>
      <c r="AD48" s="88">
        <f>全车数据表!AX49</f>
        <v>303</v>
      </c>
      <c r="AE48" s="88">
        <f>全车数据表!AY49</f>
        <v>386</v>
      </c>
      <c r="AF48" s="88" t="str">
        <f>IF(全车数据表!BA49="","",全车数据表!BA49)</f>
        <v>通行证</v>
      </c>
      <c r="AG48" s="88" t="str">
        <f>IF(全车数据表!BB49="","",全车数据表!BB49)</f>
        <v/>
      </c>
      <c r="AH48" s="88" t="str">
        <f>IF(全车数据表!BC49="","",全车数据表!BC49)</f>
        <v/>
      </c>
      <c r="AI48" s="88" t="str">
        <f>IF(全车数据表!BD49="","",全车数据表!BD49)</f>
        <v/>
      </c>
      <c r="AJ48" s="88" t="str">
        <f>IF(全车数据表!BE49="","",全车数据表!BE49)</f>
        <v/>
      </c>
      <c r="AK48" s="88" t="str">
        <f>IF(全车数据表!BF49="","",全车数据表!BF49)</f>
        <v/>
      </c>
      <c r="AL48" s="88" t="str">
        <f>IF(全车数据表!BG49="","",全车数据表!BG49)</f>
        <v/>
      </c>
      <c r="AM48" s="88">
        <f>IF(全车数据表!BH49="","",全车数据表!BH49)</f>
        <v>1</v>
      </c>
      <c r="AN48" s="88" t="str">
        <f>IF(全车数据表!BI49="","",全车数据表!BI49)</f>
        <v/>
      </c>
      <c r="AO48" s="88">
        <f>IF(全车数据表!BJ49="","",全车数据表!BJ49)</f>
        <v>1</v>
      </c>
      <c r="AP48" s="88" t="str">
        <f>IF(全车数据表!BK49="","",全车数据表!BK49)</f>
        <v/>
      </c>
      <c r="AQ48" s="88" t="str">
        <f>IF(全车数据表!BL49="","",全车数据表!BL49)</f>
        <v/>
      </c>
      <c r="AR48" s="88" t="str">
        <f>IF(全车数据表!BM49="","",全车数据表!BM49)</f>
        <v/>
      </c>
      <c r="AS48" s="88" t="str">
        <f>IF(全车数据表!BN49="","",全车数据表!BN49)</f>
        <v/>
      </c>
      <c r="AT48" s="88" t="str">
        <f>IF(全车数据表!BO49="","",全车数据表!BO49)</f>
        <v/>
      </c>
      <c r="AU48" s="88">
        <f>IF(全车数据表!BP49="","",全车数据表!BP49)</f>
        <v>1</v>
      </c>
      <c r="AV48" s="88" t="str">
        <f>IF(全车数据表!BQ49="","",全车数据表!BQ49)</f>
        <v>1款</v>
      </c>
      <c r="AW48" s="88" t="str">
        <f>IF(全车数据表!BR49="","",全车数据表!BR49)</f>
        <v/>
      </c>
      <c r="AX48" s="88" t="str">
        <f>IF(全车数据表!BS49="","",全车数据表!BS49)</f>
        <v/>
      </c>
      <c r="AY48" s="88" t="str">
        <f>IF(全车数据表!BT49="","",全车数据表!BT49)</f>
        <v/>
      </c>
      <c r="AZ48" s="88" t="str">
        <f>IF(全车数据表!BU49="","",全车数据表!BU49)</f>
        <v/>
      </c>
      <c r="BA48" s="88" t="str">
        <f>IF(全车数据表!BV49="","",全车数据表!BV49)</f>
        <v>保时捷</v>
      </c>
      <c r="BB48" s="91" t="str">
        <f>IF(全车数据表!AZ49="","",全车数据表!AZ49)</f>
        <v/>
      </c>
    </row>
    <row r="49" spans="1:54">
      <c r="A49" s="88">
        <f>全车数据表!A50</f>
        <v>48</v>
      </c>
      <c r="B49" s="88" t="str">
        <f>全车数据表!B50</f>
        <v>Aston Martin V12 Speedster</v>
      </c>
      <c r="C49" s="89" t="str">
        <f>全车数据表!E50</f>
        <v>v12</v>
      </c>
      <c r="D49" s="88" t="str">
        <f>IF(全车数据表!D50="","",全车数据表!D50)</f>
        <v>Aston Martin</v>
      </c>
      <c r="E49" s="89" t="str">
        <f>全车数据表!H50</f>
        <v>3.0</v>
      </c>
      <c r="F49" s="89" t="str">
        <f>全车数据表!C50</f>
        <v>V12</v>
      </c>
      <c r="G49" s="89" t="str">
        <f>全车数据表!F50</f>
        <v>C</v>
      </c>
      <c r="H49" s="88">
        <f>LEN(全车数据表!G50)</f>
        <v>4</v>
      </c>
      <c r="I49" s="88" t="str">
        <f>VLOOKUP(全车数据表!P50,辅助计算!A:B,2,FALSE)</f>
        <v>uncm</v>
      </c>
      <c r="J49" s="88">
        <f>全车数据表!Q50</f>
        <v>35</v>
      </c>
      <c r="K49" s="88">
        <f>全车数据表!R50</f>
        <v>30</v>
      </c>
      <c r="L49" s="88">
        <f>全车数据表!S50</f>
        <v>41</v>
      </c>
      <c r="M49" s="88">
        <f>全车数据表!T50</f>
        <v>48</v>
      </c>
      <c r="N49" s="88">
        <f>全车数据表!U50</f>
        <v>0</v>
      </c>
      <c r="O49" s="88">
        <f>全车数据表!V50</f>
        <v>0</v>
      </c>
      <c r="P49" s="88">
        <f>全车数据表!J50</f>
        <v>2733</v>
      </c>
      <c r="Q49" s="88">
        <f>全车数据表!K50</f>
        <v>312.89999999999998</v>
      </c>
      <c r="R49" s="88">
        <f>全车数据表!L50</f>
        <v>80.12</v>
      </c>
      <c r="S49" s="88">
        <f>全车数据表!M50</f>
        <v>57.27</v>
      </c>
      <c r="T49" s="88">
        <f>全车数据表!N50</f>
        <v>62.49</v>
      </c>
      <c r="U49" s="88">
        <f>全车数据表!O50</f>
        <v>0</v>
      </c>
      <c r="V49" s="88">
        <f>全车数据表!AL50</f>
        <v>1850200</v>
      </c>
      <c r="W49" s="88">
        <f>全车数据表!AM50</f>
        <v>12500</v>
      </c>
      <c r="X49" s="88">
        <f>全车数据表!AU50</f>
        <v>900000</v>
      </c>
      <c r="Y49" s="88">
        <f>全车数据表!AV50</f>
        <v>2750200</v>
      </c>
      <c r="Z49" s="88">
        <f>全车数据表!AN50</f>
        <v>6</v>
      </c>
      <c r="AA49" s="88">
        <f>全车数据表!AP50</f>
        <v>3</v>
      </c>
      <c r="AB49" s="88">
        <f>全车数据表!AR50</f>
        <v>1</v>
      </c>
      <c r="AC49" s="88">
        <f>全车数据表!AW50</f>
        <v>326</v>
      </c>
      <c r="AD49" s="88">
        <f>全车数据表!AX50</f>
        <v>0</v>
      </c>
      <c r="AE49" s="88">
        <f>全车数据表!AY50</f>
        <v>415</v>
      </c>
      <c r="AF49" s="88" t="str">
        <f>IF(全车数据表!BA50="","",全车数据表!BA50)</f>
        <v>联会赛事</v>
      </c>
      <c r="AG49" s="88" t="str">
        <f>IF(全车数据表!BB50="","",全车数据表!BB50)</f>
        <v/>
      </c>
      <c r="AH49" s="88" t="str">
        <f>IF(全车数据表!BC50="","",全车数据表!BC50)</f>
        <v/>
      </c>
      <c r="AI49" s="88" t="str">
        <f>IF(全车数据表!BD50="","",全车数据表!BD50)</f>
        <v/>
      </c>
      <c r="AJ49" s="88" t="str">
        <f>IF(全车数据表!BE50="","",全车数据表!BE50)</f>
        <v/>
      </c>
      <c r="AK49" s="88" t="str">
        <f>IF(全车数据表!BF50="","",全车数据表!BF50)</f>
        <v/>
      </c>
      <c r="AL49" s="88" t="str">
        <f>IF(全车数据表!BG50="","",全车数据表!BG50)</f>
        <v/>
      </c>
      <c r="AM49" s="88" t="str">
        <f>IF(全车数据表!BH50="","",全车数据表!BH50)</f>
        <v/>
      </c>
      <c r="AN49" s="88" t="str">
        <f>IF(全车数据表!BI50="","",全车数据表!BI50)</f>
        <v/>
      </c>
      <c r="AO49" s="88" t="str">
        <f>IF(全车数据表!BJ50="","",全车数据表!BJ50)</f>
        <v/>
      </c>
      <c r="AP49" s="88" t="str">
        <f>IF(全车数据表!BK50="","",全车数据表!BK50)</f>
        <v/>
      </c>
      <c r="AQ49" s="88" t="str">
        <f>IF(全车数据表!BL50="","",全车数据表!BL50)</f>
        <v/>
      </c>
      <c r="AR49" s="88" t="str">
        <f>IF(全车数据表!BM50="","",全车数据表!BM50)</f>
        <v/>
      </c>
      <c r="AS49" s="88">
        <f>IF(全车数据表!BN50="","",全车数据表!BN50)</f>
        <v>1</v>
      </c>
      <c r="AT49" s="88" t="str">
        <f>IF(全车数据表!BO50="","",全车数据表!BO50)</f>
        <v/>
      </c>
      <c r="AU49" s="88" t="str">
        <f>IF(全车数据表!BP50="","",全车数据表!BP50)</f>
        <v/>
      </c>
      <c r="AV49" s="88" t="str">
        <f>IF(全车数据表!BQ50="","",全车数据表!BQ50)</f>
        <v/>
      </c>
      <c r="AW49" s="88" t="str">
        <f>IF(全车数据表!BR50="","",全车数据表!BR50)</f>
        <v/>
      </c>
      <c r="AX49" s="88" t="str">
        <f>IF(全车数据表!BS50="","",全车数据表!BS50)</f>
        <v>无顶</v>
      </c>
      <c r="AY49" s="88" t="str">
        <f>IF(全车数据表!BT50="","",全车数据表!BT50)</f>
        <v/>
      </c>
      <c r="AZ49" s="88" t="str">
        <f>IF(全车数据表!BU50="","",全车数据表!BU50)</f>
        <v/>
      </c>
      <c r="BA49" s="88" t="str">
        <f>IF(全车数据表!BV50="","",全车数据表!BV50)</f>
        <v>阿斯顿马丁</v>
      </c>
      <c r="BB49" s="91" t="str">
        <f>IF(全车数据表!AZ50="","",全车数据表!AZ50)</f>
        <v/>
      </c>
    </row>
    <row r="50" spans="1:54">
      <c r="A50" s="88">
        <f>全车数据表!A51</f>
        <v>49</v>
      </c>
      <c r="B50" s="88" t="str">
        <f>全车数据表!B51</f>
        <v>Bentley Continental GT3🔑</v>
      </c>
      <c r="C50" s="89" t="str">
        <f>全车数据表!E51</f>
        <v>continental</v>
      </c>
      <c r="D50" s="88" t="str">
        <f>IF(全车数据表!D51="","",全车数据表!D51)</f>
        <v>Bentley</v>
      </c>
      <c r="E50" s="89" t="str">
        <f>全车数据表!H51</f>
        <v>2.5</v>
      </c>
      <c r="F50" s="89" t="str">
        <f>全车数据表!C51</f>
        <v>欧陆 GT3</v>
      </c>
      <c r="G50" s="89" t="str">
        <f>全车数据表!F51</f>
        <v>C</v>
      </c>
      <c r="H50" s="88">
        <f>LEN(全车数据表!G51)</f>
        <v>5</v>
      </c>
      <c r="I50" s="88" t="str">
        <f>VLOOKUP(全车数据表!P51,辅助计算!A:B,2,FALSE)</f>
        <v>uncm</v>
      </c>
      <c r="J50" s="88" t="str">
        <f>全车数据表!Q51</f>
        <v>🔑</v>
      </c>
      <c r="K50" s="88">
        <f>全车数据表!R51</f>
        <v>25</v>
      </c>
      <c r="L50" s="88">
        <f>全车数据表!S51</f>
        <v>30</v>
      </c>
      <c r="M50" s="88">
        <f>全车数据表!T51</f>
        <v>35</v>
      </c>
      <c r="N50" s="88">
        <f>全车数据表!U51</f>
        <v>40</v>
      </c>
      <c r="O50" s="88">
        <f>全车数据表!V51</f>
        <v>0</v>
      </c>
      <c r="P50" s="88">
        <f>全车数据表!J51</f>
        <v>2781</v>
      </c>
      <c r="Q50" s="88">
        <f>全车数据表!K51</f>
        <v>301.3</v>
      </c>
      <c r="R50" s="88">
        <f>全车数据表!L51</f>
        <v>74.78</v>
      </c>
      <c r="S50" s="88">
        <f>全车数据表!M51</f>
        <v>72.59</v>
      </c>
      <c r="T50" s="88">
        <f>全车数据表!N51</f>
        <v>44.04</v>
      </c>
      <c r="U50" s="88">
        <f>全车数据表!O51</f>
        <v>0</v>
      </c>
      <c r="V50" s="88">
        <f>全车数据表!AL51</f>
        <v>0</v>
      </c>
      <c r="W50" s="88">
        <f>全车数据表!AM51</f>
        <v>12500</v>
      </c>
      <c r="X50" s="88">
        <f>全车数据表!AU51</f>
        <v>1450000</v>
      </c>
      <c r="Y50" s="88">
        <f>全车数据表!AV51</f>
        <v>0</v>
      </c>
      <c r="Z50" s="88">
        <f>全车数据表!AN51</f>
        <v>9</v>
      </c>
      <c r="AA50" s="88">
        <f>全车数据表!AP51</f>
        <v>4</v>
      </c>
      <c r="AB50" s="88">
        <f>全车数据表!AR51</f>
        <v>2</v>
      </c>
      <c r="AC50" s="88">
        <f>全车数据表!AW51</f>
        <v>314</v>
      </c>
      <c r="AD50" s="88">
        <f>全车数据表!AX51</f>
        <v>0</v>
      </c>
      <c r="AE50" s="88">
        <f>全车数据表!AY51</f>
        <v>402</v>
      </c>
      <c r="AF50" s="88" t="str">
        <f>IF(全车数据表!BA51="","",全车数据表!BA51)</f>
        <v>大奖赛</v>
      </c>
      <c r="AG50" s="88" t="str">
        <f>IF(全车数据表!BB51="","",全车数据表!BB51)</f>
        <v/>
      </c>
      <c r="AH50" s="88" t="str">
        <f>IF(全车数据表!BC51="","",全车数据表!BC51)</f>
        <v/>
      </c>
      <c r="AI50" s="88" t="str">
        <f>IF(全车数据表!BD51="","",全车数据表!BD51)</f>
        <v/>
      </c>
      <c r="AJ50" s="88" t="str">
        <f>IF(全车数据表!BE51="","",全车数据表!BE51)</f>
        <v/>
      </c>
      <c r="AK50" s="88" t="str">
        <f>IF(全车数据表!BF51="","",全车数据表!BF51)</f>
        <v/>
      </c>
      <c r="AL50" s="88">
        <f>IF(全车数据表!BG51="","",全车数据表!BG51)</f>
        <v>1</v>
      </c>
      <c r="AM50" s="88" t="str">
        <f>IF(全车数据表!BH51="","",全车数据表!BH51)</f>
        <v/>
      </c>
      <c r="AN50" s="88" t="str">
        <f>IF(全车数据表!BI51="","",全车数据表!BI51)</f>
        <v/>
      </c>
      <c r="AO50" s="88" t="str">
        <f>IF(全车数据表!BJ51="","",全车数据表!BJ51)</f>
        <v/>
      </c>
      <c r="AP50" s="88" t="str">
        <f>IF(全车数据表!BK51="","",全车数据表!BK51)</f>
        <v/>
      </c>
      <c r="AQ50" s="88" t="str">
        <f>IF(全车数据表!BL51="","",全车数据表!BL51)</f>
        <v/>
      </c>
      <c r="AR50" s="88">
        <f>IF(全车数据表!BM51="","",全车数据表!BM51)</f>
        <v>1</v>
      </c>
      <c r="AS50" s="88" t="str">
        <f>IF(全车数据表!BN51="","",全车数据表!BN51)</f>
        <v/>
      </c>
      <c r="AT50" s="88">
        <f>IF(全车数据表!BO51="","",全车数据表!BO51)</f>
        <v>1</v>
      </c>
      <c r="AU50" s="88">
        <f>IF(全车数据表!BP51="","",全车数据表!BP51)</f>
        <v>1</v>
      </c>
      <c r="AV50" s="88" t="str">
        <f>IF(全车数据表!BQ51="","",全车数据表!BQ51)</f>
        <v/>
      </c>
      <c r="AW50" s="88" t="str">
        <f>IF(全车数据表!BR51="","",全车数据表!BR51)</f>
        <v/>
      </c>
      <c r="AX50" s="88" t="str">
        <f>IF(全车数据表!BS51="","",全车数据表!BS51)</f>
        <v/>
      </c>
      <c r="AY50" s="88" t="str">
        <f>IF(全车数据表!BT51="","",全车数据表!BT51)</f>
        <v/>
      </c>
      <c r="AZ50" s="88" t="str">
        <f>IF(全车数据表!BU51="","",全车数据表!BU51)</f>
        <v/>
      </c>
      <c r="BA50" s="88" t="str">
        <f>IF(全车数据表!BV51="","",全车数据表!BV51)</f>
        <v>宾利</v>
      </c>
      <c r="BB50" s="91" t="str">
        <f>IF(全车数据表!AZ51="","",全车数据表!AZ51)</f>
        <v/>
      </c>
    </row>
    <row r="51" spans="1:54">
      <c r="A51" s="88">
        <f>全车数据表!A52</f>
        <v>50</v>
      </c>
      <c r="B51" s="88" t="str">
        <f>全车数据表!B52</f>
        <v>Citroën DS Survolt</v>
      </c>
      <c r="C51" s="89" t="str">
        <f>全车数据表!E52</f>
        <v>citroën_ds_survolt</v>
      </c>
      <c r="D51" s="88" t="str">
        <f>IF(全车数据表!D52="","",全车数据表!D52)</f>
        <v>Citroën</v>
      </c>
      <c r="E51" s="89" t="str">
        <f>全车数据表!H52</f>
        <v>5.7</v>
      </c>
      <c r="F51" s="89" t="str">
        <f>全车数据表!C52</f>
        <v>DS龙</v>
      </c>
      <c r="G51" s="89" t="str">
        <f>全车数据表!F52</f>
        <v>C</v>
      </c>
      <c r="H51" s="88">
        <f>LEN(全车数据表!G52)</f>
        <v>4</v>
      </c>
      <c r="I51" s="88" t="str">
        <f>VLOOKUP(全车数据表!P52,辅助计算!A:B,2,FALSE)</f>
        <v>rare</v>
      </c>
      <c r="J51" s="88">
        <f>全车数据表!Q52</f>
        <v>35</v>
      </c>
      <c r="K51" s="88">
        <f>全车数据表!R52</f>
        <v>38</v>
      </c>
      <c r="L51" s="88">
        <f>全车数据表!S52</f>
        <v>48</v>
      </c>
      <c r="M51" s="88">
        <f>全车数据表!T52</f>
        <v>58</v>
      </c>
      <c r="N51" s="88">
        <f>全车数据表!U52</f>
        <v>0</v>
      </c>
      <c r="O51" s="88">
        <f>全车数据表!V52</f>
        <v>0</v>
      </c>
      <c r="P51" s="88">
        <f>全车数据表!J52</f>
        <v>2796</v>
      </c>
      <c r="Q51" s="88">
        <f>全车数据表!K52</f>
        <v>291.39999999999998</v>
      </c>
      <c r="R51" s="88">
        <f>全车数据表!L52</f>
        <v>81.819999999999993</v>
      </c>
      <c r="S51" s="88">
        <f>全车数据表!M52</f>
        <v>81.42</v>
      </c>
      <c r="T51" s="88">
        <f>全车数据表!N52</f>
        <v>64.56</v>
      </c>
      <c r="U51" s="88">
        <f>全车数据表!O52</f>
        <v>0</v>
      </c>
      <c r="V51" s="88">
        <f>全车数据表!AL52</f>
        <v>0</v>
      </c>
      <c r="W51" s="88">
        <f>全车数据表!AM52</f>
        <v>18750</v>
      </c>
      <c r="X51" s="88">
        <f>全车数据表!AU52</f>
        <v>0</v>
      </c>
      <c r="Y51" s="88">
        <f>全车数据表!AV52</f>
        <v>0</v>
      </c>
      <c r="Z51" s="88">
        <f>全车数据表!AN52</f>
        <v>6</v>
      </c>
      <c r="AA51" s="88">
        <f>全车数据表!AP52</f>
        <v>3</v>
      </c>
      <c r="AB51" s="88">
        <f>全车数据表!AR52</f>
        <v>1</v>
      </c>
      <c r="AC51" s="88">
        <f>全车数据表!AW52</f>
        <v>304</v>
      </c>
      <c r="AD51" s="88">
        <f>全车数据表!AX52</f>
        <v>329</v>
      </c>
      <c r="AE51" s="88">
        <f>全车数据表!AY52</f>
        <v>415</v>
      </c>
      <c r="AF51" s="88" t="str">
        <f>IF(全车数据表!BA52="","",全车数据表!BA52)</f>
        <v>联会赛事</v>
      </c>
      <c r="AG51" s="88" t="str">
        <f>IF(全车数据表!BB52="","",全车数据表!BB52)</f>
        <v/>
      </c>
      <c r="AH51" s="88" t="str">
        <f>IF(全车数据表!BC52="","",全车数据表!BC52)</f>
        <v/>
      </c>
      <c r="AI51" s="88" t="str">
        <f>IF(全车数据表!BD52="","",全车数据表!BD52)</f>
        <v/>
      </c>
      <c r="AJ51" s="88" t="str">
        <f>IF(全车数据表!BE52="","",全车数据表!BE52)</f>
        <v/>
      </c>
      <c r="AK51" s="88" t="str">
        <f>IF(全车数据表!BF52="","",全车数据表!BF52)</f>
        <v/>
      </c>
      <c r="AL51" s="88" t="str">
        <f>IF(全车数据表!BG52="","",全车数据表!BG52)</f>
        <v/>
      </c>
      <c r="AM51" s="88" t="str">
        <f>IF(全车数据表!BH52="","",全车数据表!BH52)</f>
        <v/>
      </c>
      <c r="AN51" s="88" t="str">
        <f>IF(全车数据表!BI52="","",全车数据表!BI52)</f>
        <v/>
      </c>
      <c r="AO51" s="88" t="str">
        <f>IF(全车数据表!BJ52="","",全车数据表!BJ52)</f>
        <v/>
      </c>
      <c r="AP51" s="88" t="str">
        <f>IF(全车数据表!BK52="","",全车数据表!BK52)</f>
        <v/>
      </c>
      <c r="AQ51" s="88" t="str">
        <f>IF(全车数据表!BL52="","",全车数据表!BL52)</f>
        <v/>
      </c>
      <c r="AR51" s="88" t="str">
        <f>IF(全车数据表!BM52="","",全车数据表!BM52)</f>
        <v/>
      </c>
      <c r="AS51" s="88" t="str">
        <f>IF(全车数据表!BN52="","",全车数据表!BN52)</f>
        <v/>
      </c>
      <c r="AT51" s="88" t="str">
        <f>IF(全车数据表!BO52="","",全车数据表!BO52)</f>
        <v/>
      </c>
      <c r="AU51" s="88" t="str">
        <f>IF(全车数据表!BP52="","",全车数据表!BP52)</f>
        <v/>
      </c>
      <c r="AV51" s="88" t="str">
        <f>IF(全车数据表!BQ52="","",全车数据表!BQ52)</f>
        <v/>
      </c>
      <c r="AW51" s="88" t="str">
        <f>IF(全车数据表!BR52="","",全车数据表!BR52)</f>
        <v/>
      </c>
      <c r="AX51" s="88" t="str">
        <f>IF(全车数据表!BS52="","",全车数据表!BS52)</f>
        <v/>
      </c>
      <c r="AY51" s="88" t="str">
        <f>IF(全车数据表!BT52="","",全车数据表!BT52)</f>
        <v/>
      </c>
      <c r="AZ51" s="88" t="str">
        <f>IF(全车数据表!BU52="","",全车数据表!BU52)</f>
        <v/>
      </c>
      <c r="BA51" s="88" t="str">
        <f>IF(全车数据表!BV52="","",全车数据表!BV52)</f>
        <v/>
      </c>
      <c r="BB51" s="91" t="str">
        <f>IF(全车数据表!AZ52="","",全车数据表!AZ52)</f>
        <v/>
      </c>
    </row>
    <row r="52" spans="1:54">
      <c r="A52" s="88">
        <f>全车数据表!A53</f>
        <v>51</v>
      </c>
      <c r="B52" s="88" t="str">
        <f>全车数据表!B53</f>
        <v>Chevrolet Corvette C7.R🔑</v>
      </c>
      <c r="C52" s="89" t="str">
        <f>全车数据表!E53</f>
        <v>c7r</v>
      </c>
      <c r="D52" s="88" t="str">
        <f>IF(全车数据表!D53="","",全车数据表!D53)</f>
        <v>Chevrolet Corvette</v>
      </c>
      <c r="E52" s="89" t="str">
        <f>全车数据表!H53</f>
        <v>2.7</v>
      </c>
      <c r="F52" s="89" t="str">
        <f>全车数据表!C53</f>
        <v>C7R</v>
      </c>
      <c r="G52" s="89" t="str">
        <f>全车数据表!F53</f>
        <v>C</v>
      </c>
      <c r="H52" s="88">
        <f>LEN(全车数据表!G53)</f>
        <v>5</v>
      </c>
      <c r="I52" s="88" t="str">
        <f>VLOOKUP(全车数据表!P53,辅助计算!A:B,2,FALSE)</f>
        <v>uncm</v>
      </c>
      <c r="J52" s="88" t="str">
        <f>全车数据表!Q53</f>
        <v>🔑</v>
      </c>
      <c r="K52" s="88">
        <f>全车数据表!R53</f>
        <v>30</v>
      </c>
      <c r="L52" s="88">
        <f>全车数据表!S53</f>
        <v>38</v>
      </c>
      <c r="M52" s="88">
        <f>全车数据表!T53</f>
        <v>43</v>
      </c>
      <c r="N52" s="88">
        <f>全车数据表!U53</f>
        <v>48</v>
      </c>
      <c r="O52" s="88">
        <f>全车数据表!V53</f>
        <v>0</v>
      </c>
      <c r="P52" s="88">
        <f>全车数据表!J53</f>
        <v>2836</v>
      </c>
      <c r="Q52" s="88">
        <f>全车数据表!K53</f>
        <v>303.60000000000002</v>
      </c>
      <c r="R52" s="88">
        <f>全车数据表!L53</f>
        <v>80.569999999999993</v>
      </c>
      <c r="S52" s="88">
        <f>全车数据表!M53</f>
        <v>47.14</v>
      </c>
      <c r="T52" s="88">
        <f>全车数据表!N53</f>
        <v>57.23</v>
      </c>
      <c r="U52" s="88">
        <f>全车数据表!O53</f>
        <v>0</v>
      </c>
      <c r="V52" s="88">
        <f>全车数据表!AL53</f>
        <v>2278000</v>
      </c>
      <c r="W52" s="88">
        <f>全车数据表!AM53</f>
        <v>15000</v>
      </c>
      <c r="X52" s="88">
        <f>全车数据表!AU53</f>
        <v>1740000</v>
      </c>
      <c r="Y52" s="88">
        <f>全车数据表!AV53</f>
        <v>4018000</v>
      </c>
      <c r="Z52" s="88">
        <f>全车数据表!AN53</f>
        <v>9</v>
      </c>
      <c r="AA52" s="88">
        <f>全车数据表!AP53</f>
        <v>4</v>
      </c>
      <c r="AB52" s="88">
        <f>全车数据表!AR53</f>
        <v>2</v>
      </c>
      <c r="AC52" s="88">
        <f>全车数据表!AW53</f>
        <v>316</v>
      </c>
      <c r="AD52" s="88">
        <f>全车数据表!AX53</f>
        <v>0</v>
      </c>
      <c r="AE52" s="88">
        <f>全车数据表!AY53</f>
        <v>404</v>
      </c>
      <c r="AF52" s="88" t="str">
        <f>IF(全车数据表!BA53="","",全车数据表!BA53)</f>
        <v>通行证</v>
      </c>
      <c r="AG52" s="88" t="str">
        <f>IF(全车数据表!BB53="","",全车数据表!BB53)</f>
        <v/>
      </c>
      <c r="AH52" s="88" t="str">
        <f>IF(全车数据表!BC53="","",全车数据表!BC53)</f>
        <v/>
      </c>
      <c r="AI52" s="88" t="str">
        <f>IF(全车数据表!BD53="","",全车数据表!BD53)</f>
        <v/>
      </c>
      <c r="AJ52" s="88" t="str">
        <f>IF(全车数据表!BE53="","",全车数据表!BE53)</f>
        <v/>
      </c>
      <c r="AK52" s="88" t="str">
        <f>IF(全车数据表!BF53="","",全车数据表!BF53)</f>
        <v/>
      </c>
      <c r="AL52" s="88">
        <f>IF(全车数据表!BG53="","",全车数据表!BG53)</f>
        <v>1</v>
      </c>
      <c r="AM52" s="88">
        <f>IF(全车数据表!BH53="","",全车数据表!BH53)</f>
        <v>1</v>
      </c>
      <c r="AN52" s="88" t="str">
        <f>IF(全车数据表!BI53="","",全车数据表!BI53)</f>
        <v/>
      </c>
      <c r="AO52" s="88">
        <f>IF(全车数据表!BJ53="","",全车数据表!BJ53)</f>
        <v>1</v>
      </c>
      <c r="AP52" s="88" t="str">
        <f>IF(全车数据表!BK53="","",全车数据表!BK53)</f>
        <v/>
      </c>
      <c r="AQ52" s="88" t="str">
        <f>IF(全车数据表!BL53="","",全车数据表!BL53)</f>
        <v/>
      </c>
      <c r="AR52" s="88" t="str">
        <f>IF(全车数据表!BM53="","",全车数据表!BM53)</f>
        <v/>
      </c>
      <c r="AS52" s="88" t="str">
        <f>IF(全车数据表!BN53="","",全车数据表!BN53)</f>
        <v/>
      </c>
      <c r="AT52" s="88">
        <f>IF(全车数据表!BO53="","",全车数据表!BO53)</f>
        <v>1</v>
      </c>
      <c r="AU52" s="88">
        <f>IF(全车数据表!BP53="","",全车数据表!BP53)</f>
        <v>1</v>
      </c>
      <c r="AV52" s="88" t="str">
        <f>IF(全车数据表!BQ53="","",全车数据表!BQ53)</f>
        <v>1款</v>
      </c>
      <c r="AW52" s="88" t="str">
        <f>IF(全车数据表!BR53="","",全车数据表!BR53)</f>
        <v/>
      </c>
      <c r="AX52" s="88" t="str">
        <f>IF(全车数据表!BS53="","",全车数据表!BS53)</f>
        <v/>
      </c>
      <c r="AY52" s="88" t="str">
        <f>IF(全车数据表!BT53="","",全车数据表!BT53)</f>
        <v/>
      </c>
      <c r="AZ52" s="88" t="str">
        <f>IF(全车数据表!BU53="","",全车数据表!BU53)</f>
        <v/>
      </c>
      <c r="BA52" s="88" t="str">
        <f>IF(全车数据表!BV53="","",全车数据表!BV53)</f>
        <v>雪佛兰 克尔维特</v>
      </c>
      <c r="BB52" s="91" t="str">
        <f>IF(全车数据表!AZ53="","",全车数据表!AZ53)</f>
        <v/>
      </c>
    </row>
    <row r="53" spans="1:54">
      <c r="A53" s="88">
        <f>全车数据表!A54</f>
        <v>52</v>
      </c>
      <c r="B53" s="88" t="str">
        <f>全车数据表!B54</f>
        <v>Ferrari F50</v>
      </c>
      <c r="C53" s="89" t="str">
        <f>全车数据表!E54</f>
        <v>f50</v>
      </c>
      <c r="D53" s="88" t="str">
        <f>IF(全车数据表!D54="","",全车数据表!D54)</f>
        <v>Ferrari</v>
      </c>
      <c r="E53" s="89" t="str">
        <f>全车数据表!H54</f>
        <v>4.0</v>
      </c>
      <c r="F53" s="89" t="str">
        <f>全车数据表!C54</f>
        <v>F50</v>
      </c>
      <c r="G53" s="89" t="str">
        <f>全车数据表!F54</f>
        <v>C</v>
      </c>
      <c r="H53" s="88">
        <f>LEN(全车数据表!G54)</f>
        <v>4</v>
      </c>
      <c r="I53" s="88" t="str">
        <f>VLOOKUP(全车数据表!P54,辅助计算!A:B,2,FALSE)</f>
        <v>rare</v>
      </c>
      <c r="J53" s="88">
        <f>全车数据表!Q54</f>
        <v>35</v>
      </c>
      <c r="K53" s="88">
        <f>全车数据表!R54</f>
        <v>38</v>
      </c>
      <c r="L53" s="88">
        <f>全车数据表!S54</f>
        <v>42</v>
      </c>
      <c r="M53" s="88">
        <f>全车数据表!T54</f>
        <v>48</v>
      </c>
      <c r="N53" s="88">
        <f>全车数据表!U54</f>
        <v>0</v>
      </c>
      <c r="O53" s="88">
        <f>全车数据表!V54</f>
        <v>0</v>
      </c>
      <c r="P53" s="88">
        <f>全车数据表!J54</f>
        <v>2838</v>
      </c>
      <c r="Q53" s="88">
        <f>全车数据表!K54</f>
        <v>338.8</v>
      </c>
      <c r="R53" s="88">
        <f>全车数据表!L54</f>
        <v>73.819999999999993</v>
      </c>
      <c r="S53" s="88">
        <f>全车数据表!M54</f>
        <v>57.63</v>
      </c>
      <c r="T53" s="88">
        <f>全车数据表!N54</f>
        <v>61.34</v>
      </c>
      <c r="U53" s="88">
        <f>全车数据表!O54</f>
        <v>6.25</v>
      </c>
      <c r="V53" s="88">
        <f>全车数据表!AL54</f>
        <v>3556000</v>
      </c>
      <c r="W53" s="88">
        <f>全车数据表!AM54</f>
        <v>21000</v>
      </c>
      <c r="X53" s="88">
        <f>全车数据表!AU54</f>
        <v>1512000</v>
      </c>
      <c r="Y53" s="88">
        <f>全车数据表!AV54</f>
        <v>5068000</v>
      </c>
      <c r="Z53" s="88">
        <f>全车数据表!AN54</f>
        <v>6</v>
      </c>
      <c r="AA53" s="88">
        <f>全车数据表!AP54</f>
        <v>3</v>
      </c>
      <c r="AB53" s="88">
        <f>全车数据表!AR54</f>
        <v>1</v>
      </c>
      <c r="AC53" s="88">
        <f>全车数据表!AW54</f>
        <v>353</v>
      </c>
      <c r="AD53" s="88">
        <f>全车数据表!AX54</f>
        <v>0</v>
      </c>
      <c r="AE53" s="88">
        <f>全车数据表!AY54</f>
        <v>459</v>
      </c>
      <c r="AF53" s="88" t="str">
        <f>IF(全车数据表!BA54="","",全车数据表!BA54)</f>
        <v>周末爆冲</v>
      </c>
      <c r="AG53" s="88" t="str">
        <f>IF(全车数据表!BB54="","",全车数据表!BB54)</f>
        <v/>
      </c>
      <c r="AH53" s="88" t="str">
        <f>IF(全车数据表!BC54="","",全车数据表!BC54)</f>
        <v/>
      </c>
      <c r="AI53" s="88" t="str">
        <f>IF(全车数据表!BD54="","",全车数据表!BD54)</f>
        <v/>
      </c>
      <c r="AJ53" s="88" t="str">
        <f>IF(全车数据表!BE54="","",全车数据表!BE54)</f>
        <v/>
      </c>
      <c r="AK53" s="88" t="str">
        <f>IF(全车数据表!BF54="","",全车数据表!BF54)</f>
        <v/>
      </c>
      <c r="AL53" s="88">
        <f>IF(全车数据表!BG54="","",全车数据表!BG54)</f>
        <v>1</v>
      </c>
      <c r="AM53" s="88" t="str">
        <f>IF(全车数据表!BH54="","",全车数据表!BH54)</f>
        <v/>
      </c>
      <c r="AN53" s="88" t="str">
        <f>IF(全车数据表!BI54="","",全车数据表!BI54)</f>
        <v/>
      </c>
      <c r="AO53" s="88" t="str">
        <f>IF(全车数据表!BJ54="","",全车数据表!BJ54)</f>
        <v/>
      </c>
      <c r="AP53" s="88" t="str">
        <f>IF(全车数据表!BK54="","",全车数据表!BK54)</f>
        <v/>
      </c>
      <c r="AQ53" s="88" t="str">
        <f>IF(全车数据表!BL54="","",全车数据表!BL54)</f>
        <v/>
      </c>
      <c r="AR53" s="88" t="str">
        <f>IF(全车数据表!BM54="","",全车数据表!BM54)</f>
        <v/>
      </c>
      <c r="AS53" s="88" t="str">
        <f>IF(全车数据表!BN54="","",全车数据表!BN54)</f>
        <v/>
      </c>
      <c r="AT53" s="88" t="str">
        <f>IF(全车数据表!BO54="","",全车数据表!BO54)</f>
        <v/>
      </c>
      <c r="AU53" s="88" t="str">
        <f>IF(全车数据表!BP54="","",全车数据表!BP54)</f>
        <v/>
      </c>
      <c r="AV53" s="88" t="str">
        <f>IF(全车数据表!BQ54="","",全车数据表!BQ54)</f>
        <v/>
      </c>
      <c r="AW53" s="88" t="str">
        <f>IF(全车数据表!BR54="","",全车数据表!BR54)</f>
        <v/>
      </c>
      <c r="AX53" s="88" t="str">
        <f>IF(全车数据表!BS54="","",全车数据表!BS54)</f>
        <v/>
      </c>
      <c r="AY53" s="88" t="str">
        <f>IF(全车数据表!BT54="","",全车数据表!BT54)</f>
        <v/>
      </c>
      <c r="AZ53" s="88" t="str">
        <f>IF(全车数据表!BU54="","",全车数据表!BU54)</f>
        <v/>
      </c>
      <c r="BA53" s="88" t="str">
        <f>IF(全车数据表!BV54="","",全车数据表!BV54)</f>
        <v/>
      </c>
      <c r="BB53" s="91" t="str">
        <f>IF(全车数据表!AZ54="","",全车数据表!AZ54)</f>
        <v/>
      </c>
    </row>
    <row r="54" spans="1:54">
      <c r="A54" s="88">
        <f>全车数据表!A55</f>
        <v>53</v>
      </c>
      <c r="B54" s="88" t="str">
        <f>全车数据表!B55</f>
        <v>Bolwell MK X Nagari 500</v>
      </c>
      <c r="C54" s="89" t="str">
        <f>全车数据表!E55</f>
        <v>mk500</v>
      </c>
      <c r="D54" s="88" t="str">
        <f>IF(全车数据表!D55="","",全车数据表!D55)</f>
        <v>Bolwell</v>
      </c>
      <c r="E54" s="89" t="str">
        <f>全车数据表!H55</f>
        <v>3.5</v>
      </c>
      <c r="F54" s="89" t="str">
        <f>全车数据表!C55</f>
        <v>MK500</v>
      </c>
      <c r="G54" s="89" t="str">
        <f>全车数据表!F55</f>
        <v>C</v>
      </c>
      <c r="H54" s="88">
        <f>LEN(全车数据表!G55)</f>
        <v>4</v>
      </c>
      <c r="I54" s="88" t="str">
        <f>VLOOKUP(全车数据表!P55,辅助计算!A:B,2,FALSE)</f>
        <v>rare</v>
      </c>
      <c r="J54" s="88">
        <f>全车数据表!Q55</f>
        <v>35</v>
      </c>
      <c r="K54" s="88">
        <f>全车数据表!R55</f>
        <v>30</v>
      </c>
      <c r="L54" s="88">
        <f>全车数据表!S55</f>
        <v>41</v>
      </c>
      <c r="M54" s="88">
        <f>全车数据表!T55</f>
        <v>48</v>
      </c>
      <c r="N54" s="88">
        <f>全车数据表!U55</f>
        <v>0</v>
      </c>
      <c r="O54" s="88">
        <f>全车数据表!V55</f>
        <v>0</v>
      </c>
      <c r="P54" s="88">
        <f>全车数据表!J55</f>
        <v>2854</v>
      </c>
      <c r="Q54" s="88">
        <f>全车数据表!K55</f>
        <v>314.5</v>
      </c>
      <c r="R54" s="88">
        <f>全车数据表!L55</f>
        <v>81.59</v>
      </c>
      <c r="S54" s="88">
        <f>全车数据表!M55</f>
        <v>65.86</v>
      </c>
      <c r="T54" s="88">
        <f>全车数据表!N55</f>
        <v>63.02</v>
      </c>
      <c r="U54" s="88">
        <f>全车数据表!O55</f>
        <v>0</v>
      </c>
      <c r="V54" s="88">
        <f>全车数据表!AL55</f>
        <v>2276800</v>
      </c>
      <c r="W54" s="88">
        <f>全车数据表!AM55</f>
        <v>15000</v>
      </c>
      <c r="X54" s="88">
        <f>全车数据表!AU55</f>
        <v>1080000</v>
      </c>
      <c r="Y54" s="88">
        <f>全车数据表!AV55</f>
        <v>3356800</v>
      </c>
      <c r="Z54" s="88">
        <f>全车数据表!AN55</f>
        <v>6</v>
      </c>
      <c r="AA54" s="88">
        <f>全车数据表!AP55</f>
        <v>3</v>
      </c>
      <c r="AB54" s="88">
        <f>全车数据表!AR55</f>
        <v>1</v>
      </c>
      <c r="AC54" s="88">
        <f>全车数据表!AW55</f>
        <v>327</v>
      </c>
      <c r="AD54" s="88">
        <f>全车数据表!AX55</f>
        <v>0</v>
      </c>
      <c r="AE54" s="88">
        <f>全车数据表!AY55</f>
        <v>417</v>
      </c>
      <c r="AF54" s="88" t="str">
        <f>IF(全车数据表!BA55="","",全车数据表!BA55)</f>
        <v>周末爆冲</v>
      </c>
      <c r="AG54" s="88" t="str">
        <f>IF(全车数据表!BB55="","",全车数据表!BB55)</f>
        <v/>
      </c>
      <c r="AH54" s="88" t="str">
        <f>IF(全车数据表!BC55="","",全车数据表!BC55)</f>
        <v/>
      </c>
      <c r="AI54" s="88" t="str">
        <f>IF(全车数据表!BD55="","",全车数据表!BD55)</f>
        <v/>
      </c>
      <c r="AJ54" s="88" t="str">
        <f>IF(全车数据表!BE55="","",全车数据表!BE55)</f>
        <v/>
      </c>
      <c r="AK54" s="88" t="str">
        <f>IF(全车数据表!BF55="","",全车数据表!BF55)</f>
        <v/>
      </c>
      <c r="AL54" s="88">
        <f>IF(全车数据表!BG55="","",全车数据表!BG55)</f>
        <v>1</v>
      </c>
      <c r="AM54" s="88" t="str">
        <f>IF(全车数据表!BH55="","",全车数据表!BH55)</f>
        <v/>
      </c>
      <c r="AN54" s="88" t="str">
        <f>IF(全车数据表!BI55="","",全车数据表!BI55)</f>
        <v/>
      </c>
      <c r="AO54" s="88" t="str">
        <f>IF(全车数据表!BJ55="","",全车数据表!BJ55)</f>
        <v/>
      </c>
      <c r="AP54" s="88" t="str">
        <f>IF(全车数据表!BK55="","",全车数据表!BK55)</f>
        <v/>
      </c>
      <c r="AQ54" s="88" t="str">
        <f>IF(全车数据表!BL55="","",全车数据表!BL55)</f>
        <v/>
      </c>
      <c r="AR54" s="88" t="str">
        <f>IF(全车数据表!BM55="","",全车数据表!BM55)</f>
        <v/>
      </c>
      <c r="AS54" s="88" t="str">
        <f>IF(全车数据表!BN55="","",全车数据表!BN55)</f>
        <v/>
      </c>
      <c r="AT54" s="88" t="str">
        <f>IF(全车数据表!BO55="","",全车数据表!BO55)</f>
        <v/>
      </c>
      <c r="AU54" s="88" t="str">
        <f>IF(全车数据表!BP55="","",全车数据表!BP55)</f>
        <v/>
      </c>
      <c r="AV54" s="88" t="str">
        <f>IF(全车数据表!BQ55="","",全车数据表!BQ55)</f>
        <v/>
      </c>
      <c r="AW54" s="88" t="str">
        <f>IF(全车数据表!BR55="","",全车数据表!BR55)</f>
        <v/>
      </c>
      <c r="AX54" s="88" t="str">
        <f>IF(全车数据表!BS55="","",全车数据表!BS55)</f>
        <v/>
      </c>
      <c r="AY54" s="88" t="str">
        <f>IF(全车数据表!BT55="","",全车数据表!BT55)</f>
        <v/>
      </c>
      <c r="AZ54" s="88" t="str">
        <f>IF(全车数据表!BU55="","",全车数据表!BU55)</f>
        <v/>
      </c>
      <c r="BA54" s="88" t="str">
        <f>IF(全车数据表!BV55="","",全车数据表!BV55)</f>
        <v/>
      </c>
      <c r="BB54" s="91" t="str">
        <f>IF(全车数据表!AZ55="","",全车数据表!AZ55)</f>
        <v/>
      </c>
    </row>
    <row r="55" spans="1:54">
      <c r="A55" s="88">
        <f>全车数据表!A56</f>
        <v>54</v>
      </c>
      <c r="B55" s="88" t="str">
        <f>全车数据表!B56</f>
        <v>Donkervoort D8 GTO Individual Series</v>
      </c>
      <c r="C55" s="89" t="str">
        <f>全车数据表!E56</f>
        <v>d8</v>
      </c>
      <c r="D55" s="88" t="str">
        <f>IF(全车数据表!D56="","",全车数据表!D56)</f>
        <v>Donkervoort</v>
      </c>
      <c r="E55" s="89" t="str">
        <f>全车数据表!H56</f>
        <v>4.0</v>
      </c>
      <c r="F55" s="89" t="str">
        <f>全车数据表!C56</f>
        <v>D8</v>
      </c>
      <c r="G55" s="89" t="str">
        <f>全车数据表!F56</f>
        <v>C</v>
      </c>
      <c r="H55" s="88">
        <f>LEN(全车数据表!G56)</f>
        <v>5</v>
      </c>
      <c r="I55" s="88" t="str">
        <f>VLOOKUP(全车数据表!P56,辅助计算!A:B,2,FALSE)</f>
        <v>rare</v>
      </c>
      <c r="J55" s="88">
        <f>全车数据表!Q56</f>
        <v>35</v>
      </c>
      <c r="K55" s="88">
        <f>全车数据表!R56</f>
        <v>35</v>
      </c>
      <c r="L55" s="88">
        <f>全车数据表!S56</f>
        <v>36</v>
      </c>
      <c r="M55" s="88">
        <f>全车数据表!T56</f>
        <v>38</v>
      </c>
      <c r="N55" s="88">
        <f>全车数据表!U56</f>
        <v>42</v>
      </c>
      <c r="O55" s="88">
        <f>全车数据表!V56</f>
        <v>0</v>
      </c>
      <c r="P55" s="88">
        <f>全车数据表!J56</f>
        <v>2991</v>
      </c>
      <c r="Q55" s="88">
        <f>全车数据表!K56</f>
        <v>306.8</v>
      </c>
      <c r="R55" s="88">
        <f>全车数据表!L56</f>
        <v>85.56</v>
      </c>
      <c r="S55" s="88">
        <f>全车数据表!M56</f>
        <v>86.91</v>
      </c>
      <c r="T55" s="88">
        <f>全车数据表!N56</f>
        <v>64</v>
      </c>
      <c r="U55" s="88">
        <f>全车数据表!O56</f>
        <v>0</v>
      </c>
      <c r="V55" s="88">
        <f>全车数据表!AL56</f>
        <v>4088000</v>
      </c>
      <c r="W55" s="88">
        <f>全车数据表!AM56</f>
        <v>30000</v>
      </c>
      <c r="X55" s="88">
        <f>全车数据表!AU56</f>
        <v>3480000</v>
      </c>
      <c r="Y55" s="88">
        <f>全车数据表!AV56</f>
        <v>7568000</v>
      </c>
      <c r="Z55" s="88">
        <f>全车数据表!AN56</f>
        <v>9</v>
      </c>
      <c r="AA55" s="88">
        <f>全车数据表!AP56</f>
        <v>4</v>
      </c>
      <c r="AB55" s="88">
        <f>全车数据表!AR56</f>
        <v>2</v>
      </c>
      <c r="AC55" s="88">
        <f>全车数据表!AW56</f>
        <v>320</v>
      </c>
      <c r="AD55" s="88">
        <f>全车数据表!AX56</f>
        <v>0</v>
      </c>
      <c r="AE55" s="88">
        <f>全车数据表!AY56</f>
        <v>408</v>
      </c>
      <c r="AF55" s="88" t="str">
        <f>IF(全车数据表!BA56="","",全车数据表!BA56)</f>
        <v>通行证</v>
      </c>
      <c r="AG55" s="88" t="str">
        <f>IF(全车数据表!BB56="","",全车数据表!BB56)</f>
        <v/>
      </c>
      <c r="AH55" s="88" t="str">
        <f>IF(全车数据表!BC56="","",全车数据表!BC56)</f>
        <v/>
      </c>
      <c r="AI55" s="88" t="str">
        <f>IF(全车数据表!BD56="","",全车数据表!BD56)</f>
        <v/>
      </c>
      <c r="AJ55" s="88">
        <f>IF(全车数据表!BE56="","",全车数据表!BE56)</f>
        <v>1</v>
      </c>
      <c r="AK55" s="88" t="str">
        <f>IF(全车数据表!BF56="","",全车数据表!BF56)</f>
        <v/>
      </c>
      <c r="AL55" s="88" t="str">
        <f>IF(全车数据表!BG56="","",全车数据表!BG56)</f>
        <v/>
      </c>
      <c r="AM55" s="88">
        <f>IF(全车数据表!BH56="","",全车数据表!BH56)</f>
        <v>1</v>
      </c>
      <c r="AN55" s="88" t="str">
        <f>IF(全车数据表!BI56="","",全车数据表!BI56)</f>
        <v/>
      </c>
      <c r="AO55" s="88" t="str">
        <f>IF(全车数据表!BJ56="","",全车数据表!BJ56)</f>
        <v/>
      </c>
      <c r="AP55" s="88" t="str">
        <f>IF(全车数据表!BK56="","",全车数据表!BK56)</f>
        <v/>
      </c>
      <c r="AQ55" s="88" t="str">
        <f>IF(全车数据表!BL56="","",全车数据表!BL56)</f>
        <v/>
      </c>
      <c r="AR55" s="88" t="str">
        <f>IF(全车数据表!BM56="","",全车数据表!BM56)</f>
        <v/>
      </c>
      <c r="AS55" s="88" t="str">
        <f>IF(全车数据表!BN56="","",全车数据表!BN56)</f>
        <v/>
      </c>
      <c r="AT55" s="88" t="str">
        <f>IF(全车数据表!BO56="","",全车数据表!BO56)</f>
        <v/>
      </c>
      <c r="AU55" s="88" t="str">
        <f>IF(全车数据表!BP56="","",全车数据表!BP56)</f>
        <v/>
      </c>
      <c r="AV55" s="88" t="str">
        <f>IF(全车数据表!BQ56="","",全车数据表!BQ56)</f>
        <v/>
      </c>
      <c r="AW55" s="88" t="str">
        <f>IF(全车数据表!BR56="","",全车数据表!BR56)</f>
        <v/>
      </c>
      <c r="AX55" s="88" t="str">
        <f>IF(全车数据表!BS56="","",全车数据表!BS56)</f>
        <v/>
      </c>
      <c r="AY55" s="88" t="str">
        <f>IF(全车数据表!BT56="","",全车数据表!BT56)</f>
        <v/>
      </c>
      <c r="AZ55" s="88">
        <f>IF(全车数据表!BU56="","",全车数据表!BU56)</f>
        <v>1</v>
      </c>
      <c r="BA55" s="88" t="str">
        <f>IF(全车数据表!BV56="","",全车数据表!BV56)</f>
        <v>拖拉机</v>
      </c>
      <c r="BB55" s="91" t="str">
        <f>IF(全车数据表!AZ56="","",全车数据表!AZ56)</f>
        <v/>
      </c>
    </row>
    <row r="56" spans="1:54">
      <c r="A56" s="88">
        <f>全车数据表!A57</f>
        <v>55</v>
      </c>
      <c r="B56" s="88" t="str">
        <f>全车数据表!B57</f>
        <v>Volkswagen Electric R🔑</v>
      </c>
      <c r="C56" s="89" t="str">
        <f>全车数据表!E57</f>
        <v>vwer</v>
      </c>
      <c r="D56" s="88" t="str">
        <f>IF(全车数据表!D57="","",全车数据表!D57)</f>
        <v>Volkswagen</v>
      </c>
      <c r="E56" s="89" t="str">
        <f>全车数据表!H57</f>
        <v>3.1</v>
      </c>
      <c r="F56" s="89" t="str">
        <f>全车数据表!C57</f>
        <v>大众电R</v>
      </c>
      <c r="G56" s="89" t="str">
        <f>全车数据表!F57</f>
        <v>C</v>
      </c>
      <c r="H56" s="88">
        <f>LEN(全车数据表!G57)</f>
        <v>5</v>
      </c>
      <c r="I56" s="88" t="str">
        <f>VLOOKUP(全车数据表!P57,辅助计算!A:B,2,FALSE)</f>
        <v>rare</v>
      </c>
      <c r="J56" s="88" t="str">
        <f>全车数据表!Q57</f>
        <v>🔑</v>
      </c>
      <c r="K56" s="88">
        <f>全车数据表!R57</f>
        <v>30</v>
      </c>
      <c r="L56" s="88">
        <f>全车数据表!S57</f>
        <v>38</v>
      </c>
      <c r="M56" s="88">
        <f>全车数据表!T57</f>
        <v>43</v>
      </c>
      <c r="N56" s="88">
        <f>全车数据表!U57</f>
        <v>48</v>
      </c>
      <c r="O56" s="88">
        <f>全车数据表!V57</f>
        <v>0</v>
      </c>
      <c r="P56" s="88">
        <f>全车数据表!J57</f>
        <v>3062</v>
      </c>
      <c r="Q56" s="88">
        <f>全车数据表!K57</f>
        <v>291.10000000000002</v>
      </c>
      <c r="R56" s="88">
        <f>全车数据表!L57</f>
        <v>88.6</v>
      </c>
      <c r="S56" s="88">
        <f>全车数据表!M57</f>
        <v>58.15</v>
      </c>
      <c r="T56" s="88">
        <f>全车数据表!N57</f>
        <v>68.06</v>
      </c>
      <c r="U56" s="88">
        <f>全车数据表!O57</f>
        <v>0</v>
      </c>
      <c r="V56" s="88">
        <f>全车数据表!AL57</f>
        <v>0</v>
      </c>
      <c r="W56" s="88">
        <f>全车数据表!AM57</f>
        <v>17500</v>
      </c>
      <c r="X56" s="88">
        <f>全车数据表!AU57</f>
        <v>2030000</v>
      </c>
      <c r="Y56" s="88">
        <f>全车数据表!AV57</f>
        <v>0</v>
      </c>
      <c r="Z56" s="88">
        <f>全车数据表!AN57</f>
        <v>9</v>
      </c>
      <c r="AA56" s="88">
        <f>全车数据表!AP57</f>
        <v>4</v>
      </c>
      <c r="AB56" s="88">
        <f>全车数据表!AR57</f>
        <v>2</v>
      </c>
      <c r="AC56" s="88">
        <f>全车数据表!AW57</f>
        <v>302</v>
      </c>
      <c r="AD56" s="88">
        <f>全车数据表!AX57</f>
        <v>0</v>
      </c>
      <c r="AE56" s="88">
        <f>全车数据表!AY57</f>
        <v>387</v>
      </c>
      <c r="AF56" s="88" t="str">
        <f>IF(全车数据表!BA57="","",全车数据表!BA57)</f>
        <v>大奖赛</v>
      </c>
      <c r="AG56" s="88" t="str">
        <f>IF(全车数据表!BB57="","",全车数据表!BB57)</f>
        <v/>
      </c>
      <c r="AH56" s="88" t="str">
        <f>IF(全车数据表!BC57="","",全车数据表!BC57)</f>
        <v/>
      </c>
      <c r="AI56" s="88" t="str">
        <f>IF(全车数据表!BD57="","",全车数据表!BD57)</f>
        <v/>
      </c>
      <c r="AJ56" s="88" t="str">
        <f>IF(全车数据表!BE57="","",全车数据表!BE57)</f>
        <v/>
      </c>
      <c r="AK56" s="88" t="str">
        <f>IF(全车数据表!BF57="","",全车数据表!BF57)</f>
        <v/>
      </c>
      <c r="AL56" s="88" t="str">
        <f>IF(全车数据表!BG57="","",全车数据表!BG57)</f>
        <v/>
      </c>
      <c r="AM56" s="88" t="str">
        <f>IF(全车数据表!BH57="","",全车数据表!BH57)</f>
        <v/>
      </c>
      <c r="AN56" s="88" t="str">
        <f>IF(全车数据表!BI57="","",全车数据表!BI57)</f>
        <v/>
      </c>
      <c r="AO56" s="88" t="str">
        <f>IF(全车数据表!BJ57="","",全车数据表!BJ57)</f>
        <v/>
      </c>
      <c r="AP56" s="88" t="str">
        <f>IF(全车数据表!BK57="","",全车数据表!BK57)</f>
        <v/>
      </c>
      <c r="AQ56" s="88" t="str">
        <f>IF(全车数据表!BL57="","",全车数据表!BL57)</f>
        <v/>
      </c>
      <c r="AR56" s="88">
        <f>IF(全车数据表!BM57="","",全车数据表!BM57)</f>
        <v>1</v>
      </c>
      <c r="AS56" s="88" t="str">
        <f>IF(全车数据表!BN57="","",全车数据表!BN57)</f>
        <v/>
      </c>
      <c r="AT56" s="88">
        <f>IF(全车数据表!BO57="","",全车数据表!BO57)</f>
        <v>1</v>
      </c>
      <c r="AU56" s="88">
        <f>IF(全车数据表!BP57="","",全车数据表!BP57)</f>
        <v>1</v>
      </c>
      <c r="AV56" s="88" t="str">
        <f>IF(全车数据表!BQ57="","",全车数据表!BQ57)</f>
        <v/>
      </c>
      <c r="AW56" s="88" t="str">
        <f>IF(全车数据表!BR57="","",全车数据表!BR57)</f>
        <v/>
      </c>
      <c r="AX56" s="88" t="str">
        <f>IF(全车数据表!BS57="","",全车数据表!BS57)</f>
        <v/>
      </c>
      <c r="AY56" s="88" t="str">
        <f>IF(全车数据表!BT57="","",全车数据表!BT57)</f>
        <v/>
      </c>
      <c r="AZ56" s="88" t="str">
        <f>IF(全车数据表!BU57="","",全车数据表!BU57)</f>
        <v/>
      </c>
      <c r="BA56" s="88" t="str">
        <f>IF(全车数据表!BV57="","",全车数据表!BV57)</f>
        <v>大众</v>
      </c>
      <c r="BB56" s="91" t="str">
        <f>IF(全车数据表!AZ57="","",全车数据表!AZ57)</f>
        <v/>
      </c>
    </row>
    <row r="57" spans="1:54">
      <c r="A57" s="88">
        <f>全车数据表!A58</f>
        <v>56</v>
      </c>
      <c r="B57" s="88" t="str">
        <f>全车数据表!B58</f>
        <v>Mercedes-Benz CLK-GTR</v>
      </c>
      <c r="C57" s="89" t="str">
        <f>全车数据表!E58</f>
        <v>clk</v>
      </c>
      <c r="D57" s="88" t="str">
        <f>IF(全车数据表!D58="","",全车数据表!D58)</f>
        <v>Mercedes-Benz</v>
      </c>
      <c r="E57" s="89" t="str">
        <f>全车数据表!H58</f>
        <v>4.2</v>
      </c>
      <c r="F57" s="89" t="str">
        <f>全车数据表!C58</f>
        <v>CLK GTR</v>
      </c>
      <c r="G57" s="89" t="str">
        <f>全车数据表!F58</f>
        <v>C</v>
      </c>
      <c r="H57" s="88">
        <f>LEN(全车数据表!G58)</f>
        <v>5</v>
      </c>
      <c r="I57" s="88" t="str">
        <f>VLOOKUP(全车数据表!P58,辅助计算!A:B,2,FALSE)</f>
        <v>rare</v>
      </c>
      <c r="J57" s="88">
        <f>全车数据表!Q58</f>
        <v>35</v>
      </c>
      <c r="K57" s="88">
        <f>全车数据表!R58</f>
        <v>35</v>
      </c>
      <c r="L57" s="88">
        <f>全车数据表!S58</f>
        <v>36</v>
      </c>
      <c r="M57" s="88">
        <f>全车数据表!T58</f>
        <v>38</v>
      </c>
      <c r="N57" s="88">
        <f>全车数据表!U58</f>
        <v>42</v>
      </c>
      <c r="O57" s="88">
        <f>全车数据表!V58</f>
        <v>0</v>
      </c>
      <c r="P57" s="88">
        <f>全车数据表!J58</f>
        <v>3083</v>
      </c>
      <c r="Q57" s="88">
        <f>全车数据表!K58</f>
        <v>332.7</v>
      </c>
      <c r="R57" s="88">
        <f>全车数据表!L58</f>
        <v>78.92</v>
      </c>
      <c r="S57" s="88">
        <f>全车数据表!M58</f>
        <v>70.489999999999995</v>
      </c>
      <c r="T57" s="88">
        <f>全车数据表!N58</f>
        <v>57.24</v>
      </c>
      <c r="U57" s="88">
        <f>全车数据表!O58</f>
        <v>0</v>
      </c>
      <c r="V57" s="88">
        <f>全车数据表!AL58</f>
        <v>4088000</v>
      </c>
      <c r="W57" s="88">
        <f>全车数据表!AM58</f>
        <v>28000</v>
      </c>
      <c r="X57" s="88">
        <f>全车数据表!AU58</f>
        <v>3248000</v>
      </c>
      <c r="Y57" s="88">
        <f>全车数据表!AV58</f>
        <v>7336000</v>
      </c>
      <c r="Z57" s="88">
        <f>全车数据表!AN58</f>
        <v>9</v>
      </c>
      <c r="AA57" s="88">
        <f>全车数据表!AP58</f>
        <v>4</v>
      </c>
      <c r="AB57" s="88">
        <f>全车数据表!AR58</f>
        <v>2</v>
      </c>
      <c r="AC57" s="88">
        <f>全车数据表!AW58</f>
        <v>346</v>
      </c>
      <c r="AD57" s="88">
        <f>全车数据表!AX58</f>
        <v>0</v>
      </c>
      <c r="AE57" s="88">
        <f>全车数据表!AY58</f>
        <v>448</v>
      </c>
      <c r="AF57" s="88" t="str">
        <f>IF(全车数据表!BA58="","",全车数据表!BA58)</f>
        <v>周末爆冲</v>
      </c>
      <c r="AG57" s="88" t="str">
        <f>IF(全车数据表!BB58="","",全车数据表!BB58)</f>
        <v/>
      </c>
      <c r="AH57" s="88" t="str">
        <f>IF(全车数据表!BC58="","",全车数据表!BC58)</f>
        <v/>
      </c>
      <c r="AI57" s="88" t="str">
        <f>IF(全车数据表!BD58="","",全车数据表!BD58)</f>
        <v/>
      </c>
      <c r="AJ57" s="88" t="str">
        <f>IF(全车数据表!BE58="","",全车数据表!BE58)</f>
        <v/>
      </c>
      <c r="AK57" s="88" t="str">
        <f>IF(全车数据表!BF58="","",全车数据表!BF58)</f>
        <v/>
      </c>
      <c r="AL57" s="88" t="str">
        <f>IF(全车数据表!BG58="","",全车数据表!BG58)</f>
        <v/>
      </c>
      <c r="AM57" s="88" t="str">
        <f>IF(全车数据表!BH58="","",全车数据表!BH58)</f>
        <v/>
      </c>
      <c r="AN57" s="88" t="str">
        <f>IF(全车数据表!BI58="","",全车数据表!BI58)</f>
        <v/>
      </c>
      <c r="AO57" s="88" t="str">
        <f>IF(全车数据表!BJ58="","",全车数据表!BJ58)</f>
        <v/>
      </c>
      <c r="AP57" s="88" t="str">
        <f>IF(全车数据表!BK58="","",全车数据表!BK58)</f>
        <v/>
      </c>
      <c r="AQ57" s="88" t="str">
        <f>IF(全车数据表!BL58="","",全车数据表!BL58)</f>
        <v/>
      </c>
      <c r="AR57" s="88" t="str">
        <f>IF(全车数据表!BM58="","",全车数据表!BM58)</f>
        <v/>
      </c>
      <c r="AS57" s="88" t="str">
        <f>IF(全车数据表!BN58="","",全车数据表!BN58)</f>
        <v/>
      </c>
      <c r="AT57" s="88" t="str">
        <f>IF(全车数据表!BO58="","",全车数据表!BO58)</f>
        <v/>
      </c>
      <c r="AU57" s="88" t="str">
        <f>IF(全车数据表!BP58="","",全车数据表!BP58)</f>
        <v/>
      </c>
      <c r="AV57" s="88" t="str">
        <f>IF(全车数据表!BQ58="","",全车数据表!BQ58)</f>
        <v/>
      </c>
      <c r="AW57" s="88" t="str">
        <f>IF(全车数据表!BR58="","",全车数据表!BR58)</f>
        <v/>
      </c>
      <c r="AX57" s="88" t="str">
        <f>IF(全车数据表!BS58="","",全车数据表!BS58)</f>
        <v/>
      </c>
      <c r="AY57" s="88" t="str">
        <f>IF(全车数据表!BT58="","",全车数据表!BT58)</f>
        <v/>
      </c>
      <c r="AZ57" s="88" t="str">
        <f>IF(全车数据表!BU58="","",全车数据表!BU58)</f>
        <v/>
      </c>
      <c r="BA57" s="88" t="str">
        <f>IF(全车数据表!BV58="","",全车数据表!BV58)</f>
        <v>梅赛德斯奔驰</v>
      </c>
      <c r="BB57" s="91" t="str">
        <f>IF(全车数据表!AZ58="","",全车数据表!AZ58)</f>
        <v/>
      </c>
    </row>
    <row r="58" spans="1:54">
      <c r="A58" s="88">
        <f>全车数据表!A59</f>
        <v>57</v>
      </c>
      <c r="B58" s="88" t="str">
        <f>全车数据表!B59</f>
        <v>Maserati MC12🔑</v>
      </c>
      <c r="C58" s="89" t="str">
        <f>全车数据表!E59</f>
        <v>mc12</v>
      </c>
      <c r="D58" s="88" t="str">
        <f>IF(全车数据表!D59="","",全车数据表!D59)</f>
        <v>Maserati</v>
      </c>
      <c r="E58" s="89" t="str">
        <f>全车数据表!H59</f>
        <v>4.1</v>
      </c>
      <c r="F58" s="89" t="str">
        <f>全车数据表!C59</f>
        <v>MC12</v>
      </c>
      <c r="G58" s="89" t="str">
        <f>全车数据表!F59</f>
        <v>C</v>
      </c>
      <c r="H58" s="88">
        <f>LEN(全车数据表!G59)</f>
        <v>5</v>
      </c>
      <c r="I58" s="88" t="str">
        <f>VLOOKUP(全车数据表!P59,辅助计算!A:B,2,FALSE)</f>
        <v>rare</v>
      </c>
      <c r="J58" s="88" t="str">
        <f>全车数据表!Q59</f>
        <v>🔑</v>
      </c>
      <c r="K58" s="88">
        <f>全车数据表!R59</f>
        <v>30</v>
      </c>
      <c r="L58" s="88">
        <f>全车数据表!S59</f>
        <v>38</v>
      </c>
      <c r="M58" s="88">
        <f>全车数据表!T59</f>
        <v>43</v>
      </c>
      <c r="N58" s="88">
        <f>全车数据表!U59</f>
        <v>48</v>
      </c>
      <c r="O58" s="88">
        <f>全车数据表!V59</f>
        <v>0</v>
      </c>
      <c r="P58" s="88">
        <f>全车数据表!J59</f>
        <v>3100</v>
      </c>
      <c r="Q58" s="88">
        <f>全车数据表!K59</f>
        <v>342.9</v>
      </c>
      <c r="R58" s="88">
        <f>全车数据表!L59</f>
        <v>76.48</v>
      </c>
      <c r="S58" s="88">
        <f>全车数据表!M59</f>
        <v>72.36</v>
      </c>
      <c r="T58" s="88">
        <f>全车数据表!N59</f>
        <v>38.94</v>
      </c>
      <c r="U58" s="88">
        <f>全车数据表!O59</f>
        <v>0</v>
      </c>
      <c r="V58" s="88">
        <f>全车数据表!AL59</f>
        <v>3312000</v>
      </c>
      <c r="W58" s="88">
        <f>全车数据表!AM59</f>
        <v>21000</v>
      </c>
      <c r="X58" s="88">
        <f>全车数据表!AU59</f>
        <v>2436000</v>
      </c>
      <c r="Y58" s="88">
        <f>全车数据表!AV59</f>
        <v>5748000</v>
      </c>
      <c r="Z58" s="88">
        <f>全车数据表!AN59</f>
        <v>9</v>
      </c>
      <c r="AA58" s="88">
        <f>全车数据表!AP59</f>
        <v>4</v>
      </c>
      <c r="AB58" s="88">
        <f>全车数据表!AR59</f>
        <v>2</v>
      </c>
      <c r="AC58" s="88">
        <f>全车数据表!AW59</f>
        <v>357</v>
      </c>
      <c r="AD58" s="88">
        <f>全车数据表!AX59</f>
        <v>0</v>
      </c>
      <c r="AE58" s="88">
        <f>全车数据表!AY59</f>
        <v>466</v>
      </c>
      <c r="AF58" s="88" t="str">
        <f>IF(全车数据表!BA59="","",全车数据表!BA59)</f>
        <v>大奖赛</v>
      </c>
      <c r="AG58" s="88" t="str">
        <f>IF(全车数据表!BB59="","",全车数据表!BB59)</f>
        <v/>
      </c>
      <c r="AH58" s="88" t="str">
        <f>IF(全车数据表!BC59="","",全车数据表!BC59)</f>
        <v/>
      </c>
      <c r="AI58" s="88" t="str">
        <f>IF(全车数据表!BD59="","",全车数据表!BD59)</f>
        <v/>
      </c>
      <c r="AJ58" s="88" t="str">
        <f>IF(全车数据表!BE59="","",全车数据表!BE59)</f>
        <v/>
      </c>
      <c r="AK58" s="88" t="str">
        <f>IF(全车数据表!BF59="","",全车数据表!BF59)</f>
        <v/>
      </c>
      <c r="AL58" s="88" t="str">
        <f>IF(全车数据表!BG59="","",全车数据表!BG59)</f>
        <v/>
      </c>
      <c r="AM58" s="88" t="str">
        <f>IF(全车数据表!BH59="","",全车数据表!BH59)</f>
        <v/>
      </c>
      <c r="AN58" s="88" t="str">
        <f>IF(全车数据表!BI59="","",全车数据表!BI59)</f>
        <v/>
      </c>
      <c r="AO58" s="88" t="str">
        <f>IF(全车数据表!BJ59="","",全车数据表!BJ59)</f>
        <v/>
      </c>
      <c r="AP58" s="88" t="str">
        <f>IF(全车数据表!BK59="","",全车数据表!BK59)</f>
        <v/>
      </c>
      <c r="AQ58" s="88" t="str">
        <f>IF(全车数据表!BL59="","",全车数据表!BL59)</f>
        <v/>
      </c>
      <c r="AR58" s="88">
        <f>IF(全车数据表!BM59="","",全车数据表!BM59)</f>
        <v>1</v>
      </c>
      <c r="AS58" s="88" t="str">
        <f>IF(全车数据表!BN59="","",全车数据表!BN59)</f>
        <v/>
      </c>
      <c r="AT58" s="88">
        <f>IF(全车数据表!BO59="","",全车数据表!BO59)</f>
        <v>1</v>
      </c>
      <c r="AU58" s="88" t="str">
        <f>IF(全车数据表!BP59="","",全车数据表!BP59)</f>
        <v/>
      </c>
      <c r="AV58" s="88" t="str">
        <f>IF(全车数据表!BQ59="","",全车数据表!BQ59)</f>
        <v/>
      </c>
      <c r="AW58" s="88" t="str">
        <f>IF(全车数据表!BR59="","",全车数据表!BR59)</f>
        <v/>
      </c>
      <c r="AX58" s="88" t="str">
        <f>IF(全车数据表!BS59="","",全车数据表!BS59)</f>
        <v/>
      </c>
      <c r="AY58" s="88" t="str">
        <f>IF(全车数据表!BT59="","",全车数据表!BT59)</f>
        <v/>
      </c>
      <c r="AZ58" s="88" t="str">
        <f>IF(全车数据表!BU59="","",全车数据表!BU59)</f>
        <v/>
      </c>
      <c r="BA58" s="88" t="str">
        <f>IF(全车数据表!BV59="","",全车数据表!BV59)</f>
        <v>玛莎拉蒂</v>
      </c>
      <c r="BB58" s="91" t="str">
        <f>IF(全车数据表!AZ59="","",全车数据表!AZ59)</f>
        <v/>
      </c>
    </row>
    <row r="59" spans="1:54">
      <c r="A59" s="88">
        <f>全车数据表!A60</f>
        <v>58</v>
      </c>
      <c r="B59" s="88" t="str">
        <f>全车数据表!B60</f>
        <v>Arash AF10</v>
      </c>
      <c r="C59" s="89" t="str">
        <f>全车数据表!E60</f>
        <v>arashaf10</v>
      </c>
      <c r="D59" s="88" t="str">
        <f>IF(全车数据表!D60="","",全车数据表!D60)</f>
        <v>Arash</v>
      </c>
      <c r="E59" s="89" t="str">
        <f>全车数据表!H60</f>
        <v>3.3</v>
      </c>
      <c r="F59" s="89" t="str">
        <f>全车数据表!C60</f>
        <v>阿拉什</v>
      </c>
      <c r="G59" s="89" t="str">
        <f>全车数据表!F60</f>
        <v>C</v>
      </c>
      <c r="H59" s="88">
        <f>LEN(全车数据表!G60)</f>
        <v>4</v>
      </c>
      <c r="I59" s="88" t="str">
        <f>VLOOKUP(全车数据表!P60,辅助计算!A:B,2,FALSE)</f>
        <v>rare</v>
      </c>
      <c r="J59" s="88">
        <f>全车数据表!Q60</f>
        <v>35</v>
      </c>
      <c r="K59" s="88">
        <f>全车数据表!R60</f>
        <v>38</v>
      </c>
      <c r="L59" s="88">
        <f>全车数据表!S60</f>
        <v>42</v>
      </c>
      <c r="M59" s="88">
        <f>全车数据表!T60</f>
        <v>48</v>
      </c>
      <c r="N59" s="88">
        <f>全车数据表!U60</f>
        <v>0</v>
      </c>
      <c r="O59" s="88">
        <f>全车数据表!V60</f>
        <v>0</v>
      </c>
      <c r="P59" s="88">
        <f>全车数据表!J60</f>
        <v>3109</v>
      </c>
      <c r="Q59" s="88">
        <f>全车数据表!K60</f>
        <v>336.9</v>
      </c>
      <c r="R59" s="88">
        <f>全车数据表!L60</f>
        <v>78.709999999999994</v>
      </c>
      <c r="S59" s="88">
        <f>全车数据表!M60</f>
        <v>50.36</v>
      </c>
      <c r="T59" s="88">
        <f>全车数据表!N60</f>
        <v>59.53</v>
      </c>
      <c r="U59" s="88">
        <f>全车数据表!O60</f>
        <v>0</v>
      </c>
      <c r="V59" s="88">
        <f>全车数据表!AL60</f>
        <v>0</v>
      </c>
      <c r="W59" s="88">
        <f>全车数据表!AM60</f>
        <v>20000</v>
      </c>
      <c r="X59" s="88">
        <f>全车数据表!AU60</f>
        <v>0</v>
      </c>
      <c r="Y59" s="88">
        <f>全车数据表!AV60</f>
        <v>0</v>
      </c>
      <c r="Z59" s="88">
        <f>全车数据表!AN60</f>
        <v>6</v>
      </c>
      <c r="AA59" s="88">
        <f>全车数据表!AP60</f>
        <v>3</v>
      </c>
      <c r="AB59" s="88">
        <f>全车数据表!AR60</f>
        <v>1</v>
      </c>
      <c r="AC59" s="88">
        <f>全车数据表!AW60</f>
        <v>351</v>
      </c>
      <c r="AD59" s="88">
        <f>全车数据表!AX60</f>
        <v>0</v>
      </c>
      <c r="AE59" s="88">
        <f>全车数据表!AY60</f>
        <v>455</v>
      </c>
      <c r="AF59" s="88" t="str">
        <f>IF(全车数据表!BA60="","",全车数据表!BA60)</f>
        <v>通行证</v>
      </c>
      <c r="AG59" s="88" t="str">
        <f>IF(全车数据表!BB60="","",全车数据表!BB60)</f>
        <v/>
      </c>
      <c r="AH59" s="88" t="str">
        <f>IF(全车数据表!BC60="","",全车数据表!BC60)</f>
        <v/>
      </c>
      <c r="AI59" s="88" t="str">
        <f>IF(全车数据表!BD60="","",全车数据表!BD60)</f>
        <v/>
      </c>
      <c r="AJ59" s="88" t="str">
        <f>IF(全车数据表!BE60="","",全车数据表!BE60)</f>
        <v/>
      </c>
      <c r="AK59" s="88" t="str">
        <f>IF(全车数据表!BF60="","",全车数据表!BF60)</f>
        <v/>
      </c>
      <c r="AL59" s="88" t="str">
        <f>IF(全车数据表!BG60="","",全车数据表!BG60)</f>
        <v/>
      </c>
      <c r="AM59" s="88">
        <f>IF(全车数据表!BH60="","",全车数据表!BH60)</f>
        <v>1</v>
      </c>
      <c r="AN59" s="88" t="str">
        <f>IF(全车数据表!BI60="","",全车数据表!BI60)</f>
        <v/>
      </c>
      <c r="AO59" s="88" t="str">
        <f>IF(全车数据表!BJ60="","",全车数据表!BJ60)</f>
        <v/>
      </c>
      <c r="AP59" s="88" t="str">
        <f>IF(全车数据表!BK60="","",全车数据表!BK60)</f>
        <v/>
      </c>
      <c r="AQ59" s="88" t="str">
        <f>IF(全车数据表!BL60="","",全车数据表!BL60)</f>
        <v/>
      </c>
      <c r="AR59" s="88" t="str">
        <f>IF(全车数据表!BM60="","",全车数据表!BM60)</f>
        <v/>
      </c>
      <c r="AS59" s="88" t="str">
        <f>IF(全车数据表!BN60="","",全车数据表!BN60)</f>
        <v/>
      </c>
      <c r="AT59" s="88" t="str">
        <f>IF(全车数据表!BO60="","",全车数据表!BO60)</f>
        <v/>
      </c>
      <c r="AU59" s="88">
        <f>IF(全车数据表!BP60="","",全车数据表!BP60)</f>
        <v>1</v>
      </c>
      <c r="AV59" s="88" t="str">
        <f>IF(全车数据表!BQ60="","",全车数据表!BQ60)</f>
        <v/>
      </c>
      <c r="AW59" s="88" t="str">
        <f>IF(全车数据表!BR60="","",全车数据表!BR60)</f>
        <v/>
      </c>
      <c r="AX59" s="88" t="str">
        <f>IF(全车数据表!BS60="","",全车数据表!BS60)</f>
        <v/>
      </c>
      <c r="AY59" s="88" t="str">
        <f>IF(全车数据表!BT60="","",全车数据表!BT60)</f>
        <v/>
      </c>
      <c r="AZ59" s="88" t="str">
        <f>IF(全车数据表!BU60="","",全车数据表!BU60)</f>
        <v/>
      </c>
      <c r="BA59" s="88" t="str">
        <f>IF(全车数据表!BV60="","",全车数据表!BV60)</f>
        <v/>
      </c>
      <c r="BB59" s="91" t="str">
        <f>IF(全车数据表!AZ60="","",全车数据表!AZ60)</f>
        <v/>
      </c>
    </row>
    <row r="60" spans="1:54">
      <c r="A60" s="88">
        <f>全车数据表!A61</f>
        <v>59</v>
      </c>
      <c r="B60" s="88" t="str">
        <f>全车数据表!B61</f>
        <v>Nissan 370Z Nismo Neon Edition🔑</v>
      </c>
      <c r="C60" s="89" t="str">
        <f>全车数据表!E61</f>
        <v>370zneon</v>
      </c>
      <c r="D60" s="88" t="str">
        <f>IF(全车数据表!D61="","",全车数据表!D61)</f>
        <v>Nissan</v>
      </c>
      <c r="E60" s="89" t="str">
        <f>全车数据表!H61</f>
        <v>3.6</v>
      </c>
      <c r="F60" s="89" t="str">
        <f>全车数据表!C61</f>
        <v>370霓虹</v>
      </c>
      <c r="G60" s="89" t="str">
        <f>全车数据表!F61</f>
        <v>C</v>
      </c>
      <c r="H60" s="88">
        <f>LEN(全车数据表!G61)</f>
        <v>5</v>
      </c>
      <c r="I60" s="88" t="str">
        <f>VLOOKUP(全车数据表!P61,辅助计算!A:B,2,FALSE)</f>
        <v>rare</v>
      </c>
      <c r="J60" s="88" t="str">
        <f>全车数据表!Q61</f>
        <v>🔑</v>
      </c>
      <c r="K60" s="88">
        <f>全车数据表!R61</f>
        <v>35</v>
      </c>
      <c r="L60" s="88">
        <f>全车数据表!S61</f>
        <v>38</v>
      </c>
      <c r="M60" s="88">
        <f>全车数据表!T61</f>
        <v>48</v>
      </c>
      <c r="N60" s="88">
        <f>全车数据表!U61</f>
        <v>58</v>
      </c>
      <c r="O60" s="88">
        <f>全车数据表!V61</f>
        <v>0</v>
      </c>
      <c r="P60" s="88">
        <f>全车数据表!J61</f>
        <v>3121</v>
      </c>
      <c r="Q60" s="88">
        <f>全车数据表!K61</f>
        <v>303.10000000000002</v>
      </c>
      <c r="R60" s="88">
        <f>全车数据表!L61</f>
        <v>76.12</v>
      </c>
      <c r="S60" s="88">
        <f>全车数据表!M61</f>
        <v>91.7</v>
      </c>
      <c r="T60" s="88">
        <f>全车数据表!N61</f>
        <v>80.03</v>
      </c>
      <c r="U60" s="88">
        <f>全车数据表!O61</f>
        <v>0</v>
      </c>
      <c r="V60" s="88">
        <f>全车数据表!AL61</f>
        <v>0</v>
      </c>
      <c r="W60" s="88">
        <f>全车数据表!AM61</f>
        <v>17500</v>
      </c>
      <c r="X60" s="88">
        <f>全车数据表!AU61</f>
        <v>2030000</v>
      </c>
      <c r="Y60" s="88">
        <f>全车数据表!AV61</f>
        <v>0</v>
      </c>
      <c r="Z60" s="88">
        <f>全车数据表!AN61</f>
        <v>9</v>
      </c>
      <c r="AA60" s="88">
        <f>全车数据表!AP61</f>
        <v>4</v>
      </c>
      <c r="AB60" s="88">
        <f>全车数据表!AR61</f>
        <v>2</v>
      </c>
      <c r="AC60" s="88">
        <f>全车数据表!AW61</f>
        <v>316</v>
      </c>
      <c r="AD60" s="88">
        <f>全车数据表!AX61</f>
        <v>0</v>
      </c>
      <c r="AE60" s="88">
        <f>全车数据表!AY61</f>
        <v>403</v>
      </c>
      <c r="AF60" s="88" t="str">
        <f>IF(全车数据表!BA61="","",全车数据表!BA61)</f>
        <v>惊艳亮相</v>
      </c>
      <c r="AG60" s="88" t="str">
        <f>IF(全车数据表!BB61="","",全车数据表!BB61)</f>
        <v/>
      </c>
      <c r="AH60" s="88" t="str">
        <f>IF(全车数据表!BC61="","",全车数据表!BC61)</f>
        <v/>
      </c>
      <c r="AI60" s="88" t="str">
        <f>IF(全车数据表!BD61="","",全车数据表!BD61)</f>
        <v/>
      </c>
      <c r="AJ60" s="88" t="str">
        <f>IF(全车数据表!BE61="","",全车数据表!BE61)</f>
        <v/>
      </c>
      <c r="AK60" s="88" t="str">
        <f>IF(全车数据表!BF61="","",全车数据表!BF61)</f>
        <v/>
      </c>
      <c r="AL60" s="88" t="str">
        <f>IF(全车数据表!BG61="","",全车数据表!BG61)</f>
        <v/>
      </c>
      <c r="AM60" s="88" t="str">
        <f>IF(全车数据表!BH61="","",全车数据表!BH61)</f>
        <v/>
      </c>
      <c r="AN60" s="88">
        <f>IF(全车数据表!BI61="","",全车数据表!BI61)</f>
        <v>1</v>
      </c>
      <c r="AO60" s="88" t="str">
        <f>IF(全车数据表!BJ61="","",全车数据表!BJ61)</f>
        <v/>
      </c>
      <c r="AP60" s="88" t="str">
        <f>IF(全车数据表!BK61="","",全车数据表!BK61)</f>
        <v/>
      </c>
      <c r="AQ60" s="88" t="str">
        <f>IF(全车数据表!BL61="","",全车数据表!BL61)</f>
        <v/>
      </c>
      <c r="AR60" s="88" t="str">
        <f>IF(全车数据表!BM61="","",全车数据表!BM61)</f>
        <v/>
      </c>
      <c r="AS60" s="88" t="str">
        <f>IF(全车数据表!BN61="","",全车数据表!BN61)</f>
        <v/>
      </c>
      <c r="AT60" s="88">
        <f>IF(全车数据表!BO61="","",全车数据表!BO61)</f>
        <v>1</v>
      </c>
      <c r="AU60" s="88" t="str">
        <f>IF(全车数据表!BP61="","",全车数据表!BP61)</f>
        <v/>
      </c>
      <c r="AV60" s="88" t="str">
        <f>IF(全车数据表!BQ61="","",全车数据表!BQ61)</f>
        <v/>
      </c>
      <c r="AW60" s="88" t="str">
        <f>IF(全车数据表!BR61="","",全车数据表!BR61)</f>
        <v/>
      </c>
      <c r="AX60" s="88" t="str">
        <f>IF(全车数据表!BS61="","",全车数据表!BS61)</f>
        <v/>
      </c>
      <c r="AY60" s="88">
        <f>IF(全车数据表!BT61="","",全车数据表!BT61)</f>
        <v>1</v>
      </c>
      <c r="AZ60" s="88" t="str">
        <f>IF(全车数据表!BU61="","",全车数据表!BU61)</f>
        <v/>
      </c>
      <c r="BA60" s="88" t="str">
        <f>IF(全车数据表!BV61="","",全车数据表!BV61)</f>
        <v>日产 霓虹 花栗鼠</v>
      </c>
      <c r="BB60" s="91" t="str">
        <f>IF(全车数据表!AZ61="","",全车数据表!AZ61)</f>
        <v/>
      </c>
    </row>
    <row r="61" spans="1:54">
      <c r="A61" s="88">
        <f>全车数据表!A62</f>
        <v>60</v>
      </c>
      <c r="B61" s="88" t="str">
        <f>全车数据表!B62</f>
        <v>Saleen S1</v>
      </c>
      <c r="C61" s="89" t="str">
        <f>全车数据表!E62</f>
        <v>saleens1</v>
      </c>
      <c r="D61" s="88" t="str">
        <f>IF(全车数据表!D62="","",全车数据表!D62)</f>
        <v>Saleen</v>
      </c>
      <c r="E61" s="89" t="str">
        <f>全车数据表!H62</f>
        <v>3.3</v>
      </c>
      <c r="F61" s="89" t="str">
        <f>全车数据表!C62</f>
        <v>萨林S1</v>
      </c>
      <c r="G61" s="89" t="str">
        <f>全车数据表!F62</f>
        <v>C</v>
      </c>
      <c r="H61" s="88">
        <f>LEN(全车数据表!G62)</f>
        <v>4</v>
      </c>
      <c r="I61" s="88" t="str">
        <f>VLOOKUP(全车数据表!P62,辅助计算!A:B,2,FALSE)</f>
        <v>rare</v>
      </c>
      <c r="J61" s="88">
        <f>全车数据表!Q62</f>
        <v>35</v>
      </c>
      <c r="K61" s="88">
        <f>全车数据表!R62</f>
        <v>38</v>
      </c>
      <c r="L61" s="88">
        <f>全车数据表!S62</f>
        <v>42</v>
      </c>
      <c r="M61" s="88">
        <f>全车数据表!T62</f>
        <v>48</v>
      </c>
      <c r="N61" s="88">
        <f>全车数据表!U62</f>
        <v>0</v>
      </c>
      <c r="O61" s="88">
        <f>全车数据表!V62</f>
        <v>0</v>
      </c>
      <c r="P61" s="88">
        <f>全车数据表!J62</f>
        <v>3148</v>
      </c>
      <c r="Q61" s="88">
        <f>全车数据表!K62</f>
        <v>305.3</v>
      </c>
      <c r="R61" s="88">
        <f>全车数据表!L62</f>
        <v>76.739999999999995</v>
      </c>
      <c r="S61" s="88">
        <f>全车数据表!M62</f>
        <v>82.8</v>
      </c>
      <c r="T61" s="88">
        <f>全车数据表!N62</f>
        <v>74.069999999999993</v>
      </c>
      <c r="U61" s="88">
        <f>全车数据表!O62</f>
        <v>0</v>
      </c>
      <c r="V61" s="88">
        <f>全车数据表!AL62</f>
        <v>0</v>
      </c>
      <c r="W61" s="88">
        <f>全车数据表!AM62</f>
        <v>17500</v>
      </c>
      <c r="X61" s="88">
        <f>全车数据表!AU62</f>
        <v>1260000</v>
      </c>
      <c r="Y61" s="88">
        <f>全车数据表!AV62</f>
        <v>0</v>
      </c>
      <c r="Z61" s="88">
        <f>全车数据表!AN62</f>
        <v>6</v>
      </c>
      <c r="AA61" s="88">
        <f>全车数据表!AP62</f>
        <v>3</v>
      </c>
      <c r="AB61" s="88">
        <f>全车数据表!AR62</f>
        <v>1</v>
      </c>
      <c r="AC61" s="88">
        <f>全车数据表!AW62</f>
        <v>318</v>
      </c>
      <c r="AD61" s="88">
        <f>全车数据表!AX62</f>
        <v>327</v>
      </c>
      <c r="AE61" s="88">
        <f>全车数据表!AY62</f>
        <v>415</v>
      </c>
      <c r="AF61" s="88" t="str">
        <f>IF(全车数据表!BA62="","",全车数据表!BA62)</f>
        <v>联会赛事</v>
      </c>
      <c r="AG61" s="88" t="str">
        <f>IF(全车数据表!BB62="","",全车数据表!BB62)</f>
        <v/>
      </c>
      <c r="AH61" s="88" t="str">
        <f>IF(全车数据表!BC62="","",全车数据表!BC62)</f>
        <v/>
      </c>
      <c r="AI61" s="88" t="str">
        <f>IF(全车数据表!BD62="","",全车数据表!BD62)</f>
        <v/>
      </c>
      <c r="AJ61" s="88" t="str">
        <f>IF(全车数据表!BE62="","",全车数据表!BE62)</f>
        <v/>
      </c>
      <c r="AK61" s="88" t="str">
        <f>IF(全车数据表!BF62="","",全车数据表!BF62)</f>
        <v/>
      </c>
      <c r="AL61" s="88" t="str">
        <f>IF(全车数据表!BG62="","",全车数据表!BG62)</f>
        <v/>
      </c>
      <c r="AM61" s="88" t="str">
        <f>IF(全车数据表!BH62="","",全车数据表!BH62)</f>
        <v/>
      </c>
      <c r="AN61" s="88" t="str">
        <f>IF(全车数据表!BI62="","",全车数据表!BI62)</f>
        <v/>
      </c>
      <c r="AO61" s="88" t="str">
        <f>IF(全车数据表!BJ62="","",全车数据表!BJ62)</f>
        <v/>
      </c>
      <c r="AP61" s="88" t="str">
        <f>IF(全车数据表!BK62="","",全车数据表!BK62)</f>
        <v/>
      </c>
      <c r="AQ61" s="88" t="str">
        <f>IF(全车数据表!BL62="","",全车数据表!BL62)</f>
        <v/>
      </c>
      <c r="AR61" s="88" t="str">
        <f>IF(全车数据表!BM62="","",全车数据表!BM62)</f>
        <v/>
      </c>
      <c r="AS61" s="88">
        <f>IF(全车数据表!BN62="","",全车数据表!BN62)</f>
        <v>1</v>
      </c>
      <c r="AT61" s="88" t="str">
        <f>IF(全车数据表!BO62="","",全车数据表!BO62)</f>
        <v/>
      </c>
      <c r="AU61" s="88">
        <f>IF(全车数据表!BP62="","",全车数据表!BP62)</f>
        <v>1</v>
      </c>
      <c r="AV61" s="88" t="str">
        <f>IF(全车数据表!BQ62="","",全车数据表!BQ62)</f>
        <v>2款</v>
      </c>
      <c r="AW61" s="88" t="str">
        <f>IF(全车数据表!BR62="","",全车数据表!BR62)</f>
        <v/>
      </c>
      <c r="AX61" s="88" t="str">
        <f>IF(全车数据表!BS62="","",全车数据表!BS62)</f>
        <v/>
      </c>
      <c r="AY61" s="88" t="str">
        <f>IF(全车数据表!BT62="","",全车数据表!BT62)</f>
        <v/>
      </c>
      <c r="AZ61" s="88" t="str">
        <f>IF(全车数据表!BU62="","",全车数据表!BU62)</f>
        <v/>
      </c>
      <c r="BA61" s="88" t="str">
        <f>IF(全车数据表!BV62="","",全车数据表!BV62)</f>
        <v>赛麟</v>
      </c>
      <c r="BB61" s="91" t="str">
        <f>IF(全车数据表!AZ62="","",全车数据表!AZ62)</f>
        <v/>
      </c>
    </row>
    <row r="62" spans="1:54">
      <c r="A62" s="88">
        <f>全车数据表!A63</f>
        <v>61</v>
      </c>
      <c r="B62" s="88" t="str">
        <f>全车数据表!B63</f>
        <v>Porsche 911 50 Years Porsche Design</v>
      </c>
      <c r="C62" s="89" t="str">
        <f>全车数据表!E63</f>
        <v>91150</v>
      </c>
      <c r="D62" s="88" t="str">
        <f>IF(全车数据表!D63="","",全车数据表!D63)</f>
        <v>Porsche</v>
      </c>
      <c r="E62" s="89" t="str">
        <f>全车数据表!H63</f>
        <v>5.2</v>
      </c>
      <c r="F62" s="89" t="str">
        <f>全车数据表!C63</f>
        <v>911 50周年</v>
      </c>
      <c r="G62" s="89" t="str">
        <f>全车数据表!F63</f>
        <v>C</v>
      </c>
      <c r="H62" s="88">
        <f>LEN(全车数据表!G63)</f>
        <v>4</v>
      </c>
      <c r="I62" s="88" t="str">
        <f>VLOOKUP(全车数据表!P63,辅助计算!A:B,2,FALSE)</f>
        <v>rare</v>
      </c>
      <c r="J62" s="88">
        <f>全车数据表!Q63</f>
        <v>35</v>
      </c>
      <c r="K62" s="88">
        <f>全车数据表!R63</f>
        <v>38</v>
      </c>
      <c r="L62" s="88">
        <f>全车数据表!S63</f>
        <v>48</v>
      </c>
      <c r="M62" s="88">
        <f>全车数据表!T63</f>
        <v>58</v>
      </c>
      <c r="N62" s="88">
        <f>全车数据表!U63</f>
        <v>0</v>
      </c>
      <c r="O62" s="88">
        <f>全车数据表!V63</f>
        <v>0</v>
      </c>
      <c r="P62" s="88">
        <f>全车数据表!J63</f>
        <v>3210</v>
      </c>
      <c r="Q62" s="88">
        <f>全车数据表!K63</f>
        <v>312.10000000000002</v>
      </c>
      <c r="R62" s="88">
        <f>全车数据表!L63</f>
        <v>79.72</v>
      </c>
      <c r="S62" s="88">
        <f>全车数据表!M63</f>
        <v>84.61</v>
      </c>
      <c r="T62" s="88">
        <f>全车数据表!N63</f>
        <v>70.45</v>
      </c>
      <c r="U62" s="88">
        <f>全车数据表!O63</f>
        <v>0</v>
      </c>
      <c r="V62" s="88">
        <f>全车数据表!AL63</f>
        <v>3556000</v>
      </c>
      <c r="W62" s="88">
        <f>全车数据表!AM63</f>
        <v>28000</v>
      </c>
      <c r="X62" s="88">
        <f>全车数据表!AU63</f>
        <v>2016000</v>
      </c>
      <c r="Y62" s="88">
        <f>全车数据表!AV63</f>
        <v>5572000</v>
      </c>
      <c r="Z62" s="88">
        <f>全车数据表!AN63</f>
        <v>6</v>
      </c>
      <c r="AA62" s="88">
        <f>全车数据表!AP63</f>
        <v>3</v>
      </c>
      <c r="AB62" s="88">
        <f>全车数据表!AR63</f>
        <v>1</v>
      </c>
      <c r="AC62" s="88">
        <f>全车数据表!AW63</f>
        <v>325</v>
      </c>
      <c r="AD62" s="88">
        <f>全车数据表!AX63</f>
        <v>0</v>
      </c>
      <c r="AE62" s="88">
        <f>全车数据表!AY63</f>
        <v>414</v>
      </c>
      <c r="AF62" s="88" t="str">
        <f>IF(全车数据表!BA63="","",全车数据表!BA63)</f>
        <v>周末爆冲</v>
      </c>
      <c r="AG62" s="88" t="str">
        <f>IF(全车数据表!BB63="","",全车数据表!BB63)</f>
        <v/>
      </c>
      <c r="AH62" s="88" t="str">
        <f>IF(全车数据表!BC63="","",全车数据表!BC63)</f>
        <v/>
      </c>
      <c r="AI62" s="88" t="str">
        <f>IF(全车数据表!BD63="","",全车数据表!BD63)</f>
        <v/>
      </c>
      <c r="AJ62" s="88" t="str">
        <f>IF(全车数据表!BE63="","",全车数据表!BE63)</f>
        <v/>
      </c>
      <c r="AK62" s="88" t="str">
        <f>IF(全车数据表!BF63="","",全车数据表!BF63)</f>
        <v/>
      </c>
      <c r="AL62" s="88" t="str">
        <f>IF(全车数据表!BG63="","",全车数据表!BG63)</f>
        <v/>
      </c>
      <c r="AM62" s="88" t="str">
        <f>IF(全车数据表!BH63="","",全车数据表!BH63)</f>
        <v/>
      </c>
      <c r="AN62" s="88" t="str">
        <f>IF(全车数据表!BI63="","",全车数据表!BI63)</f>
        <v/>
      </c>
      <c r="AO62" s="88" t="str">
        <f>IF(全车数据表!BJ63="","",全车数据表!BJ63)</f>
        <v/>
      </c>
      <c r="AP62" s="88" t="str">
        <f>IF(全车数据表!BK63="","",全车数据表!BK63)</f>
        <v/>
      </c>
      <c r="AQ62" s="88" t="str">
        <f>IF(全车数据表!BL63="","",全车数据表!BL63)</f>
        <v/>
      </c>
      <c r="AR62" s="88" t="str">
        <f>IF(全车数据表!BM63="","",全车数据表!BM63)</f>
        <v/>
      </c>
      <c r="AS62" s="88" t="str">
        <f>IF(全车数据表!BN63="","",全车数据表!BN63)</f>
        <v/>
      </c>
      <c r="AT62" s="88" t="str">
        <f>IF(全车数据表!BO63="","",全车数据表!BO63)</f>
        <v/>
      </c>
      <c r="AU62" s="88" t="str">
        <f>IF(全车数据表!BP63="","",全车数据表!BP63)</f>
        <v/>
      </c>
      <c r="AV62" s="88" t="str">
        <f>IF(全车数据表!BQ63="","",全车数据表!BQ63)</f>
        <v/>
      </c>
      <c r="AW62" s="88" t="str">
        <f>IF(全车数据表!BR63="","",全车数据表!BR63)</f>
        <v/>
      </c>
      <c r="AX62" s="88" t="str">
        <f>IF(全车数据表!BS63="","",全车数据表!BS63)</f>
        <v/>
      </c>
      <c r="AY62" s="88" t="str">
        <f>IF(全车数据表!BT63="","",全车数据表!BT63)</f>
        <v/>
      </c>
      <c r="AZ62" s="88" t="str">
        <f>IF(全车数据表!BU63="","",全车数据表!BU63)</f>
        <v/>
      </c>
      <c r="BA62" s="88" t="str">
        <f>IF(全车数据表!BV63="","",全车数据表!BV63)</f>
        <v>保时捷</v>
      </c>
      <c r="BB62" s="91" t="str">
        <f>IF(全车数据表!AZ63="","",全车数据表!AZ63)</f>
        <v/>
      </c>
    </row>
    <row r="63" spans="1:54">
      <c r="A63" s="88">
        <f>全车数据表!A64</f>
        <v>62</v>
      </c>
      <c r="B63" s="88" t="str">
        <f>全车数据表!B64</f>
        <v>Porsche Mission R</v>
      </c>
      <c r="C63" s="89" t="str">
        <f>全车数据表!E64</f>
        <v>missionr</v>
      </c>
      <c r="D63" s="88" t="str">
        <f>IF(全车数据表!D64="","",全车数据表!D64)</f>
        <v>Porsche</v>
      </c>
      <c r="E63" s="89" t="str">
        <f>全车数据表!H64</f>
        <v>5.0</v>
      </c>
      <c r="F63" s="89" t="str">
        <f>全车数据表!C64</f>
        <v>Mission R</v>
      </c>
      <c r="G63" s="89" t="str">
        <f>全车数据表!F64</f>
        <v>C</v>
      </c>
      <c r="H63" s="88">
        <f>LEN(全车数据表!G64)</f>
        <v>4</v>
      </c>
      <c r="I63" s="88" t="str">
        <f>VLOOKUP(全车数据表!P64,辅助计算!A:B,2,FALSE)</f>
        <v>rare</v>
      </c>
      <c r="J63" s="88">
        <f>全车数据表!Q64</f>
        <v>35</v>
      </c>
      <c r="K63" s="88">
        <f>全车数据表!R64</f>
        <v>38</v>
      </c>
      <c r="L63" s="88">
        <f>全车数据表!S64</f>
        <v>48</v>
      </c>
      <c r="M63" s="88">
        <f>全车数据表!T64</f>
        <v>58</v>
      </c>
      <c r="N63" s="88">
        <f>全车数据表!U64</f>
        <v>0</v>
      </c>
      <c r="O63" s="88">
        <f>全车数据表!V64</f>
        <v>0</v>
      </c>
      <c r="P63" s="88">
        <f>全车数据表!J64</f>
        <v>3229</v>
      </c>
      <c r="Q63" s="88">
        <f>全车数据表!K64</f>
        <v>312.10000000000002</v>
      </c>
      <c r="R63" s="88">
        <f>全车数据表!L64</f>
        <v>87.92</v>
      </c>
      <c r="S63" s="88">
        <f>全车数据表!M64</f>
        <v>63.47</v>
      </c>
      <c r="T63" s="88">
        <f>全车数据表!N64</f>
        <v>62.72</v>
      </c>
      <c r="U63" s="88">
        <f>全车数据表!O64</f>
        <v>0</v>
      </c>
      <c r="V63" s="88">
        <f>全车数据表!AL64</f>
        <v>3556000</v>
      </c>
      <c r="W63" s="88">
        <f>全车数据表!AM64</f>
        <v>28000</v>
      </c>
      <c r="X63" s="88">
        <f>全车数据表!AU64</f>
        <v>2016000</v>
      </c>
      <c r="Y63" s="88">
        <f>全车数据表!AV64</f>
        <v>5572000</v>
      </c>
      <c r="Z63" s="88">
        <f>全车数据表!AN64</f>
        <v>6</v>
      </c>
      <c r="AA63" s="88">
        <f>全车数据表!AP64</f>
        <v>3</v>
      </c>
      <c r="AB63" s="88">
        <f>全车数据表!AR64</f>
        <v>1</v>
      </c>
      <c r="AC63" s="88">
        <f>全车数据表!AW64</f>
        <v>325</v>
      </c>
      <c r="AD63" s="88">
        <f>全车数据表!AX64</f>
        <v>0</v>
      </c>
      <c r="AE63" s="88">
        <f>全车数据表!AY64</f>
        <v>414</v>
      </c>
      <c r="AF63" s="88" t="str">
        <f>IF(全车数据表!BA64="","",全车数据表!BA64)</f>
        <v>联会赛事</v>
      </c>
      <c r="AG63" s="88" t="str">
        <f>IF(全车数据表!BB64="","",全车数据表!BB64)</f>
        <v/>
      </c>
      <c r="AH63" s="88" t="str">
        <f>IF(全车数据表!BC64="","",全车数据表!BC64)</f>
        <v/>
      </c>
      <c r="AI63" s="88" t="str">
        <f>IF(全车数据表!BD64="","",全车数据表!BD64)</f>
        <v/>
      </c>
      <c r="AJ63" s="88" t="str">
        <f>IF(全车数据表!BE64="","",全车数据表!BE64)</f>
        <v/>
      </c>
      <c r="AK63" s="88" t="str">
        <f>IF(全车数据表!BF64="","",全车数据表!BF64)</f>
        <v/>
      </c>
      <c r="AL63" s="88" t="str">
        <f>IF(全车数据表!BG64="","",全车数据表!BG64)</f>
        <v/>
      </c>
      <c r="AM63" s="88" t="str">
        <f>IF(全车数据表!BH64="","",全车数据表!BH64)</f>
        <v/>
      </c>
      <c r="AN63" s="88" t="str">
        <f>IF(全车数据表!BI64="","",全车数据表!BI64)</f>
        <v/>
      </c>
      <c r="AO63" s="88" t="str">
        <f>IF(全车数据表!BJ64="","",全车数据表!BJ64)</f>
        <v/>
      </c>
      <c r="AP63" s="88" t="str">
        <f>IF(全车数据表!BK64="","",全车数据表!BK64)</f>
        <v/>
      </c>
      <c r="AQ63" s="88" t="str">
        <f>IF(全车数据表!BL64="","",全车数据表!BL64)</f>
        <v/>
      </c>
      <c r="AR63" s="88" t="str">
        <f>IF(全车数据表!BM64="","",全车数据表!BM64)</f>
        <v/>
      </c>
      <c r="AS63" s="88" t="str">
        <f>IF(全车数据表!BN64="","",全车数据表!BN64)</f>
        <v/>
      </c>
      <c r="AT63" s="88" t="str">
        <f>IF(全车数据表!BO64="","",全车数据表!BO64)</f>
        <v/>
      </c>
      <c r="AU63" s="88" t="str">
        <f>IF(全车数据表!BP64="","",全车数据表!BP64)</f>
        <v/>
      </c>
      <c r="AV63" s="88" t="str">
        <f>IF(全车数据表!BQ64="","",全车数据表!BQ64)</f>
        <v/>
      </c>
      <c r="AW63" s="88" t="str">
        <f>IF(全车数据表!BR64="","",全车数据表!BR64)</f>
        <v/>
      </c>
      <c r="AX63" s="88" t="str">
        <f>IF(全车数据表!BS64="","",全车数据表!BS64)</f>
        <v/>
      </c>
      <c r="AY63" s="88" t="str">
        <f>IF(全车数据表!BT64="","",全车数据表!BT64)</f>
        <v/>
      </c>
      <c r="AZ63" s="88" t="str">
        <f>IF(全车数据表!BU64="","",全车数据表!BU64)</f>
        <v/>
      </c>
      <c r="BA63" s="88" t="str">
        <f>IF(全车数据表!BV64="","",全车数据表!BV64)</f>
        <v>保时捷 任务</v>
      </c>
      <c r="BB63" s="91" t="str">
        <f>IF(全车数据表!AZ64="","",全车数据表!AZ64)</f>
        <v/>
      </c>
    </row>
    <row r="64" spans="1:54">
      <c r="A64" s="88">
        <f>全车数据表!A65</f>
        <v>63</v>
      </c>
      <c r="B64" s="88" t="str">
        <f>全车数据表!B65</f>
        <v>Jaguar XJR-15</v>
      </c>
      <c r="C64" s="89" t="str">
        <f>全车数据表!E65</f>
        <v>xjr-15</v>
      </c>
      <c r="D64" s="88" t="str">
        <f>IF(全车数据表!D65="","",全车数据表!D65)</f>
        <v>Jaguar</v>
      </c>
      <c r="E64" s="89" t="str">
        <f>全车数据表!H65</f>
        <v>4.3</v>
      </c>
      <c r="F64" s="89" t="str">
        <f>全车数据表!C65</f>
        <v>XJR-15</v>
      </c>
      <c r="G64" s="89" t="str">
        <f>全车数据表!F65</f>
        <v>C</v>
      </c>
      <c r="H64" s="88">
        <f>LEN(全车数据表!G65)</f>
        <v>5</v>
      </c>
      <c r="I64" s="88" t="str">
        <f>VLOOKUP(全车数据表!P65,辅助计算!A:B,2,FALSE)</f>
        <v>rare</v>
      </c>
      <c r="J64" s="88">
        <f>全车数据表!Q65</f>
        <v>35</v>
      </c>
      <c r="K64" s="88">
        <f>全车数据表!R65</f>
        <v>35</v>
      </c>
      <c r="L64" s="88">
        <f>全车数据表!S65</f>
        <v>36</v>
      </c>
      <c r="M64" s="88">
        <f>全车数据表!T65</f>
        <v>38</v>
      </c>
      <c r="N64" s="88">
        <f>全车数据表!U65</f>
        <v>42</v>
      </c>
      <c r="O64" s="88">
        <f>全车数据表!V65</f>
        <v>0</v>
      </c>
      <c r="P64" s="88">
        <f>全车数据表!J65</f>
        <v>3244</v>
      </c>
      <c r="Q64" s="88">
        <f>全车数据表!K65</f>
        <v>320.60000000000002</v>
      </c>
      <c r="R64" s="88">
        <f>全车数据表!L65</f>
        <v>80.98</v>
      </c>
      <c r="S64" s="88">
        <f>全车数据表!M65</f>
        <v>71.28</v>
      </c>
      <c r="T64" s="88">
        <f>全车数据表!N65</f>
        <v>61.34</v>
      </c>
      <c r="U64" s="88">
        <f>全车数据表!O65</f>
        <v>0</v>
      </c>
      <c r="V64" s="88">
        <f>全车数据表!AL65</f>
        <v>0</v>
      </c>
      <c r="W64" s="88">
        <f>全车数据表!AM65</f>
        <v>30000</v>
      </c>
      <c r="X64" s="88">
        <f>全车数据表!AU65</f>
        <v>0</v>
      </c>
      <c r="Y64" s="88">
        <f>全车数据表!AV65</f>
        <v>0</v>
      </c>
      <c r="Z64" s="88">
        <f>全车数据表!AN65</f>
        <v>9</v>
      </c>
      <c r="AA64" s="88">
        <f>全车数据表!AP65</f>
        <v>4</v>
      </c>
      <c r="AB64" s="88">
        <f>全车数据表!AR65</f>
        <v>2</v>
      </c>
      <c r="AC64" s="88">
        <f>全车数据表!AW65</f>
        <v>334</v>
      </c>
      <c r="AD64" s="88">
        <f>全车数据表!AX65</f>
        <v>0</v>
      </c>
      <c r="AE64" s="88">
        <f>全车数据表!AY65</f>
        <v>427</v>
      </c>
      <c r="AF64" s="88" t="str">
        <f>IF(全车数据表!BA65="","",全车数据表!BA65)</f>
        <v>周末爆冲</v>
      </c>
      <c r="AG64" s="88" t="str">
        <f>IF(全车数据表!BB65="","",全车数据表!BB65)</f>
        <v/>
      </c>
      <c r="AH64" s="88" t="str">
        <f>IF(全车数据表!BC65="","",全车数据表!BC65)</f>
        <v/>
      </c>
      <c r="AI64" s="88" t="str">
        <f>IF(全车数据表!BD65="","",全车数据表!BD65)</f>
        <v/>
      </c>
      <c r="AJ64" s="88">
        <f>IF(全车数据表!BE65="","",全车数据表!BE65)</f>
        <v>1</v>
      </c>
      <c r="AK64" s="88" t="str">
        <f>IF(全车数据表!BF65="","",全车数据表!BF65)</f>
        <v/>
      </c>
      <c r="AL64" s="88" t="str">
        <f>IF(全车数据表!BG65="","",全车数据表!BG65)</f>
        <v/>
      </c>
      <c r="AM64" s="88" t="str">
        <f>IF(全车数据表!BH65="","",全车数据表!BH65)</f>
        <v/>
      </c>
      <c r="AN64" s="88" t="str">
        <f>IF(全车数据表!BI65="","",全车数据表!BI65)</f>
        <v/>
      </c>
      <c r="AO64" s="88" t="str">
        <f>IF(全车数据表!BJ65="","",全车数据表!BJ65)</f>
        <v/>
      </c>
      <c r="AP64" s="88" t="str">
        <f>IF(全车数据表!BK65="","",全车数据表!BK65)</f>
        <v/>
      </c>
      <c r="AQ64" s="88" t="str">
        <f>IF(全车数据表!BL65="","",全车数据表!BL65)</f>
        <v/>
      </c>
      <c r="AR64" s="88" t="str">
        <f>IF(全车数据表!BM65="","",全车数据表!BM65)</f>
        <v/>
      </c>
      <c r="AS64" s="88" t="str">
        <f>IF(全车数据表!BN65="","",全车数据表!BN65)</f>
        <v/>
      </c>
      <c r="AT64" s="88" t="str">
        <f>IF(全车数据表!BO65="","",全车数据表!BO65)</f>
        <v/>
      </c>
      <c r="AU64" s="88" t="str">
        <f>IF(全车数据表!BP65="","",全车数据表!BP65)</f>
        <v/>
      </c>
      <c r="AV64" s="88" t="str">
        <f>IF(全车数据表!BQ65="","",全车数据表!BQ65)</f>
        <v/>
      </c>
      <c r="AW64" s="88" t="str">
        <f>IF(全车数据表!BR65="","",全车数据表!BR65)</f>
        <v/>
      </c>
      <c r="AX64" s="88" t="str">
        <f>IF(全车数据表!BS65="","",全车数据表!BS65)</f>
        <v/>
      </c>
      <c r="AY64" s="88" t="str">
        <f>IF(全车数据表!BT65="","",全车数据表!BT65)</f>
        <v/>
      </c>
      <c r="AZ64" s="88">
        <f>IF(全车数据表!BU65="","",全车数据表!BU65)</f>
        <v>1</v>
      </c>
      <c r="BA64" s="88" t="str">
        <f>IF(全车数据表!BV65="","",全车数据表!BV65)</f>
        <v>捷豹</v>
      </c>
      <c r="BB64" s="91" t="str">
        <f>IF(全车数据表!AZ65="","",全车数据表!AZ65)</f>
        <v/>
      </c>
    </row>
    <row r="65" spans="1:54">
      <c r="A65" s="88">
        <f>全车数据表!A66</f>
        <v>64</v>
      </c>
      <c r="B65" s="88" t="str">
        <f>全车数据表!B66</f>
        <v>TVR Sagaris</v>
      </c>
      <c r="C65" s="89" t="str">
        <f>全车数据表!E66</f>
        <v>sagaris</v>
      </c>
      <c r="D65" s="88" t="str">
        <f>IF(全车数据表!D66="","",全车数据表!D66)</f>
        <v>TVR</v>
      </c>
      <c r="E65" s="89" t="str">
        <f>全车数据表!H66</f>
        <v>5.1</v>
      </c>
      <c r="F65" s="89" t="str">
        <f>全车数据表!C66</f>
        <v>Sagaris</v>
      </c>
      <c r="G65" s="89" t="str">
        <f>全车数据表!F66</f>
        <v>C</v>
      </c>
      <c r="H65" s="88">
        <f>LEN(全车数据表!G66)</f>
        <v>4</v>
      </c>
      <c r="I65" s="88" t="str">
        <f>VLOOKUP(全车数据表!P66,辅助计算!A:B,2,FALSE)</f>
        <v>rare</v>
      </c>
      <c r="J65" s="88">
        <f>全车数据表!Q66</f>
        <v>35</v>
      </c>
      <c r="K65" s="88">
        <f>全车数据表!R66</f>
        <v>38</v>
      </c>
      <c r="L65" s="88">
        <f>全车数据表!S66</f>
        <v>48</v>
      </c>
      <c r="M65" s="88">
        <f>全车数据表!T66</f>
        <v>58</v>
      </c>
      <c r="N65" s="88">
        <f>全车数据表!U66</f>
        <v>0</v>
      </c>
      <c r="O65" s="88">
        <f>全车数据表!V66</f>
        <v>0</v>
      </c>
      <c r="P65" s="88">
        <f>全车数据表!J66</f>
        <v>3246</v>
      </c>
      <c r="Q65" s="88">
        <f>全车数据表!K66</f>
        <v>321</v>
      </c>
      <c r="R65" s="88">
        <f>全车数据表!L66</f>
        <v>75.52</v>
      </c>
      <c r="S65" s="88">
        <f>全车数据表!M66</f>
        <v>70.650000000000006</v>
      </c>
      <c r="T65" s="88">
        <f>全车数据表!N66</f>
        <v>74.61</v>
      </c>
      <c r="U65" s="88">
        <f>全车数据表!O66</f>
        <v>0</v>
      </c>
      <c r="V65" s="88">
        <f>全车数据表!AL66</f>
        <v>3556000</v>
      </c>
      <c r="W65" s="88">
        <f>全车数据表!AM66</f>
        <v>28000</v>
      </c>
      <c r="X65" s="88">
        <f>全车数据表!AU66</f>
        <v>2016000</v>
      </c>
      <c r="Y65" s="88">
        <f>全车数据表!AV66</f>
        <v>5572000</v>
      </c>
      <c r="Z65" s="88">
        <f>全车数据表!AN66</f>
        <v>6</v>
      </c>
      <c r="AA65" s="88">
        <f>全车数据表!AP66</f>
        <v>3</v>
      </c>
      <c r="AB65" s="88">
        <f>全车数据表!AR66</f>
        <v>1</v>
      </c>
      <c r="AC65" s="88">
        <f>全车数据表!AW66</f>
        <v>334</v>
      </c>
      <c r="AD65" s="88">
        <f>全车数据表!AX66</f>
        <v>0</v>
      </c>
      <c r="AE65" s="88">
        <f>全车数据表!AY66</f>
        <v>428</v>
      </c>
      <c r="AF65" s="88" t="str">
        <f>IF(全车数据表!BA66="","",全车数据表!BA66)</f>
        <v>通行证</v>
      </c>
      <c r="AG65" s="88" t="str">
        <f>IF(全车数据表!BB66="","",全车数据表!BB66)</f>
        <v/>
      </c>
      <c r="AH65" s="88" t="str">
        <f>IF(全车数据表!BC66="","",全车数据表!BC66)</f>
        <v/>
      </c>
      <c r="AI65" s="88" t="str">
        <f>IF(全车数据表!BD66="","",全车数据表!BD66)</f>
        <v/>
      </c>
      <c r="AJ65" s="88" t="str">
        <f>IF(全车数据表!BE66="","",全车数据表!BE66)</f>
        <v/>
      </c>
      <c r="AK65" s="88" t="str">
        <f>IF(全车数据表!BF66="","",全车数据表!BF66)</f>
        <v/>
      </c>
      <c r="AL65" s="88" t="str">
        <f>IF(全车数据表!BG66="","",全车数据表!BG66)</f>
        <v/>
      </c>
      <c r="AM65" s="88" t="str">
        <f>IF(全车数据表!BH66="","",全车数据表!BH66)</f>
        <v/>
      </c>
      <c r="AN65" s="88" t="str">
        <f>IF(全车数据表!BI66="","",全车数据表!BI66)</f>
        <v/>
      </c>
      <c r="AO65" s="88" t="str">
        <f>IF(全车数据表!BJ66="","",全车数据表!BJ66)</f>
        <v/>
      </c>
      <c r="AP65" s="88" t="str">
        <f>IF(全车数据表!BK66="","",全车数据表!BK66)</f>
        <v/>
      </c>
      <c r="AQ65" s="88" t="str">
        <f>IF(全车数据表!BL66="","",全车数据表!BL66)</f>
        <v/>
      </c>
      <c r="AR65" s="88" t="str">
        <f>IF(全车数据表!BM66="","",全车数据表!BM66)</f>
        <v/>
      </c>
      <c r="AS65" s="88" t="str">
        <f>IF(全车数据表!BN66="","",全车数据表!BN66)</f>
        <v/>
      </c>
      <c r="AT65" s="88" t="str">
        <f>IF(全车数据表!BO66="","",全车数据表!BO66)</f>
        <v/>
      </c>
      <c r="AU65" s="88" t="str">
        <f>IF(全车数据表!BP66="","",全车数据表!BP66)</f>
        <v/>
      </c>
      <c r="AV65" s="88" t="str">
        <f>IF(全车数据表!BQ66="","",全车数据表!BQ66)</f>
        <v/>
      </c>
      <c r="AW65" s="88" t="str">
        <f>IF(全车数据表!BR66="","",全车数据表!BR66)</f>
        <v/>
      </c>
      <c r="AX65" s="88" t="str">
        <f>IF(全车数据表!BS66="","",全车数据表!BS66)</f>
        <v/>
      </c>
      <c r="AY65" s="88" t="str">
        <f>IF(全车数据表!BT66="","",全车数据表!BT66)</f>
        <v/>
      </c>
      <c r="AZ65" s="88" t="str">
        <f>IF(全车数据表!BU66="","",全车数据表!BU66)</f>
        <v/>
      </c>
      <c r="BA65" s="88" t="str">
        <f>IF(全车数据表!BV66="","",全车数据表!BV66)</f>
        <v/>
      </c>
      <c r="BB65" s="91" t="str">
        <f>IF(全车数据表!AZ66="","",全车数据表!AZ66)</f>
        <v/>
      </c>
    </row>
    <row r="66" spans="1:54">
      <c r="A66" s="88">
        <f>全车数据表!A67</f>
        <v>65</v>
      </c>
      <c r="B66" s="88" t="str">
        <f>全车数据表!B67</f>
        <v>Toyota GR Supra 2023</v>
      </c>
      <c r="C66" s="89" t="str">
        <f>全车数据表!E67</f>
        <v>supra</v>
      </c>
      <c r="D66" s="88" t="str">
        <f>IF(全车数据表!D67="","",全车数据表!D67)</f>
        <v>Toyota</v>
      </c>
      <c r="E66" s="89" t="str">
        <f>全车数据表!H67</f>
        <v>5.5</v>
      </c>
      <c r="F66" s="89" t="str">
        <f>全车数据表!C67</f>
        <v>Supra2023</v>
      </c>
      <c r="G66" s="89" t="str">
        <f>全车数据表!F67</f>
        <v>C</v>
      </c>
      <c r="H66" s="88">
        <f>LEN(全车数据表!G67)</f>
        <v>5</v>
      </c>
      <c r="I66" s="88" t="str">
        <f>VLOOKUP(全车数据表!P67,辅助计算!A:B,2,FALSE)</f>
        <v>rare</v>
      </c>
      <c r="J66" s="88">
        <f>全车数据表!Q67</f>
        <v>35</v>
      </c>
      <c r="K66" s="88">
        <f>全车数据表!R67</f>
        <v>35</v>
      </c>
      <c r="L66" s="88">
        <f>全车数据表!S67</f>
        <v>36</v>
      </c>
      <c r="M66" s="88">
        <f>全车数据表!T67</f>
        <v>38</v>
      </c>
      <c r="N66" s="88">
        <f>全车数据表!U67</f>
        <v>42</v>
      </c>
      <c r="O66" s="88">
        <f>全车数据表!V67</f>
        <v>0</v>
      </c>
      <c r="P66" s="88">
        <f>全车数据表!J67</f>
        <v>3258</v>
      </c>
      <c r="Q66" s="88">
        <f>全车数据表!K67</f>
        <v>315.10000000000002</v>
      </c>
      <c r="R66" s="88">
        <f>全车数据表!L67</f>
        <v>80.38</v>
      </c>
      <c r="S66" s="88">
        <f>全车数据表!M67</f>
        <v>73.430000000000007</v>
      </c>
      <c r="T66" s="88">
        <f>全车数据表!N67</f>
        <v>56.83</v>
      </c>
      <c r="U66" s="88">
        <f>全车数据表!O67</f>
        <v>0</v>
      </c>
      <c r="V66" s="88">
        <f>全车数据表!AL67</f>
        <v>0</v>
      </c>
      <c r="W66" s="88">
        <f>全车数据表!AM67</f>
        <v>0</v>
      </c>
      <c r="X66" s="88">
        <f>全车数据表!AU67</f>
        <v>0</v>
      </c>
      <c r="Y66" s="88">
        <f>全车数据表!AV67</f>
        <v>0</v>
      </c>
      <c r="Z66" s="88">
        <f>全车数据表!AN67</f>
        <v>0</v>
      </c>
      <c r="AA66" s="88">
        <f>全车数据表!AP67</f>
        <v>0</v>
      </c>
      <c r="AB66" s="88">
        <f>全车数据表!AR67</f>
        <v>0</v>
      </c>
      <c r="AC66" s="88">
        <f>全车数据表!AW67</f>
        <v>338</v>
      </c>
      <c r="AD66" s="88">
        <f>全车数据表!AX67</f>
        <v>0</v>
      </c>
      <c r="AE66" s="88">
        <f>全车数据表!AY67</f>
        <v>431</v>
      </c>
      <c r="AF66" s="88" t="str">
        <f>IF(全车数据表!BA67="","",全车数据表!BA67)</f>
        <v>通行证</v>
      </c>
      <c r="AG66" s="88" t="str">
        <f>IF(全车数据表!BB67="","",全车数据表!BB67)</f>
        <v/>
      </c>
      <c r="AH66" s="88" t="str">
        <f>IF(全车数据表!BC67="","",全车数据表!BC67)</f>
        <v/>
      </c>
      <c r="AI66" s="88" t="str">
        <f>IF(全车数据表!BD67="","",全车数据表!BD67)</f>
        <v/>
      </c>
      <c r="AJ66" s="88" t="str">
        <f>IF(全车数据表!BE67="","",全车数据表!BE67)</f>
        <v/>
      </c>
      <c r="AK66" s="88" t="str">
        <f>IF(全车数据表!BF67="","",全车数据表!BF67)</f>
        <v/>
      </c>
      <c r="AL66" s="88" t="str">
        <f>IF(全车数据表!BG67="","",全车数据表!BG67)</f>
        <v/>
      </c>
      <c r="AM66" s="88" t="str">
        <f>IF(全车数据表!BH67="","",全车数据表!BH67)</f>
        <v/>
      </c>
      <c r="AN66" s="88" t="str">
        <f>IF(全车数据表!BI67="","",全车数据表!BI67)</f>
        <v/>
      </c>
      <c r="AO66" s="88" t="str">
        <f>IF(全车数据表!BJ67="","",全车数据表!BJ67)</f>
        <v/>
      </c>
      <c r="AP66" s="88" t="str">
        <f>IF(全车数据表!BK67="","",全车数据表!BK67)</f>
        <v/>
      </c>
      <c r="AQ66" s="88" t="str">
        <f>IF(全车数据表!BL67="","",全车数据表!BL67)</f>
        <v/>
      </c>
      <c r="AR66" s="88" t="str">
        <f>IF(全车数据表!BM67="","",全车数据表!BM67)</f>
        <v/>
      </c>
      <c r="AS66" s="88" t="str">
        <f>IF(全车数据表!BN67="","",全车数据表!BN67)</f>
        <v/>
      </c>
      <c r="AT66" s="88" t="str">
        <f>IF(全车数据表!BO67="","",全车数据表!BO67)</f>
        <v/>
      </c>
      <c r="AU66" s="88" t="str">
        <f>IF(全车数据表!BP67="","",全车数据表!BP67)</f>
        <v/>
      </c>
      <c r="AV66" s="88" t="str">
        <f>IF(全车数据表!BQ67="","",全车数据表!BQ67)</f>
        <v/>
      </c>
      <c r="AW66" s="88" t="str">
        <f>IF(全车数据表!BR67="","",全车数据表!BR67)</f>
        <v/>
      </c>
      <c r="AX66" s="88" t="str">
        <f>IF(全车数据表!BS67="","",全车数据表!BS67)</f>
        <v/>
      </c>
      <c r="AY66" s="88" t="str">
        <f>IF(全车数据表!BT67="","",全车数据表!BT67)</f>
        <v/>
      </c>
      <c r="AZ66" s="88" t="str">
        <f>IF(全车数据表!BU67="","",全车数据表!BU67)</f>
        <v/>
      </c>
      <c r="BA66" s="88" t="str">
        <f>IF(全车数据表!BV67="","",全车数据表!BV67)</f>
        <v>丰田</v>
      </c>
      <c r="BB66" s="91" t="str">
        <f>IF(全车数据表!AZ67="","",全车数据表!AZ67)</f>
        <v/>
      </c>
    </row>
    <row r="67" spans="1:54">
      <c r="A67" s="88">
        <f>全车数据表!A68</f>
        <v>66</v>
      </c>
      <c r="B67" s="88" t="str">
        <f>全车数据表!B68</f>
        <v>Mercedes-Benz 2022 Showcar Vision AMG</v>
      </c>
      <c r="C67" s="89" t="str">
        <f>全车数据表!E68</f>
        <v>visionamg</v>
      </c>
      <c r="D67" s="88" t="str">
        <f>IF(全车数据表!D68="","",全车数据表!D68)</f>
        <v>Mercedes-Benz</v>
      </c>
      <c r="E67" s="89" t="str">
        <f>全车数据表!H68</f>
        <v>4.6</v>
      </c>
      <c r="F67" s="89" t="str">
        <f>全车数据表!C68</f>
        <v>VisionAMG</v>
      </c>
      <c r="G67" s="89" t="str">
        <f>全车数据表!F68</f>
        <v>C</v>
      </c>
      <c r="H67" s="88">
        <f>LEN(全车数据表!G68)</f>
        <v>4</v>
      </c>
      <c r="I67" s="88" t="str">
        <f>VLOOKUP(全车数据表!P68,辅助计算!A:B,2,FALSE)</f>
        <v>rare</v>
      </c>
      <c r="J67" s="88">
        <f>全车数据表!Q68</f>
        <v>35</v>
      </c>
      <c r="K67" s="88">
        <f>全车数据表!R68</f>
        <v>38</v>
      </c>
      <c r="L67" s="88">
        <f>全车数据表!S68</f>
        <v>48</v>
      </c>
      <c r="M67" s="88">
        <f>全车数据表!T68</f>
        <v>58</v>
      </c>
      <c r="N67" s="88">
        <f>全车数据表!U68</f>
        <v>0</v>
      </c>
      <c r="O67" s="88">
        <f>全车数据表!V68</f>
        <v>0</v>
      </c>
      <c r="P67" s="88">
        <f>全车数据表!J68</f>
        <v>3288</v>
      </c>
      <c r="Q67" s="88">
        <f>全车数据表!K68</f>
        <v>335.1</v>
      </c>
      <c r="R67" s="88">
        <f>全车数据表!L68</f>
        <v>75.319999999999993</v>
      </c>
      <c r="S67" s="88">
        <f>全车数据表!M68</f>
        <v>51.68</v>
      </c>
      <c r="T67" s="88">
        <f>全车数据表!N68</f>
        <v>59.18</v>
      </c>
      <c r="U67" s="88">
        <f>全车数据表!O68</f>
        <v>0</v>
      </c>
      <c r="V67" s="88">
        <f>全车数据表!AL68</f>
        <v>3432000</v>
      </c>
      <c r="W67" s="88">
        <f>全车数据表!AM68</f>
        <v>28000</v>
      </c>
      <c r="X67" s="88">
        <f>全车数据表!AU68</f>
        <v>2016000</v>
      </c>
      <c r="Y67" s="88">
        <f>全车数据表!AV68</f>
        <v>0</v>
      </c>
      <c r="Z67" s="88">
        <f>全车数据表!AN68</f>
        <v>6</v>
      </c>
      <c r="AA67" s="88">
        <f>全车数据表!AP68</f>
        <v>3</v>
      </c>
      <c r="AB67" s="88">
        <f>全车数据表!AR68</f>
        <v>1</v>
      </c>
      <c r="AC67" s="88">
        <f>全车数据表!AW68</f>
        <v>349</v>
      </c>
      <c r="AD67" s="88">
        <f>全车数据表!AX68</f>
        <v>0</v>
      </c>
      <c r="AE67" s="88">
        <f>全车数据表!AY68</f>
        <v>452</v>
      </c>
      <c r="AF67" s="88" t="str">
        <f>IF(全车数据表!BA68="","",全车数据表!BA68)</f>
        <v>联会赛事</v>
      </c>
      <c r="AG67" s="88" t="str">
        <f>IF(全车数据表!BB68="","",全车数据表!BB68)</f>
        <v/>
      </c>
      <c r="AH67" s="88" t="str">
        <f>IF(全车数据表!BC68="","",全车数据表!BC68)</f>
        <v/>
      </c>
      <c r="AI67" s="88" t="str">
        <f>IF(全车数据表!BD68="","",全车数据表!BD68)</f>
        <v/>
      </c>
      <c r="AJ67" s="88" t="str">
        <f>IF(全车数据表!BE68="","",全车数据表!BE68)</f>
        <v/>
      </c>
      <c r="AK67" s="88" t="str">
        <f>IF(全车数据表!BF68="","",全车数据表!BF68)</f>
        <v/>
      </c>
      <c r="AL67" s="88" t="str">
        <f>IF(全车数据表!BG68="","",全车数据表!BG68)</f>
        <v/>
      </c>
      <c r="AM67" s="88" t="str">
        <f>IF(全车数据表!BH68="","",全车数据表!BH68)</f>
        <v/>
      </c>
      <c r="AN67" s="88" t="str">
        <f>IF(全车数据表!BI68="","",全车数据表!BI68)</f>
        <v/>
      </c>
      <c r="AO67" s="88" t="str">
        <f>IF(全车数据表!BJ68="","",全车数据表!BJ68)</f>
        <v/>
      </c>
      <c r="AP67" s="88" t="str">
        <f>IF(全车数据表!BK68="","",全车数据表!BK68)</f>
        <v/>
      </c>
      <c r="AQ67" s="88" t="str">
        <f>IF(全车数据表!BL68="","",全车数据表!BL68)</f>
        <v/>
      </c>
      <c r="AR67" s="88" t="str">
        <f>IF(全车数据表!BM68="","",全车数据表!BM68)</f>
        <v/>
      </c>
      <c r="AS67" s="88">
        <f>IF(全车数据表!BN68="","",全车数据表!BN68)</f>
        <v>1</v>
      </c>
      <c r="AT67" s="88" t="str">
        <f>IF(全车数据表!BO68="","",全车数据表!BO68)</f>
        <v/>
      </c>
      <c r="AU67" s="88" t="str">
        <f>IF(全车数据表!BP68="","",全车数据表!BP68)</f>
        <v/>
      </c>
      <c r="AV67" s="88" t="str">
        <f>IF(全车数据表!BQ68="","",全车数据表!BQ68)</f>
        <v/>
      </c>
      <c r="AW67" s="88" t="str">
        <f>IF(全车数据表!BR68="","",全车数据表!BR68)</f>
        <v/>
      </c>
      <c r="AX67" s="88" t="str">
        <f>IF(全车数据表!BS68="","",全车数据表!BS68)</f>
        <v/>
      </c>
      <c r="AY67" s="88" t="str">
        <f>IF(全车数据表!BT68="","",全车数据表!BT68)</f>
        <v/>
      </c>
      <c r="AZ67" s="88" t="str">
        <f>IF(全车数据表!BU68="","",全车数据表!BU68)</f>
        <v/>
      </c>
      <c r="BA67" s="88" t="str">
        <f>IF(全车数据表!BV68="","",全车数据表!BV68)</f>
        <v>梅赛德斯奔驰</v>
      </c>
      <c r="BB67" s="91" t="str">
        <f>IF(全车数据表!AZ68="","",全车数据表!AZ68)</f>
        <v/>
      </c>
    </row>
    <row r="68" spans="1:54">
      <c r="A68" s="88">
        <f>全车数据表!A69</f>
        <v>67</v>
      </c>
      <c r="B68" s="88" t="str">
        <f>全车数据表!B69</f>
        <v>Arash AF8 Falcon Edition🔑</v>
      </c>
      <c r="C68" s="89" t="str">
        <f>全车数据表!E69</f>
        <v>af8</v>
      </c>
      <c r="D68" s="88" t="str">
        <f>IF(全车数据表!D69="","",全车数据表!D69)</f>
        <v>Arash</v>
      </c>
      <c r="E68" s="89" t="str">
        <f>全车数据表!H69</f>
        <v>3.5</v>
      </c>
      <c r="F68" s="89" t="str">
        <f>全车数据表!C69</f>
        <v>AF8</v>
      </c>
      <c r="G68" s="89" t="str">
        <f>全车数据表!F69</f>
        <v>C</v>
      </c>
      <c r="H68" s="88">
        <f>LEN(全车数据表!G69)</f>
        <v>5</v>
      </c>
      <c r="I68" s="88" t="str">
        <f>VLOOKUP(全车数据表!P69,辅助计算!A:B,2,FALSE)</f>
        <v>rare</v>
      </c>
      <c r="J68" s="88" t="str">
        <f>全车数据表!Q69</f>
        <v>🔑</v>
      </c>
      <c r="K68" s="88">
        <f>全车数据表!R69</f>
        <v>35</v>
      </c>
      <c r="L68" s="88">
        <f>全车数据表!S69</f>
        <v>38</v>
      </c>
      <c r="M68" s="88">
        <f>全车数据表!T69</f>
        <v>48</v>
      </c>
      <c r="N68" s="88">
        <f>全车数据表!U69</f>
        <v>58</v>
      </c>
      <c r="O68" s="88">
        <f>全车数据表!V69</f>
        <v>0</v>
      </c>
      <c r="P68" s="88">
        <f>全车数据表!J69</f>
        <v>3289</v>
      </c>
      <c r="Q68" s="88">
        <f>全车数据表!K69</f>
        <v>333.1</v>
      </c>
      <c r="R68" s="88">
        <f>全车数据表!L69</f>
        <v>76.78</v>
      </c>
      <c r="S68" s="88">
        <f>全车数据表!M69</f>
        <v>66.13</v>
      </c>
      <c r="T68" s="88">
        <f>全车数据表!N69</f>
        <v>77.099999999999994</v>
      </c>
      <c r="U68" s="88">
        <f>全车数据表!O69</f>
        <v>0</v>
      </c>
      <c r="V68" s="88">
        <f>全车数据表!AL69</f>
        <v>0</v>
      </c>
      <c r="W68" s="88">
        <f>全车数据表!AM69</f>
        <v>20000</v>
      </c>
      <c r="X68" s="88">
        <f>全车数据表!AU69</f>
        <v>2320000</v>
      </c>
      <c r="Y68" s="88">
        <f>全车数据表!AV69</f>
        <v>0</v>
      </c>
      <c r="Z68" s="88">
        <f>全车数据表!AN69</f>
        <v>9</v>
      </c>
      <c r="AA68" s="88">
        <f>全车数据表!AP69</f>
        <v>4</v>
      </c>
      <c r="AB68" s="88">
        <f>全车数据表!AR69</f>
        <v>2</v>
      </c>
      <c r="AC68" s="88">
        <f>全车数据表!AW69</f>
        <v>347</v>
      </c>
      <c r="AD68" s="88">
        <f>全车数据表!AX69</f>
        <v>0</v>
      </c>
      <c r="AE68" s="88">
        <f>全车数据表!AY69</f>
        <v>449</v>
      </c>
      <c r="AF68" s="88" t="str">
        <f>IF(全车数据表!BA69="","",全车数据表!BA69)</f>
        <v>大奖赛</v>
      </c>
      <c r="AG68" s="88" t="str">
        <f>IF(全车数据表!BB69="","",全车数据表!BB69)</f>
        <v/>
      </c>
      <c r="AH68" s="88" t="str">
        <f>IF(全车数据表!BC69="","",全车数据表!BC69)</f>
        <v/>
      </c>
      <c r="AI68" s="88" t="str">
        <f>IF(全车数据表!BD69="","",全车数据表!BD69)</f>
        <v/>
      </c>
      <c r="AJ68" s="88" t="str">
        <f>IF(全车数据表!BE69="","",全车数据表!BE69)</f>
        <v/>
      </c>
      <c r="AK68" s="88" t="str">
        <f>IF(全车数据表!BF69="","",全车数据表!BF69)</f>
        <v/>
      </c>
      <c r="AL68" s="88" t="str">
        <f>IF(全车数据表!BG69="","",全车数据表!BG69)</f>
        <v/>
      </c>
      <c r="AM68" s="88" t="str">
        <f>IF(全车数据表!BH69="","",全车数据表!BH69)</f>
        <v/>
      </c>
      <c r="AN68" s="88" t="str">
        <f>IF(全车数据表!BI69="","",全车数据表!BI69)</f>
        <v/>
      </c>
      <c r="AO68" s="88" t="str">
        <f>IF(全车数据表!BJ69="","",全车数据表!BJ69)</f>
        <v/>
      </c>
      <c r="AP68" s="88" t="str">
        <f>IF(全车数据表!BK69="","",全车数据表!BK69)</f>
        <v/>
      </c>
      <c r="AQ68" s="88" t="str">
        <f>IF(全车数据表!BL69="","",全车数据表!BL69)</f>
        <v/>
      </c>
      <c r="AR68" s="88">
        <f>IF(全车数据表!BM69="","",全车数据表!BM69)</f>
        <v>1</v>
      </c>
      <c r="AS68" s="88" t="str">
        <f>IF(全车数据表!BN69="","",全车数据表!BN69)</f>
        <v/>
      </c>
      <c r="AT68" s="88">
        <f>IF(全车数据表!BO69="","",全车数据表!BO69)</f>
        <v>1</v>
      </c>
      <c r="AU68" s="88" t="str">
        <f>IF(全车数据表!BP69="","",全车数据表!BP69)</f>
        <v/>
      </c>
      <c r="AV68" s="88" t="str">
        <f>IF(全车数据表!BQ69="","",全车数据表!BQ69)</f>
        <v>1款</v>
      </c>
      <c r="AW68" s="88" t="str">
        <f>IF(全车数据表!BR69="","",全车数据表!BR69)</f>
        <v/>
      </c>
      <c r="AX68" s="88" t="str">
        <f>IF(全车数据表!BS69="","",全车数据表!BS69)</f>
        <v/>
      </c>
      <c r="AY68" s="88" t="str">
        <f>IF(全车数据表!BT69="","",全车数据表!BT69)</f>
        <v/>
      </c>
      <c r="AZ68" s="88" t="str">
        <f>IF(全车数据表!BU69="","",全车数据表!BU69)</f>
        <v/>
      </c>
      <c r="BA68" s="88" t="str">
        <f>IF(全车数据表!BV69="","",全车数据表!BV69)</f>
        <v>阿拉什</v>
      </c>
      <c r="BB68" s="91" t="str">
        <f>IF(全车数据表!AZ69="","",全车数据表!AZ69)</f>
        <v/>
      </c>
    </row>
    <row r="69" spans="1:54">
      <c r="A69" s="88">
        <f>全车数据表!A70</f>
        <v>68</v>
      </c>
      <c r="B69" s="88" t="str">
        <f>全车数据表!B70</f>
        <v>Jaguar XE SV Project 8</v>
      </c>
      <c r="C69" s="89" t="str">
        <f>全车数据表!E70</f>
        <v>project8</v>
      </c>
      <c r="D69" s="88" t="str">
        <f>IF(全车数据表!D70="","",全车数据表!D70)</f>
        <v>Jaguar</v>
      </c>
      <c r="E69" s="89" t="str">
        <f>全车数据表!H70</f>
        <v>3.8</v>
      </c>
      <c r="F69" s="89" t="str">
        <f>全车数据表!C70</f>
        <v>Project8</v>
      </c>
      <c r="G69" s="89" t="str">
        <f>全车数据表!F70</f>
        <v>C</v>
      </c>
      <c r="H69" s="88">
        <f>LEN(全车数据表!G70)</f>
        <v>5</v>
      </c>
      <c r="I69" s="88" t="str">
        <f>VLOOKUP(全车数据表!P70,辅助计算!A:B,2,FALSE)</f>
        <v>epic</v>
      </c>
      <c r="J69" s="88">
        <f>全车数据表!Q70</f>
        <v>35</v>
      </c>
      <c r="K69" s="88">
        <f>全车数据表!R70</f>
        <v>35</v>
      </c>
      <c r="L69" s="88">
        <f>全车数据表!S70</f>
        <v>36</v>
      </c>
      <c r="M69" s="88">
        <f>全车数据表!T70</f>
        <v>38</v>
      </c>
      <c r="N69" s="88">
        <f>全车数据表!U70</f>
        <v>42</v>
      </c>
      <c r="O69" s="88">
        <f>全车数据表!V70</f>
        <v>0</v>
      </c>
      <c r="P69" s="88">
        <f>全车数据表!J70</f>
        <v>3289</v>
      </c>
      <c r="Q69" s="88">
        <f>全车数据表!K70</f>
        <v>338.7</v>
      </c>
      <c r="R69" s="88">
        <f>全车数据表!L70</f>
        <v>78.28</v>
      </c>
      <c r="S69" s="88">
        <f>全车数据表!M70</f>
        <v>48.14</v>
      </c>
      <c r="T69" s="88">
        <f>全车数据表!N70</f>
        <v>62.98</v>
      </c>
      <c r="U69" s="88">
        <f>全车数据表!O70</f>
        <v>0</v>
      </c>
      <c r="V69" s="88">
        <f>全车数据表!AL70</f>
        <v>5806400</v>
      </c>
      <c r="W69" s="88">
        <f>全车数据表!AM70</f>
        <v>40000</v>
      </c>
      <c r="X69" s="88">
        <f>全车数据表!AU70</f>
        <v>4640000</v>
      </c>
      <c r="Y69" s="88">
        <f>全车数据表!AV70</f>
        <v>10446400</v>
      </c>
      <c r="Z69" s="88">
        <f>全车数据表!AN70</f>
        <v>9</v>
      </c>
      <c r="AA69" s="88">
        <f>全车数据表!AP70</f>
        <v>4</v>
      </c>
      <c r="AB69" s="88">
        <f>全车数据表!AR70</f>
        <v>2</v>
      </c>
      <c r="AC69" s="88">
        <f>全车数据表!AW70</f>
        <v>352</v>
      </c>
      <c r="AD69" s="88">
        <f>全车数据表!AX70</f>
        <v>0</v>
      </c>
      <c r="AE69" s="88">
        <f>全车数据表!AY70</f>
        <v>458</v>
      </c>
      <c r="AF69" s="88" t="str">
        <f>IF(全车数据表!BA70="","",全车数据表!BA70)</f>
        <v>通行证</v>
      </c>
      <c r="AG69" s="88" t="str">
        <f>IF(全车数据表!BB70="","",全车数据表!BB70)</f>
        <v/>
      </c>
      <c r="AH69" s="88" t="str">
        <f>IF(全车数据表!BC70="","",全车数据表!BC70)</f>
        <v/>
      </c>
      <c r="AI69" s="88" t="str">
        <f>IF(全车数据表!BD70="","",全车数据表!BD70)</f>
        <v/>
      </c>
      <c r="AJ69" s="88">
        <f>IF(全车数据表!BE70="","",全车数据表!BE70)</f>
        <v>1</v>
      </c>
      <c r="AK69" s="88" t="str">
        <f>IF(全车数据表!BF70="","",全车数据表!BF70)</f>
        <v/>
      </c>
      <c r="AL69" s="88" t="str">
        <f>IF(全车数据表!BG70="","",全车数据表!BG70)</f>
        <v/>
      </c>
      <c r="AM69" s="88">
        <f>IF(全车数据表!BH70="","",全车数据表!BH70)</f>
        <v>1</v>
      </c>
      <c r="AN69" s="88" t="str">
        <f>IF(全车数据表!BI70="","",全车数据表!BI70)</f>
        <v/>
      </c>
      <c r="AO69" s="88" t="str">
        <f>IF(全车数据表!BJ70="","",全车数据表!BJ70)</f>
        <v/>
      </c>
      <c r="AP69" s="88" t="str">
        <f>IF(全车数据表!BK70="","",全车数据表!BK70)</f>
        <v/>
      </c>
      <c r="AQ69" s="88" t="str">
        <f>IF(全车数据表!BL70="","",全车数据表!BL70)</f>
        <v/>
      </c>
      <c r="AR69" s="88" t="str">
        <f>IF(全车数据表!BM70="","",全车数据表!BM70)</f>
        <v/>
      </c>
      <c r="AS69" s="88" t="str">
        <f>IF(全车数据表!BN70="","",全车数据表!BN70)</f>
        <v/>
      </c>
      <c r="AT69" s="88" t="str">
        <f>IF(全车数据表!BO70="","",全车数据表!BO70)</f>
        <v/>
      </c>
      <c r="AU69" s="88" t="str">
        <f>IF(全车数据表!BP70="","",全车数据表!BP70)</f>
        <v/>
      </c>
      <c r="AV69" s="88" t="str">
        <f>IF(全车数据表!BQ70="","",全车数据表!BQ70)</f>
        <v/>
      </c>
      <c r="AW69" s="88" t="str">
        <f>IF(全车数据表!BR70="","",全车数据表!BR70)</f>
        <v/>
      </c>
      <c r="AX69" s="88" t="str">
        <f>IF(全车数据表!BS70="","",全车数据表!BS70)</f>
        <v/>
      </c>
      <c r="AY69" s="88" t="str">
        <f>IF(全车数据表!BT70="","",全车数据表!BT70)</f>
        <v/>
      </c>
      <c r="AZ69" s="88">
        <f>IF(全车数据表!BU70="","",全车数据表!BU70)</f>
        <v>1</v>
      </c>
      <c r="BA69" s="88" t="str">
        <f>IF(全车数据表!BV70="","",全车数据表!BV70)</f>
        <v>捷豹</v>
      </c>
      <c r="BB69" s="91" t="str">
        <f>IF(全车数据表!AZ70="","",全车数据表!AZ70)</f>
        <v/>
      </c>
    </row>
    <row r="70" spans="1:54">
      <c r="A70" s="88">
        <f>全车数据表!A71</f>
        <v>69</v>
      </c>
      <c r="B70" s="88" t="str">
        <f>全车数据表!B71</f>
        <v>Ferrari Monza SP1</v>
      </c>
      <c r="C70" s="89" t="str">
        <f>全车数据表!E71</f>
        <v>monza</v>
      </c>
      <c r="D70" s="88" t="str">
        <f>IF(全车数据表!D71="","",全车数据表!D71)</f>
        <v>Ferrari</v>
      </c>
      <c r="E70" s="89" t="str">
        <f>全车数据表!H71</f>
        <v>3.6</v>
      </c>
      <c r="F70" s="89" t="str">
        <f>全车数据表!C71</f>
        <v>Monza</v>
      </c>
      <c r="G70" s="89" t="str">
        <f>全车数据表!F71</f>
        <v>C</v>
      </c>
      <c r="H70" s="88">
        <f>LEN(全车数据表!G71)</f>
        <v>4</v>
      </c>
      <c r="I70" s="88" t="str">
        <f>VLOOKUP(全车数据表!P71,辅助计算!A:B,2,FALSE)</f>
        <v>rare</v>
      </c>
      <c r="J70" s="88">
        <f>全车数据表!Q71</f>
        <v>35</v>
      </c>
      <c r="K70" s="88">
        <f>全车数据表!R71</f>
        <v>38</v>
      </c>
      <c r="L70" s="88">
        <f>全车数据表!S71</f>
        <v>48</v>
      </c>
      <c r="M70" s="88">
        <f>全车数据表!T71</f>
        <v>58</v>
      </c>
      <c r="N70" s="88">
        <f>全车数据表!U71</f>
        <v>0</v>
      </c>
      <c r="O70" s="88">
        <f>全车数据表!V71</f>
        <v>0</v>
      </c>
      <c r="P70" s="88">
        <f>全车数据表!J71</f>
        <v>3334</v>
      </c>
      <c r="Q70" s="88">
        <f>全车数据表!K71</f>
        <v>319.60000000000002</v>
      </c>
      <c r="R70" s="88">
        <f>全车数据表!L71</f>
        <v>82.32</v>
      </c>
      <c r="S70" s="88">
        <f>全车数据表!M71</f>
        <v>62.53</v>
      </c>
      <c r="T70" s="88">
        <f>全车数据表!N71</f>
        <v>63.22</v>
      </c>
      <c r="U70" s="88">
        <f>全车数据表!O71</f>
        <v>0</v>
      </c>
      <c r="V70" s="88">
        <f>全车数据表!AL71</f>
        <v>3556000</v>
      </c>
      <c r="W70" s="88">
        <f>全车数据表!AM71</f>
        <v>20000</v>
      </c>
      <c r="X70" s="88">
        <f>全车数据表!AU71</f>
        <v>1440000</v>
      </c>
      <c r="Y70" s="88">
        <f>全车数据表!AV71</f>
        <v>4996000</v>
      </c>
      <c r="Z70" s="88">
        <f>全车数据表!AN71</f>
        <v>6</v>
      </c>
      <c r="AA70" s="88">
        <f>全车数据表!AP71</f>
        <v>3</v>
      </c>
      <c r="AB70" s="88">
        <f>全车数据表!AR71</f>
        <v>1</v>
      </c>
      <c r="AC70" s="88">
        <f>全车数据表!AW71</f>
        <v>333</v>
      </c>
      <c r="AD70" s="88">
        <f>全车数据表!AX71</f>
        <v>0</v>
      </c>
      <c r="AE70" s="88">
        <f>全车数据表!AY71</f>
        <v>425</v>
      </c>
      <c r="AF70" s="88" t="str">
        <f>IF(全车数据表!BA71="","",全车数据表!BA71)</f>
        <v>周末爆冲</v>
      </c>
      <c r="AG70" s="88" t="str">
        <f>IF(全车数据表!BB71="","",全车数据表!BB71)</f>
        <v/>
      </c>
      <c r="AH70" s="88" t="str">
        <f>IF(全车数据表!BC71="","",全车数据表!BC71)</f>
        <v/>
      </c>
      <c r="AI70" s="88" t="str">
        <f>IF(全车数据表!BD71="","",全车数据表!BD71)</f>
        <v/>
      </c>
      <c r="AJ70" s="88" t="str">
        <f>IF(全车数据表!BE71="","",全车数据表!BE71)</f>
        <v/>
      </c>
      <c r="AK70" s="88" t="str">
        <f>IF(全车数据表!BF71="","",全车数据表!BF71)</f>
        <v/>
      </c>
      <c r="AL70" s="88">
        <f>IF(全车数据表!BG71="","",全车数据表!BG71)</f>
        <v>1</v>
      </c>
      <c r="AM70" s="88" t="str">
        <f>IF(全车数据表!BH71="","",全车数据表!BH71)</f>
        <v/>
      </c>
      <c r="AN70" s="88" t="str">
        <f>IF(全车数据表!BI71="","",全车数据表!BI71)</f>
        <v/>
      </c>
      <c r="AO70" s="88" t="str">
        <f>IF(全车数据表!BJ71="","",全车数据表!BJ71)</f>
        <v/>
      </c>
      <c r="AP70" s="88" t="str">
        <f>IF(全车数据表!BK71="","",全车数据表!BK71)</f>
        <v/>
      </c>
      <c r="AQ70" s="88" t="str">
        <f>IF(全车数据表!BL71="","",全车数据表!BL71)</f>
        <v/>
      </c>
      <c r="AR70" s="88" t="str">
        <f>IF(全车数据表!BM71="","",全车数据表!BM71)</f>
        <v/>
      </c>
      <c r="AS70" s="88" t="str">
        <f>IF(全车数据表!BN71="","",全车数据表!BN71)</f>
        <v/>
      </c>
      <c r="AT70" s="88" t="str">
        <f>IF(全车数据表!BO71="","",全车数据表!BO71)</f>
        <v/>
      </c>
      <c r="AU70" s="88" t="str">
        <f>IF(全车数据表!BP71="","",全车数据表!BP71)</f>
        <v/>
      </c>
      <c r="AV70" s="88" t="str">
        <f>IF(全车数据表!BQ71="","",全车数据表!BQ71)</f>
        <v/>
      </c>
      <c r="AW70" s="88" t="str">
        <f>IF(全车数据表!BR71="","",全车数据表!BR71)</f>
        <v/>
      </c>
      <c r="AX70" s="88" t="str">
        <f>IF(全车数据表!BS71="","",全车数据表!BS71)</f>
        <v/>
      </c>
      <c r="AY70" s="88" t="str">
        <f>IF(全车数据表!BT71="","",全车数据表!BT71)</f>
        <v/>
      </c>
      <c r="AZ70" s="88" t="str">
        <f>IF(全车数据表!BU71="","",全车数据表!BU71)</f>
        <v/>
      </c>
      <c r="BA70" s="88" t="str">
        <f>IF(全车数据表!BV71="","",全车数据表!BV71)</f>
        <v>法拉利</v>
      </c>
      <c r="BB70" s="91" t="str">
        <f>IF(全车数据表!AZ71="","",全车数据表!AZ71)</f>
        <v/>
      </c>
    </row>
    <row r="71" spans="1:54">
      <c r="A71" s="88">
        <f>全车数据表!A72</f>
        <v>70</v>
      </c>
      <c r="B71" s="88" t="str">
        <f>全车数据表!B72</f>
        <v>Ares S1🔑</v>
      </c>
      <c r="C71" s="89" t="str">
        <f>全车数据表!E72</f>
        <v>ares</v>
      </c>
      <c r="D71" s="88" t="str">
        <f>IF(全车数据表!D72="","",全车数据表!D72)</f>
        <v>Ares</v>
      </c>
      <c r="E71" s="89" t="str">
        <f>全车数据表!H72</f>
        <v>3.9</v>
      </c>
      <c r="F71" s="89" t="str">
        <f>全车数据表!C72</f>
        <v>Ares</v>
      </c>
      <c r="G71" s="89" t="str">
        <f>全车数据表!F72</f>
        <v>C</v>
      </c>
      <c r="H71" s="88">
        <f>LEN(全车数据表!G72)</f>
        <v>5</v>
      </c>
      <c r="I71" s="88" t="str">
        <f>VLOOKUP(全车数据表!P72,辅助计算!A:B,2,FALSE)</f>
        <v>epic</v>
      </c>
      <c r="J71" s="88" t="str">
        <f>全车数据表!Q72</f>
        <v>🔑</v>
      </c>
      <c r="K71" s="88">
        <f>全车数据表!R72</f>
        <v>38</v>
      </c>
      <c r="L71" s="88">
        <f>全车数据表!S72</f>
        <v>45</v>
      </c>
      <c r="M71" s="88">
        <f>全车数据表!T72</f>
        <v>48</v>
      </c>
      <c r="N71" s="88">
        <f>全车数据表!U72</f>
        <v>50</v>
      </c>
      <c r="O71" s="88">
        <f>全车数据表!V72</f>
        <v>0</v>
      </c>
      <c r="P71" s="88">
        <f>全车数据表!J72</f>
        <v>3377</v>
      </c>
      <c r="Q71" s="88">
        <f>全车数据表!K72</f>
        <v>307.8</v>
      </c>
      <c r="R71" s="88">
        <f>全车数据表!L72</f>
        <v>89.55</v>
      </c>
      <c r="S71" s="88">
        <f>全车数据表!M72</f>
        <v>78.930000000000007</v>
      </c>
      <c r="T71" s="88">
        <f>全车数据表!N72</f>
        <v>68.930000000000007</v>
      </c>
      <c r="U71" s="88">
        <f>全车数据表!O72</f>
        <v>0</v>
      </c>
      <c r="V71" s="88">
        <f>全车数据表!AL72</f>
        <v>5806400</v>
      </c>
      <c r="W71" s="88">
        <f>全车数据表!AM72</f>
        <v>40000</v>
      </c>
      <c r="X71" s="88">
        <f>全车数据表!AU72</f>
        <v>4640000</v>
      </c>
      <c r="Y71" s="88">
        <f>全车数据表!AV72</f>
        <v>10446400</v>
      </c>
      <c r="Z71" s="88">
        <f>全车数据表!AN72</f>
        <v>9</v>
      </c>
      <c r="AA71" s="88">
        <f>全车数据表!AP72</f>
        <v>4</v>
      </c>
      <c r="AB71" s="88">
        <f>全车数据表!AR72</f>
        <v>2</v>
      </c>
      <c r="AC71" s="88">
        <f>全车数据表!AW72</f>
        <v>321</v>
      </c>
      <c r="AD71" s="88">
        <f>全车数据表!AX72</f>
        <v>333</v>
      </c>
      <c r="AE71" s="88">
        <f>全车数据表!AY72</f>
        <v>422</v>
      </c>
      <c r="AF71" s="88" t="str">
        <f>IF(全车数据表!BA72="","",全车数据表!BA72)</f>
        <v>大奖赛</v>
      </c>
      <c r="AG71" s="88" t="str">
        <f>IF(全车数据表!BB72="","",全车数据表!BB72)</f>
        <v/>
      </c>
      <c r="AH71" s="88" t="str">
        <f>IF(全车数据表!BC72="","",全车数据表!BC72)</f>
        <v/>
      </c>
      <c r="AI71" s="88" t="str">
        <f>IF(全车数据表!BD72="","",全车数据表!BD72)</f>
        <v/>
      </c>
      <c r="AJ71" s="88" t="str">
        <f>IF(全车数据表!BE72="","",全车数据表!BE72)</f>
        <v/>
      </c>
      <c r="AK71" s="88" t="str">
        <f>IF(全车数据表!BF72="","",全车数据表!BF72)</f>
        <v/>
      </c>
      <c r="AL71" s="88" t="str">
        <f>IF(全车数据表!BG72="","",全车数据表!BG72)</f>
        <v/>
      </c>
      <c r="AM71" s="88" t="str">
        <f>IF(全车数据表!BH72="","",全车数据表!BH72)</f>
        <v/>
      </c>
      <c r="AN71" s="88" t="str">
        <f>IF(全车数据表!BI72="","",全车数据表!BI72)</f>
        <v/>
      </c>
      <c r="AO71" s="88" t="str">
        <f>IF(全车数据表!BJ72="","",全车数据表!BJ72)</f>
        <v/>
      </c>
      <c r="AP71" s="88" t="str">
        <f>IF(全车数据表!BK72="","",全车数据表!BK72)</f>
        <v/>
      </c>
      <c r="AQ71" s="88" t="str">
        <f>IF(全车数据表!BL72="","",全车数据表!BL72)</f>
        <v/>
      </c>
      <c r="AR71" s="88">
        <f>IF(全车数据表!BM72="","",全车数据表!BM72)</f>
        <v>1</v>
      </c>
      <c r="AS71" s="88" t="str">
        <f>IF(全车数据表!BN72="","",全车数据表!BN72)</f>
        <v/>
      </c>
      <c r="AT71" s="88">
        <f>IF(全车数据表!BO72="","",全车数据表!BO72)</f>
        <v>1</v>
      </c>
      <c r="AU71" s="88" t="str">
        <f>IF(全车数据表!BP72="","",全车数据表!BP72)</f>
        <v/>
      </c>
      <c r="AV71" s="88" t="str">
        <f>IF(全车数据表!BQ72="","",全车数据表!BQ72)</f>
        <v/>
      </c>
      <c r="AW71" s="88" t="str">
        <f>IF(全车数据表!BR72="","",全车数据表!BR72)</f>
        <v/>
      </c>
      <c r="AX71" s="88" t="str">
        <f>IF(全车数据表!BS72="","",全车数据表!BS72)</f>
        <v/>
      </c>
      <c r="AY71" s="88" t="str">
        <f>IF(全车数据表!BT72="","",全车数据表!BT72)</f>
        <v/>
      </c>
      <c r="AZ71" s="88" t="str">
        <f>IF(全车数据表!BU72="","",全车数据表!BU72)</f>
        <v/>
      </c>
      <c r="BA71" s="88" t="str">
        <f>IF(全车数据表!BV72="","",全车数据表!BV72)</f>
        <v>战神</v>
      </c>
      <c r="BB71" s="91" t="str">
        <f>IF(全车数据表!AZ72="","",全车数据表!AZ72)</f>
        <v/>
      </c>
    </row>
    <row r="72" spans="1:54">
      <c r="A72" s="88">
        <f>全车数据表!A73</f>
        <v>71</v>
      </c>
      <c r="B72" s="88" t="str">
        <f>全车数据表!B73</f>
        <v>Porsche Panamera Turbo S</v>
      </c>
      <c r="C72" s="89" t="str">
        <f>全车数据表!E73</f>
        <v>panamera</v>
      </c>
      <c r="D72" s="88" t="str">
        <f>IF(全车数据表!D73="","",全车数据表!D73)</f>
        <v>Porsche</v>
      </c>
      <c r="E72" s="89" t="str">
        <f>全车数据表!H73</f>
        <v>4.2</v>
      </c>
      <c r="F72" s="89" t="str">
        <f>全车数据表!C73</f>
        <v>帕拉梅拉</v>
      </c>
      <c r="G72" s="89" t="str">
        <f>全车数据表!F73</f>
        <v>C</v>
      </c>
      <c r="H72" s="88">
        <f>LEN(全车数据表!G73)</f>
        <v>5</v>
      </c>
      <c r="I72" s="88" t="str">
        <f>VLOOKUP(全车数据表!P73,辅助计算!A:B,2,FALSE)</f>
        <v>epic</v>
      </c>
      <c r="J72" s="88">
        <f>全车数据表!Q73</f>
        <v>35</v>
      </c>
      <c r="K72" s="88">
        <f>全车数据表!R73</f>
        <v>35</v>
      </c>
      <c r="L72" s="88">
        <f>全车数据表!S73</f>
        <v>36</v>
      </c>
      <c r="M72" s="88">
        <f>全车数据表!T73</f>
        <v>38</v>
      </c>
      <c r="N72" s="88">
        <f>全车数据表!U73</f>
        <v>42</v>
      </c>
      <c r="O72" s="88">
        <f>全车数据表!V73</f>
        <v>0</v>
      </c>
      <c r="P72" s="88">
        <f>全车数据表!J73</f>
        <v>3403</v>
      </c>
      <c r="Q72" s="88">
        <f>全车数据表!K73</f>
        <v>326.3</v>
      </c>
      <c r="R72" s="88">
        <f>全车数据表!L73</f>
        <v>88.03</v>
      </c>
      <c r="S72" s="88">
        <f>全车数据表!M73</f>
        <v>72.48</v>
      </c>
      <c r="T72" s="88">
        <f>全车数据表!N73</f>
        <v>58.56</v>
      </c>
      <c r="U72" s="88">
        <f>全车数据表!O73</f>
        <v>0</v>
      </c>
      <c r="V72" s="88">
        <f>全车数据表!AL73</f>
        <v>5700000</v>
      </c>
      <c r="W72" s="88">
        <f>全车数据表!AM73</f>
        <v>40000</v>
      </c>
      <c r="X72" s="88">
        <f>全车数据表!AU73</f>
        <v>4640000</v>
      </c>
      <c r="Y72" s="88">
        <f>全车数据表!AV73</f>
        <v>10340000</v>
      </c>
      <c r="Z72" s="88">
        <f>全车数据表!AN73</f>
        <v>9</v>
      </c>
      <c r="AA72" s="88">
        <f>全车数据表!AP73</f>
        <v>4</v>
      </c>
      <c r="AB72" s="88">
        <f>全车数据表!AR73</f>
        <v>2</v>
      </c>
      <c r="AC72" s="88">
        <f>全车数据表!AW73</f>
        <v>340</v>
      </c>
      <c r="AD72" s="88">
        <f>全车数据表!AX73</f>
        <v>0</v>
      </c>
      <c r="AE72" s="88">
        <f>全车数据表!AY73</f>
        <v>437</v>
      </c>
      <c r="AF72" s="88" t="str">
        <f>IF(全车数据表!BA73="","",全车数据表!BA73)</f>
        <v>惊艳亮相</v>
      </c>
      <c r="AG72" s="88" t="str">
        <f>IF(全车数据表!BB73="","",全车数据表!BB73)</f>
        <v/>
      </c>
      <c r="AH72" s="88" t="str">
        <f>IF(全车数据表!BC73="","",全车数据表!BC73)</f>
        <v/>
      </c>
      <c r="AI72" s="88" t="str">
        <f>IF(全车数据表!BD73="","",全车数据表!BD73)</f>
        <v/>
      </c>
      <c r="AJ72" s="88" t="str">
        <f>IF(全车数据表!BE73="","",全车数据表!BE73)</f>
        <v/>
      </c>
      <c r="AK72" s="88" t="str">
        <f>IF(全车数据表!BF73="","",全车数据表!BF73)</f>
        <v/>
      </c>
      <c r="AL72" s="88" t="str">
        <f>IF(全车数据表!BG73="","",全车数据表!BG73)</f>
        <v/>
      </c>
      <c r="AM72" s="88" t="str">
        <f>IF(全车数据表!BH73="","",全车数据表!BH73)</f>
        <v/>
      </c>
      <c r="AN72" s="88">
        <f>IF(全车数据表!BI73="","",全车数据表!BI73)</f>
        <v>1</v>
      </c>
      <c r="AO72" s="88" t="str">
        <f>IF(全车数据表!BJ73="","",全车数据表!BJ73)</f>
        <v/>
      </c>
      <c r="AP72" s="88" t="str">
        <f>IF(全车数据表!BK73="","",全车数据表!BK73)</f>
        <v/>
      </c>
      <c r="AQ72" s="88" t="str">
        <f>IF(全车数据表!BL73="","",全车数据表!BL73)</f>
        <v/>
      </c>
      <c r="AR72" s="88" t="str">
        <f>IF(全车数据表!BM73="","",全车数据表!BM73)</f>
        <v/>
      </c>
      <c r="AS72" s="88" t="str">
        <f>IF(全车数据表!BN73="","",全车数据表!BN73)</f>
        <v/>
      </c>
      <c r="AT72" s="88" t="str">
        <f>IF(全车数据表!BO73="","",全车数据表!BO73)</f>
        <v/>
      </c>
      <c r="AU72" s="88" t="str">
        <f>IF(全车数据表!BP73="","",全车数据表!BP73)</f>
        <v/>
      </c>
      <c r="AV72" s="88" t="str">
        <f>IF(全车数据表!BQ73="","",全车数据表!BQ73)</f>
        <v/>
      </c>
      <c r="AW72" s="88" t="str">
        <f>IF(全车数据表!BR73="","",全车数据表!BR73)</f>
        <v/>
      </c>
      <c r="AX72" s="88" t="str">
        <f>IF(全车数据表!BS73="","",全车数据表!BS73)</f>
        <v/>
      </c>
      <c r="AY72" s="88" t="str">
        <f>IF(全车数据表!BT73="","",全车数据表!BT73)</f>
        <v/>
      </c>
      <c r="AZ72" s="88" t="str">
        <f>IF(全车数据表!BU73="","",全车数据表!BU73)</f>
        <v/>
      </c>
      <c r="BA72" s="88" t="str">
        <f>IF(全车数据表!BV73="","",全车数据表!BV73)</f>
        <v>保时捷</v>
      </c>
      <c r="BB72" s="91" t="str">
        <f>IF(全车数据表!AZ73="","",全车数据表!AZ73)</f>
        <v/>
      </c>
    </row>
    <row r="73" spans="1:54">
      <c r="A73" s="88">
        <f>全车数据表!A74</f>
        <v>72</v>
      </c>
      <c r="B73" s="88" t="str">
        <f>全车数据表!B74</f>
        <v>DS Automobiles DS E-Tense Performance</v>
      </c>
      <c r="C73" s="89" t="str">
        <f>全车数据表!E74</f>
        <v>dsp</v>
      </c>
      <c r="D73" s="88" t="str">
        <f>IF(全车数据表!D74="","",全车数据表!D74)</f>
        <v>DS Automobiles</v>
      </c>
      <c r="E73" s="89" t="str">
        <f>全车数据表!H74</f>
        <v>4.4</v>
      </c>
      <c r="F73" s="89" t="str">
        <f>全车数据表!C74</f>
        <v>DSP</v>
      </c>
      <c r="G73" s="89" t="str">
        <f>全车数据表!F74</f>
        <v>C</v>
      </c>
      <c r="H73" s="88">
        <f>LEN(全车数据表!G74)</f>
        <v>6</v>
      </c>
      <c r="I73" s="88" t="str">
        <f>VLOOKUP(全车数据表!P74,辅助计算!A:B,2,FALSE)</f>
        <v>epic</v>
      </c>
      <c r="J73" s="88">
        <f>全车数据表!Q74</f>
        <v>35</v>
      </c>
      <c r="K73" s="88">
        <f>全车数据表!R74</f>
        <v>35</v>
      </c>
      <c r="L73" s="88">
        <f>全车数据表!S74</f>
        <v>35</v>
      </c>
      <c r="M73" s="88">
        <f>全车数据表!T74</f>
        <v>35</v>
      </c>
      <c r="N73" s="88">
        <f>全车数据表!U74</f>
        <v>36</v>
      </c>
      <c r="O73" s="88">
        <f>全车数据表!V74</f>
        <v>36</v>
      </c>
      <c r="P73" s="88">
        <f>全车数据表!J74</f>
        <v>3424</v>
      </c>
      <c r="Q73" s="88">
        <f>全车数据表!K74</f>
        <v>318.7</v>
      </c>
      <c r="R73" s="88">
        <f>全车数据表!L74</f>
        <v>90.06</v>
      </c>
      <c r="S73" s="88">
        <f>全车数据表!M74</f>
        <v>76.680000000000007</v>
      </c>
      <c r="T73" s="88">
        <f>全车数据表!N74</f>
        <v>61.55</v>
      </c>
      <c r="U73" s="88">
        <f>全车数据表!O74</f>
        <v>0</v>
      </c>
      <c r="V73" s="88">
        <f>全车数据表!AL74</f>
        <v>6500000</v>
      </c>
      <c r="W73" s="88">
        <f>全车数据表!AM74</f>
        <v>36000</v>
      </c>
      <c r="X73" s="88">
        <f>全车数据表!AU74</f>
        <v>5040000</v>
      </c>
      <c r="Y73" s="88">
        <f>全车数据表!AV74</f>
        <v>11540000</v>
      </c>
      <c r="Z73" s="88">
        <f>全车数据表!AN74</f>
        <v>7</v>
      </c>
      <c r="AA73" s="88">
        <f>全车数据表!AP74</f>
        <v>5</v>
      </c>
      <c r="AB73" s="88">
        <f>全车数据表!AR74</f>
        <v>3</v>
      </c>
      <c r="AC73" s="88">
        <f>全车数据表!AW74</f>
        <v>332</v>
      </c>
      <c r="AD73" s="88">
        <f>全车数据表!AX74</f>
        <v>0</v>
      </c>
      <c r="AE73" s="88">
        <f>全车数据表!AY74</f>
        <v>424</v>
      </c>
      <c r="AF73" s="88" t="str">
        <f>IF(全车数据表!BA74="","",全车数据表!BA74)</f>
        <v>特殊赛事</v>
      </c>
      <c r="AG73" s="88" t="str">
        <f>IF(全车数据表!BB74="","",全车数据表!BB74)</f>
        <v/>
      </c>
      <c r="AH73" s="88" t="str">
        <f>IF(全车数据表!BC74="","",全车数据表!BC74)</f>
        <v/>
      </c>
      <c r="AI73" s="88" t="str">
        <f>IF(全车数据表!BD74="","",全车数据表!BD74)</f>
        <v/>
      </c>
      <c r="AJ73" s="88" t="str">
        <f>IF(全车数据表!BE74="","",全车数据表!BE74)</f>
        <v/>
      </c>
      <c r="AK73" s="88" t="str">
        <f>IF(全车数据表!BF74="","",全车数据表!BF74)</f>
        <v/>
      </c>
      <c r="AL73" s="88" t="str">
        <f>IF(全车数据表!BG74="","",全车数据表!BG74)</f>
        <v/>
      </c>
      <c r="AM73" s="88" t="str">
        <f>IF(全车数据表!BH74="","",全车数据表!BH74)</f>
        <v/>
      </c>
      <c r="AN73" s="88" t="str">
        <f>IF(全车数据表!BI74="","",全车数据表!BI74)</f>
        <v/>
      </c>
      <c r="AO73" s="88" t="str">
        <f>IF(全车数据表!BJ74="","",全车数据表!BJ74)</f>
        <v/>
      </c>
      <c r="AP73" s="88" t="str">
        <f>IF(全车数据表!BK74="","",全车数据表!BK74)</f>
        <v/>
      </c>
      <c r="AQ73" s="88">
        <f>IF(全车数据表!BL74="","",全车数据表!BL74)</f>
        <v>1</v>
      </c>
      <c r="AR73" s="88" t="str">
        <f>IF(全车数据表!BM74="","",全车数据表!BM74)</f>
        <v/>
      </c>
      <c r="AS73" s="88" t="str">
        <f>IF(全车数据表!BN74="","",全车数据表!BN74)</f>
        <v/>
      </c>
      <c r="AT73" s="88" t="str">
        <f>IF(全车数据表!BO74="","",全车数据表!BO74)</f>
        <v/>
      </c>
      <c r="AU73" s="88" t="str">
        <f>IF(全车数据表!BP74="","",全车数据表!BP74)</f>
        <v/>
      </c>
      <c r="AV73" s="88" t="str">
        <f>IF(全车数据表!BQ74="","",全车数据表!BQ74)</f>
        <v/>
      </c>
      <c r="AW73" s="88" t="str">
        <f>IF(全车数据表!BR74="","",全车数据表!BR74)</f>
        <v/>
      </c>
      <c r="AX73" s="88" t="str">
        <f>IF(全车数据表!BS74="","",全车数据表!BS74)</f>
        <v/>
      </c>
      <c r="AY73" s="88" t="str">
        <f>IF(全车数据表!BT74="","",全车数据表!BT74)</f>
        <v/>
      </c>
      <c r="AZ73" s="88" t="str">
        <f>IF(全车数据表!BU74="","",全车数据表!BU74)</f>
        <v/>
      </c>
      <c r="BA73" s="88" t="str">
        <f>IF(全车数据表!BV74="","",全车数据表!BV74)</f>
        <v/>
      </c>
      <c r="BB73" s="91" t="str">
        <f>IF(全车数据表!AZ74="","",全车数据表!AZ74)</f>
        <v/>
      </c>
    </row>
    <row r="74" spans="1:54">
      <c r="A74" s="88">
        <f>全车数据表!A75</f>
        <v>73</v>
      </c>
      <c r="B74" s="88" t="str">
        <f>全车数据表!B75</f>
        <v>Mercedes-Benz Mercedes-AMG GT Black Series🔑</v>
      </c>
      <c r="C74" s="89" t="str">
        <f>全车数据表!E75</f>
        <v>mbbs</v>
      </c>
      <c r="D74" s="88" t="str">
        <f>IF(全车数据表!D75="","",全车数据表!D75)</f>
        <v>Mercedes-Benz</v>
      </c>
      <c r="E74" s="89" t="str">
        <f>全车数据表!H75</f>
        <v>4.0</v>
      </c>
      <c r="F74" s="89" t="str">
        <f>全车数据表!C75</f>
        <v>梅奔BS</v>
      </c>
      <c r="G74" s="89" t="str">
        <f>全车数据表!F75</f>
        <v>C</v>
      </c>
      <c r="H74" s="88">
        <f>LEN(全车数据表!G75)</f>
        <v>6</v>
      </c>
      <c r="I74" s="88" t="str">
        <f>VLOOKUP(全车数据表!P75,辅助计算!A:B,2,FALSE)</f>
        <v>epic</v>
      </c>
      <c r="J74" s="88" t="str">
        <f>全车数据表!Q75</f>
        <v>🔑</v>
      </c>
      <c r="K74" s="88">
        <f>全车数据表!R75</f>
        <v>35</v>
      </c>
      <c r="L74" s="88">
        <f>全车数据表!S75</f>
        <v>36</v>
      </c>
      <c r="M74" s="88">
        <f>全车数据表!T75</f>
        <v>36</v>
      </c>
      <c r="N74" s="88">
        <f>全车数据表!U75</f>
        <v>38</v>
      </c>
      <c r="O74" s="88">
        <f>全车数据表!V75</f>
        <v>40</v>
      </c>
      <c r="P74" s="88">
        <f>全车数据表!J75</f>
        <v>3513</v>
      </c>
      <c r="Q74" s="88">
        <f>全车数据表!K75</f>
        <v>335.6</v>
      </c>
      <c r="R74" s="88">
        <f>全车数据表!L75</f>
        <v>81.67</v>
      </c>
      <c r="S74" s="88">
        <f>全车数据表!M75</f>
        <v>60.63</v>
      </c>
      <c r="T74" s="88">
        <f>全车数据表!N75</f>
        <v>67.23</v>
      </c>
      <c r="U74" s="88">
        <f>全车数据表!O75</f>
        <v>0</v>
      </c>
      <c r="V74" s="88">
        <f>全车数据表!AL75</f>
        <v>6500000</v>
      </c>
      <c r="W74" s="88">
        <f>全车数据表!AM75</f>
        <v>36000</v>
      </c>
      <c r="X74" s="88">
        <f>全车数据表!AU75</f>
        <v>5040000</v>
      </c>
      <c r="Y74" s="88">
        <f>全车数据表!AV75</f>
        <v>11540000</v>
      </c>
      <c r="Z74" s="88">
        <f>全车数据表!AN75</f>
        <v>7</v>
      </c>
      <c r="AA74" s="88">
        <f>全车数据表!AP75</f>
        <v>5</v>
      </c>
      <c r="AB74" s="88">
        <f>全车数据表!AR75</f>
        <v>3</v>
      </c>
      <c r="AC74" s="88">
        <f>全车数据表!AW75</f>
        <v>349</v>
      </c>
      <c r="AD74" s="88">
        <f>全车数据表!AX75</f>
        <v>0</v>
      </c>
      <c r="AE74" s="88">
        <f>全车数据表!AY75</f>
        <v>453</v>
      </c>
      <c r="AF74" s="88" t="str">
        <f>IF(全车数据表!BA75="","",全车数据表!BA75)</f>
        <v>大奖赛</v>
      </c>
      <c r="AG74" s="88" t="str">
        <f>IF(全车数据表!BB75="","",全车数据表!BB75)</f>
        <v/>
      </c>
      <c r="AH74" s="88" t="str">
        <f>IF(全车数据表!BC75="","",全车数据表!BC75)</f>
        <v/>
      </c>
      <c r="AI74" s="88" t="str">
        <f>IF(全车数据表!BD75="","",全车数据表!BD75)</f>
        <v/>
      </c>
      <c r="AJ74" s="88" t="str">
        <f>IF(全车数据表!BE75="","",全车数据表!BE75)</f>
        <v/>
      </c>
      <c r="AK74" s="88" t="str">
        <f>IF(全车数据表!BF75="","",全车数据表!BF75)</f>
        <v/>
      </c>
      <c r="AL74" s="88" t="str">
        <f>IF(全车数据表!BG75="","",全车数据表!BG75)</f>
        <v/>
      </c>
      <c r="AM74" s="88" t="str">
        <f>IF(全车数据表!BH75="","",全车数据表!BH75)</f>
        <v/>
      </c>
      <c r="AN74" s="88" t="str">
        <f>IF(全车数据表!BI75="","",全车数据表!BI75)</f>
        <v/>
      </c>
      <c r="AO74" s="88" t="str">
        <f>IF(全车数据表!BJ75="","",全车数据表!BJ75)</f>
        <v/>
      </c>
      <c r="AP74" s="88" t="str">
        <f>IF(全车数据表!BK75="","",全车数据表!BK75)</f>
        <v/>
      </c>
      <c r="AQ74" s="88" t="str">
        <f>IF(全车数据表!BL75="","",全车数据表!BL75)</f>
        <v/>
      </c>
      <c r="AR74" s="88">
        <f>IF(全车数据表!BM75="","",全车数据表!BM75)</f>
        <v>1</v>
      </c>
      <c r="AS74" s="88" t="str">
        <f>IF(全车数据表!BN75="","",全车数据表!BN75)</f>
        <v/>
      </c>
      <c r="AT74" s="88">
        <f>IF(全车数据表!BO75="","",全车数据表!BO75)</f>
        <v>1</v>
      </c>
      <c r="AU74" s="88" t="str">
        <f>IF(全车数据表!BP75="","",全车数据表!BP75)</f>
        <v/>
      </c>
      <c r="AV74" s="88" t="str">
        <f>IF(全车数据表!BQ75="","",全车数据表!BQ75)</f>
        <v/>
      </c>
      <c r="AW74" s="88" t="str">
        <f>IF(全车数据表!BR75="","",全车数据表!BR75)</f>
        <v/>
      </c>
      <c r="AX74" s="88" t="str">
        <f>IF(全车数据表!BS75="","",全车数据表!BS75)</f>
        <v/>
      </c>
      <c r="AY74" s="88" t="str">
        <f>IF(全车数据表!BT75="","",全车数据表!BT75)</f>
        <v/>
      </c>
      <c r="AZ74" s="88" t="str">
        <f>IF(全车数据表!BU75="","",全车数据表!BU75)</f>
        <v/>
      </c>
      <c r="BA74" s="88" t="str">
        <f>IF(全车数据表!BV75="","",全车数据表!BV75)</f>
        <v>梅赛德斯 奔驰</v>
      </c>
      <c r="BB74" s="91" t="str">
        <f>IF(全车数据表!AZ75="","",全车数据表!AZ75)</f>
        <v/>
      </c>
    </row>
    <row r="75" spans="1:54">
      <c r="A75" s="88">
        <f>全车数据表!A76</f>
        <v>74</v>
      </c>
      <c r="B75" s="88" t="str">
        <f>全车数据表!B76</f>
        <v>Dodge Charger SRT Hellcat Redeye Widebody</v>
      </c>
      <c r="C75" s="89" t="str">
        <f>全车数据表!E76</f>
        <v>dodge_charger_srt_hellcat_redeye_widebody</v>
      </c>
      <c r="D75" s="88" t="str">
        <f>IF(全车数据表!D76="","",全车数据表!D76)</f>
        <v>Dodge</v>
      </c>
      <c r="E75" s="89" t="str">
        <f>全车数据表!H76</f>
        <v>5.8</v>
      </c>
      <c r="F75" s="89" t="str">
        <f>全车数据表!C76</f>
        <v>地狱猫</v>
      </c>
      <c r="G75" s="89" t="str">
        <f>全车数据表!F76</f>
        <v>C</v>
      </c>
      <c r="H75" s="88">
        <f>LEN(全车数据表!G76)</f>
        <v>5</v>
      </c>
      <c r="I75" s="88" t="str">
        <f>VLOOKUP(全车数据表!P76,辅助计算!A:B,2,FALSE)</f>
        <v>epic</v>
      </c>
      <c r="J75" s="88" t="str">
        <f>全车数据表!Q76</f>
        <v>?</v>
      </c>
      <c r="K75" s="88" t="str">
        <f>全车数据表!R76</f>
        <v>?</v>
      </c>
      <c r="L75" s="88" t="str">
        <f>全车数据表!S76</f>
        <v>?</v>
      </c>
      <c r="M75" s="88" t="str">
        <f>全车数据表!T76</f>
        <v>?</v>
      </c>
      <c r="N75" s="88" t="str">
        <f>全车数据表!U76</f>
        <v>?</v>
      </c>
      <c r="O75" s="88">
        <f>全车数据表!V76</f>
        <v>0</v>
      </c>
      <c r="P75" s="88">
        <f>全车数据表!J76</f>
        <v>3518</v>
      </c>
      <c r="Q75" s="88">
        <f>全车数据表!K76</f>
        <v>342.6</v>
      </c>
      <c r="R75" s="88">
        <f>全车数据表!L76</f>
        <v>76.31</v>
      </c>
      <c r="S75" s="88">
        <f>全车数据表!M76</f>
        <v>51.13</v>
      </c>
      <c r="T75" s="88">
        <f>全车数据表!N76</f>
        <v>58.64</v>
      </c>
      <c r="U75" s="88">
        <f>全车数据表!O76</f>
        <v>0</v>
      </c>
      <c r="V75" s="88">
        <f>全车数据表!AL76</f>
        <v>0</v>
      </c>
      <c r="W75" s="88">
        <f>全车数据表!AM76</f>
        <v>0</v>
      </c>
      <c r="X75" s="88">
        <f>全车数据表!AU76</f>
        <v>0</v>
      </c>
      <c r="Y75" s="88">
        <f>全车数据表!AV76</f>
        <v>0</v>
      </c>
      <c r="Z75" s="88">
        <f>全车数据表!AN76</f>
        <v>0</v>
      </c>
      <c r="AA75" s="88">
        <f>全车数据表!AP76</f>
        <v>0</v>
      </c>
      <c r="AB75" s="88">
        <f>全车数据表!AR76</f>
        <v>0</v>
      </c>
      <c r="AC75" s="88">
        <f>全车数据表!AW76</f>
        <v>0</v>
      </c>
      <c r="AD75" s="88">
        <f>全车数据表!AX76</f>
        <v>0</v>
      </c>
      <c r="AE75" s="88">
        <f>全车数据表!AY76</f>
        <v>0</v>
      </c>
      <c r="AF75" s="88" t="str">
        <f>IF(全车数据表!BA76="","",全车数据表!BA76)</f>
        <v>通行证</v>
      </c>
      <c r="AG75" s="88" t="str">
        <f>IF(全车数据表!BB76="","",全车数据表!BB76)</f>
        <v/>
      </c>
      <c r="AH75" s="88" t="str">
        <f>IF(全车数据表!BC76="","",全车数据表!BC76)</f>
        <v/>
      </c>
      <c r="AI75" s="88" t="str">
        <f>IF(全车数据表!BD76="","",全车数据表!BD76)</f>
        <v/>
      </c>
      <c r="AJ75" s="88" t="str">
        <f>IF(全车数据表!BE76="","",全车数据表!BE76)</f>
        <v/>
      </c>
      <c r="AK75" s="88" t="str">
        <f>IF(全车数据表!BF76="","",全车数据表!BF76)</f>
        <v/>
      </c>
      <c r="AL75" s="88" t="str">
        <f>IF(全车数据表!BG76="","",全车数据表!BG76)</f>
        <v/>
      </c>
      <c r="AM75" s="88" t="str">
        <f>IF(全车数据表!BH76="","",全车数据表!BH76)</f>
        <v/>
      </c>
      <c r="AN75" s="88" t="str">
        <f>IF(全车数据表!BI76="","",全车数据表!BI76)</f>
        <v/>
      </c>
      <c r="AO75" s="88" t="str">
        <f>IF(全车数据表!BJ76="","",全车数据表!BJ76)</f>
        <v/>
      </c>
      <c r="AP75" s="88" t="str">
        <f>IF(全车数据表!BK76="","",全车数据表!BK76)</f>
        <v/>
      </c>
      <c r="AQ75" s="88" t="str">
        <f>IF(全车数据表!BL76="","",全车数据表!BL76)</f>
        <v/>
      </c>
      <c r="AR75" s="88" t="str">
        <f>IF(全车数据表!BM76="","",全车数据表!BM76)</f>
        <v/>
      </c>
      <c r="AS75" s="88" t="str">
        <f>IF(全车数据表!BN76="","",全车数据表!BN76)</f>
        <v/>
      </c>
      <c r="AT75" s="88" t="str">
        <f>IF(全车数据表!BO76="","",全车数据表!BO76)</f>
        <v/>
      </c>
      <c r="AU75" s="88" t="str">
        <f>IF(全车数据表!BP76="","",全车数据表!BP76)</f>
        <v/>
      </c>
      <c r="AV75" s="88" t="str">
        <f>IF(全车数据表!BQ76="","",全车数据表!BQ76)</f>
        <v/>
      </c>
      <c r="AW75" s="88" t="str">
        <f>IF(全车数据表!BR76="","",全车数据表!BR76)</f>
        <v/>
      </c>
      <c r="AX75" s="88" t="str">
        <f>IF(全车数据表!BS76="","",全车数据表!BS76)</f>
        <v/>
      </c>
      <c r="AY75" s="88" t="str">
        <f>IF(全车数据表!BT76="","",全车数据表!BT76)</f>
        <v/>
      </c>
      <c r="AZ75" s="88" t="str">
        <f>IF(全车数据表!BU76="","",全车数据表!BU76)</f>
        <v/>
      </c>
      <c r="BA75" s="88" t="str">
        <f>IF(全车数据表!BV76="","",全车数据表!BV76)</f>
        <v>道奇 充电器</v>
      </c>
      <c r="BB75" s="91" t="str">
        <f>IF(全车数据表!AZ76="","",全车数据表!AZ76)</f>
        <v/>
      </c>
    </row>
    <row r="76" spans="1:54">
      <c r="A76" s="88">
        <f>全车数据表!A77</f>
        <v>75</v>
      </c>
      <c r="B76" s="88" t="str">
        <f>全车数据表!B77</f>
        <v>Praga Bohema</v>
      </c>
      <c r="C76" s="89" t="str">
        <f>全车数据表!E77</f>
        <v>bohema</v>
      </c>
      <c r="D76" s="88" t="str">
        <f>IF(全车数据表!D77="","",全车数据表!D77)</f>
        <v>Praga</v>
      </c>
      <c r="E76" s="89" t="str">
        <f>全车数据表!H77</f>
        <v>5.2</v>
      </c>
      <c r="F76" s="89" t="str">
        <f>全车数据表!C77</f>
        <v>Bohema</v>
      </c>
      <c r="G76" s="89" t="str">
        <f>全车数据表!F77</f>
        <v>C</v>
      </c>
      <c r="H76" s="88">
        <f>LEN(全车数据表!G77)</f>
        <v>5</v>
      </c>
      <c r="I76" s="88" t="str">
        <f>VLOOKUP(全车数据表!P77,辅助计算!A:B,2,FALSE)</f>
        <v>epic</v>
      </c>
      <c r="J76" s="88">
        <f>全车数据表!Q77</f>
        <v>35</v>
      </c>
      <c r="K76" s="88">
        <f>全车数据表!R77</f>
        <v>35</v>
      </c>
      <c r="L76" s="88">
        <f>全车数据表!S77</f>
        <v>36</v>
      </c>
      <c r="M76" s="88">
        <f>全车数据表!T77</f>
        <v>38</v>
      </c>
      <c r="N76" s="88">
        <f>全车数据表!U77</f>
        <v>42</v>
      </c>
      <c r="O76" s="88">
        <f>全车数据表!V77</f>
        <v>0</v>
      </c>
      <c r="P76" s="88">
        <f>全车数据表!J77</f>
        <v>3553</v>
      </c>
      <c r="Q76" s="88">
        <f>全车数据表!K77</f>
        <v>315.7</v>
      </c>
      <c r="R76" s="88">
        <f>全车数据表!L77</f>
        <v>80.72</v>
      </c>
      <c r="S76" s="88">
        <f>全车数据表!M77</f>
        <v>80.22</v>
      </c>
      <c r="T76" s="88">
        <f>全车数据表!N77</f>
        <v>69.650000000000006</v>
      </c>
      <c r="U76" s="88">
        <f>全车数据表!O77</f>
        <v>0</v>
      </c>
      <c r="V76" s="88">
        <f>全车数据表!AL77</f>
        <v>5700000</v>
      </c>
      <c r="W76" s="88">
        <f>全车数据表!AM77</f>
        <v>40500</v>
      </c>
      <c r="X76" s="88">
        <f>全车数据表!AU77</f>
        <v>4698000</v>
      </c>
      <c r="Y76" s="88">
        <f>全车数据表!AV77</f>
        <v>10398000</v>
      </c>
      <c r="Z76" s="88">
        <f>全车数据表!AN77</f>
        <v>7</v>
      </c>
      <c r="AA76" s="88">
        <f>全车数据表!AP77</f>
        <v>5</v>
      </c>
      <c r="AB76" s="88">
        <f>全车数据表!AR77</f>
        <v>2</v>
      </c>
      <c r="AC76" s="88">
        <f>全车数据表!AW77</f>
        <v>333</v>
      </c>
      <c r="AD76" s="88">
        <f>全车数据表!AX77</f>
        <v>0</v>
      </c>
      <c r="AE76" s="88">
        <f>全车数据表!AY77</f>
        <v>425</v>
      </c>
      <c r="AF76" s="88" t="str">
        <f>IF(全车数据表!BA77="","",全车数据表!BA77)</f>
        <v>通行证</v>
      </c>
      <c r="AG76" s="88" t="str">
        <f>IF(全车数据表!BB77="","",全车数据表!BB77)</f>
        <v/>
      </c>
      <c r="AH76" s="88" t="str">
        <f>IF(全车数据表!BC77="","",全车数据表!BC77)</f>
        <v/>
      </c>
      <c r="AI76" s="88" t="str">
        <f>IF(全车数据表!BD77="","",全车数据表!BD77)</f>
        <v/>
      </c>
      <c r="AJ76" s="88" t="str">
        <f>IF(全车数据表!BE77="","",全车数据表!BE77)</f>
        <v/>
      </c>
      <c r="AK76" s="88" t="str">
        <f>IF(全车数据表!BF77="","",全车数据表!BF77)</f>
        <v/>
      </c>
      <c r="AL76" s="88" t="str">
        <f>IF(全车数据表!BG77="","",全车数据表!BG77)</f>
        <v/>
      </c>
      <c r="AM76" s="88" t="str">
        <f>IF(全车数据表!BH77="","",全车数据表!BH77)</f>
        <v/>
      </c>
      <c r="AN76" s="88" t="str">
        <f>IF(全车数据表!BI77="","",全车数据表!BI77)</f>
        <v/>
      </c>
      <c r="AO76" s="88" t="str">
        <f>IF(全车数据表!BJ77="","",全车数据表!BJ77)</f>
        <v/>
      </c>
      <c r="AP76" s="88" t="str">
        <f>IF(全车数据表!BK77="","",全车数据表!BK77)</f>
        <v/>
      </c>
      <c r="AQ76" s="88" t="str">
        <f>IF(全车数据表!BL77="","",全车数据表!BL77)</f>
        <v/>
      </c>
      <c r="AR76" s="88" t="str">
        <f>IF(全车数据表!BM77="","",全车数据表!BM77)</f>
        <v/>
      </c>
      <c r="AS76" s="88" t="str">
        <f>IF(全车数据表!BN77="","",全车数据表!BN77)</f>
        <v/>
      </c>
      <c r="AT76" s="88" t="str">
        <f>IF(全车数据表!BO77="","",全车数据表!BO77)</f>
        <v/>
      </c>
      <c r="AU76" s="88" t="str">
        <f>IF(全车数据表!BP77="","",全车数据表!BP77)</f>
        <v/>
      </c>
      <c r="AV76" s="88" t="str">
        <f>IF(全车数据表!BQ77="","",全车数据表!BQ77)</f>
        <v/>
      </c>
      <c r="AW76" s="88" t="str">
        <f>IF(全车数据表!BR77="","",全车数据表!BR77)</f>
        <v/>
      </c>
      <c r="AX76" s="88" t="str">
        <f>IF(全车数据表!BS77="","",全车数据表!BS77)</f>
        <v/>
      </c>
      <c r="AY76" s="88" t="str">
        <f>IF(全车数据表!BT77="","",全车数据表!BT77)</f>
        <v/>
      </c>
      <c r="AZ76" s="88" t="str">
        <f>IF(全车数据表!BU77="","",全车数据表!BU77)</f>
        <v/>
      </c>
      <c r="BA76" s="88" t="str">
        <f>IF(全车数据表!BV77="","",全车数据表!BV77)</f>
        <v/>
      </c>
      <c r="BB76" s="91" t="str">
        <f>IF(全车数据表!AZ77="","",全车数据表!AZ77)</f>
        <v/>
      </c>
    </row>
    <row r="77" spans="1:54">
      <c r="A77" s="88">
        <f>全车数据表!A78</f>
        <v>76</v>
      </c>
      <c r="B77" s="88" t="str">
        <f>全车数据表!B78</f>
        <v>Mercedes-Benz C 63 AMG DTM</v>
      </c>
      <c r="C77" s="89" t="str">
        <f>全车数据表!E78</f>
        <v>mercedes_benz_c_63_amg_dtm</v>
      </c>
      <c r="D77" s="88" t="str">
        <f>IF(全车数据表!D78="","",全车数据表!D78)</f>
        <v>Mercedes-Benz</v>
      </c>
      <c r="E77" s="89" t="str">
        <f>全车数据表!H78</f>
        <v>5.8</v>
      </c>
      <c r="F77" s="89" t="str">
        <f>全车数据表!C78</f>
        <v>C63</v>
      </c>
      <c r="G77" s="89">
        <f>全车数据表!F78</f>
        <v>0</v>
      </c>
      <c r="H77" s="88">
        <f>LEN(全车数据表!G78)</f>
        <v>5</v>
      </c>
      <c r="I77" s="88" t="str">
        <f>VLOOKUP(全车数据表!P78,辅助计算!A:B,2,FALSE)</f>
        <v>epic</v>
      </c>
      <c r="J77" s="88" t="str">
        <f>全车数据表!Q78</f>
        <v>🔑</v>
      </c>
      <c r="K77" s="88" t="str">
        <f>全车数据表!R78</f>
        <v>?</v>
      </c>
      <c r="L77" s="88" t="str">
        <f>全车数据表!S78</f>
        <v>?</v>
      </c>
      <c r="M77" s="88" t="str">
        <f>全车数据表!T78</f>
        <v>?</v>
      </c>
      <c r="N77" s="88" t="str">
        <f>全车数据表!U78</f>
        <v>?</v>
      </c>
      <c r="O77" s="88">
        <f>全车数据表!V78</f>
        <v>0</v>
      </c>
      <c r="P77" s="88">
        <f>全车数据表!J78</f>
        <v>3773</v>
      </c>
      <c r="Q77" s="88">
        <f>全车数据表!K78</f>
        <v>322.10000000000002</v>
      </c>
      <c r="R77" s="88">
        <f>全车数据表!L78</f>
        <v>80.81</v>
      </c>
      <c r="S77" s="88">
        <f>全车数据表!M78</f>
        <v>72.849999999999994</v>
      </c>
      <c r="T77" s="88">
        <f>全车数据表!N78</f>
        <v>68.98</v>
      </c>
      <c r="U77" s="88">
        <f>全车数据表!O78</f>
        <v>0</v>
      </c>
      <c r="V77" s="88">
        <f>全车数据表!AL78</f>
        <v>0</v>
      </c>
      <c r="W77" s="88">
        <f>全车数据表!AM78</f>
        <v>0</v>
      </c>
      <c r="X77" s="88">
        <f>全车数据表!AU78</f>
        <v>0</v>
      </c>
      <c r="Y77" s="88">
        <f>全车数据表!AV78</f>
        <v>0</v>
      </c>
      <c r="Z77" s="88">
        <f>全车数据表!AN78</f>
        <v>0</v>
      </c>
      <c r="AA77" s="88">
        <f>全车数据表!AP78</f>
        <v>0</v>
      </c>
      <c r="AB77" s="88">
        <f>全车数据表!AR78</f>
        <v>0</v>
      </c>
      <c r="AC77" s="88">
        <f>全车数据表!AW78</f>
        <v>0</v>
      </c>
      <c r="AD77" s="88">
        <f>全车数据表!AX78</f>
        <v>0</v>
      </c>
      <c r="AE77" s="88">
        <f>全车数据表!AY78</f>
        <v>0</v>
      </c>
      <c r="AF77" s="88" t="str">
        <f>IF(全车数据表!BA78="","",全车数据表!BA78)</f>
        <v>大奖赛</v>
      </c>
      <c r="AG77" s="88" t="str">
        <f>IF(全车数据表!BB78="","",全车数据表!BB78)</f>
        <v/>
      </c>
      <c r="AH77" s="88" t="str">
        <f>IF(全车数据表!BC78="","",全车数据表!BC78)</f>
        <v/>
      </c>
      <c r="AI77" s="88" t="str">
        <f>IF(全车数据表!BD78="","",全车数据表!BD78)</f>
        <v/>
      </c>
      <c r="AJ77" s="88" t="str">
        <f>IF(全车数据表!BE78="","",全车数据表!BE78)</f>
        <v/>
      </c>
      <c r="AK77" s="88" t="str">
        <f>IF(全车数据表!BF78="","",全车数据表!BF78)</f>
        <v/>
      </c>
      <c r="AL77" s="88" t="str">
        <f>IF(全车数据表!BG78="","",全车数据表!BG78)</f>
        <v/>
      </c>
      <c r="AM77" s="88" t="str">
        <f>IF(全车数据表!BH78="","",全车数据表!BH78)</f>
        <v/>
      </c>
      <c r="AN77" s="88" t="str">
        <f>IF(全车数据表!BI78="","",全车数据表!BI78)</f>
        <v/>
      </c>
      <c r="AO77" s="88" t="str">
        <f>IF(全车数据表!BJ78="","",全车数据表!BJ78)</f>
        <v/>
      </c>
      <c r="AP77" s="88" t="str">
        <f>IF(全车数据表!BK78="","",全车数据表!BK78)</f>
        <v/>
      </c>
      <c r="AQ77" s="88" t="str">
        <f>IF(全车数据表!BL78="","",全车数据表!BL78)</f>
        <v/>
      </c>
      <c r="AR77" s="88" t="str">
        <f>IF(全车数据表!BM78="","",全车数据表!BM78)</f>
        <v/>
      </c>
      <c r="AS77" s="88" t="str">
        <f>IF(全车数据表!BN78="","",全车数据表!BN78)</f>
        <v/>
      </c>
      <c r="AT77" s="88" t="str">
        <f>IF(全车数据表!BO78="","",全车数据表!BO78)</f>
        <v/>
      </c>
      <c r="AU77" s="88" t="str">
        <f>IF(全车数据表!BP78="","",全车数据表!BP78)</f>
        <v/>
      </c>
      <c r="AV77" s="88" t="str">
        <f>IF(全车数据表!BQ78="","",全车数据表!BQ78)</f>
        <v/>
      </c>
      <c r="AW77" s="88" t="str">
        <f>IF(全车数据表!BR78="","",全车数据表!BR78)</f>
        <v/>
      </c>
      <c r="AX77" s="88" t="str">
        <f>IF(全车数据表!BS78="","",全车数据表!BS78)</f>
        <v/>
      </c>
      <c r="AY77" s="88" t="str">
        <f>IF(全车数据表!BT78="","",全车数据表!BT78)</f>
        <v/>
      </c>
      <c r="AZ77" s="88" t="str">
        <f>IF(全车数据表!BU78="","",全车数据表!BU78)</f>
        <v/>
      </c>
      <c r="BA77" s="88" t="str">
        <f>IF(全车数据表!BV78="","",全车数据表!BV78)</f>
        <v>梅赛德斯奔驰</v>
      </c>
      <c r="BB77" s="91" t="str">
        <f>IF(全车数据表!AZ78="","",全车数据表!AZ78)</f>
        <v/>
      </c>
    </row>
    <row r="78" spans="1:54">
      <c r="A78" s="88">
        <f>全车数据表!A79</f>
        <v>77</v>
      </c>
      <c r="B78" s="88" t="str">
        <f>全车数据表!B79</f>
        <v>Maserati MC20 GT2🔑</v>
      </c>
      <c r="C78" s="89" t="str">
        <f>全车数据表!E79</f>
        <v>mc20gt2</v>
      </c>
      <c r="D78" s="88" t="str">
        <f>IF(全车数据表!D79="","",全车数据表!D79)</f>
        <v>Maserati</v>
      </c>
      <c r="E78" s="89" t="str">
        <f>全车数据表!H79</f>
        <v>4.9</v>
      </c>
      <c r="F78" s="89" t="str">
        <f>全车数据表!C79</f>
        <v>MC20GT2</v>
      </c>
      <c r="G78" s="89" t="str">
        <f>全车数据表!F79</f>
        <v>C</v>
      </c>
      <c r="H78" s="88">
        <f>LEN(全车数据表!G79)</f>
        <v>5</v>
      </c>
      <c r="I78" s="88" t="str">
        <f>VLOOKUP(全车数据表!P79,辅助计算!A:B,2,FALSE)</f>
        <v>epic</v>
      </c>
      <c r="J78" s="88" t="str">
        <f>全车数据表!Q79</f>
        <v>🔑</v>
      </c>
      <c r="K78" s="88">
        <f>全车数据表!R79</f>
        <v>35</v>
      </c>
      <c r="L78" s="88">
        <f>全车数据表!S79</f>
        <v>38</v>
      </c>
      <c r="M78" s="88">
        <f>全车数据表!T79</f>
        <v>48</v>
      </c>
      <c r="N78" s="88">
        <f>全车数据表!U79</f>
        <v>58</v>
      </c>
      <c r="O78" s="88">
        <f>全车数据表!V79</f>
        <v>0</v>
      </c>
      <c r="P78" s="88">
        <f>全车数据表!J79</f>
        <v>3832</v>
      </c>
      <c r="Q78" s="88">
        <f>全车数据表!K79</f>
        <v>336.3</v>
      </c>
      <c r="R78" s="88">
        <f>全车数据表!L79</f>
        <v>83.68</v>
      </c>
      <c r="S78" s="88">
        <f>全车数据表!M79</f>
        <v>63.95</v>
      </c>
      <c r="T78" s="88">
        <f>全车数据表!N79</f>
        <v>46.53</v>
      </c>
      <c r="U78" s="88">
        <f>全车数据表!O79</f>
        <v>0</v>
      </c>
      <c r="V78" s="88">
        <f>全车数据表!AL79</f>
        <v>5700000</v>
      </c>
      <c r="W78" s="88">
        <f>全车数据表!AM79</f>
        <v>48000</v>
      </c>
      <c r="X78" s="88">
        <f>全车数据表!AU79</f>
        <v>5568000</v>
      </c>
      <c r="Y78" s="88">
        <f>全车数据表!AV79</f>
        <v>11268000</v>
      </c>
      <c r="Z78" s="88">
        <f>全车数据表!AN79</f>
        <v>7</v>
      </c>
      <c r="AA78" s="88">
        <f>全车数据表!AP79</f>
        <v>5</v>
      </c>
      <c r="AB78" s="88">
        <f>全车数据表!AR79</f>
        <v>2</v>
      </c>
      <c r="AC78" s="88">
        <f>全车数据表!AW79</f>
        <v>350</v>
      </c>
      <c r="AD78" s="88">
        <f>全车数据表!AX79</f>
        <v>0</v>
      </c>
      <c r="AE78" s="88">
        <f>全车数据表!AY79</f>
        <v>454</v>
      </c>
      <c r="AF78" s="88" t="str">
        <f>IF(全车数据表!BA79="","",全车数据表!BA79)</f>
        <v>大奖赛</v>
      </c>
      <c r="AG78" s="88" t="str">
        <f>IF(全车数据表!BB79="","",全车数据表!BB79)</f>
        <v/>
      </c>
      <c r="AH78" s="88" t="str">
        <f>IF(全车数据表!BC79="","",全车数据表!BC79)</f>
        <v/>
      </c>
      <c r="AI78" s="88" t="str">
        <f>IF(全车数据表!BD79="","",全车数据表!BD79)</f>
        <v/>
      </c>
      <c r="AJ78" s="88" t="str">
        <f>IF(全车数据表!BE79="","",全车数据表!BE79)</f>
        <v/>
      </c>
      <c r="AK78" s="88" t="str">
        <f>IF(全车数据表!BF79="","",全车数据表!BF79)</f>
        <v/>
      </c>
      <c r="AL78" s="88" t="str">
        <f>IF(全车数据表!BG79="","",全车数据表!BG79)</f>
        <v/>
      </c>
      <c r="AM78" s="88" t="str">
        <f>IF(全车数据表!BH79="","",全车数据表!BH79)</f>
        <v/>
      </c>
      <c r="AN78" s="88" t="str">
        <f>IF(全车数据表!BI79="","",全车数据表!BI79)</f>
        <v/>
      </c>
      <c r="AO78" s="88" t="str">
        <f>IF(全车数据表!BJ79="","",全车数据表!BJ79)</f>
        <v/>
      </c>
      <c r="AP78" s="88" t="str">
        <f>IF(全车数据表!BK79="","",全车数据表!BK79)</f>
        <v/>
      </c>
      <c r="AQ78" s="88" t="str">
        <f>IF(全车数据表!BL79="","",全车数据表!BL79)</f>
        <v/>
      </c>
      <c r="AR78" s="88">
        <f>IF(全车数据表!BM79="","",全车数据表!BM79)</f>
        <v>1</v>
      </c>
      <c r="AS78" s="88" t="str">
        <f>IF(全车数据表!BN79="","",全车数据表!BN79)</f>
        <v/>
      </c>
      <c r="AT78" s="88">
        <f>IF(全车数据表!BO79="","",全车数据表!BO79)</f>
        <v>1</v>
      </c>
      <c r="AU78" s="88" t="str">
        <f>IF(全车数据表!BP79="","",全车数据表!BP79)</f>
        <v/>
      </c>
      <c r="AV78" s="88" t="str">
        <f>IF(全车数据表!BQ79="","",全车数据表!BQ79)</f>
        <v/>
      </c>
      <c r="AW78" s="88" t="str">
        <f>IF(全车数据表!BR79="","",全车数据表!BR79)</f>
        <v/>
      </c>
      <c r="AX78" s="88" t="str">
        <f>IF(全车数据表!BS79="","",全车数据表!BS79)</f>
        <v/>
      </c>
      <c r="AY78" s="88" t="str">
        <f>IF(全车数据表!BT79="","",全车数据表!BT79)</f>
        <v/>
      </c>
      <c r="AZ78" s="88" t="str">
        <f>IF(全车数据表!BU79="","",全车数据表!BU79)</f>
        <v/>
      </c>
      <c r="BA78" s="88" t="str">
        <f>IF(全车数据表!BV79="","",全车数据表!BV79)</f>
        <v>玛莎拉蒂</v>
      </c>
      <c r="BB78" s="91" t="str">
        <f>IF(全车数据表!AZ79="","",全车数据表!AZ79)</f>
        <v/>
      </c>
    </row>
    <row r="79" spans="1:54">
      <c r="A79" s="88">
        <f>全车数据表!A80</f>
        <v>78</v>
      </c>
      <c r="B79" s="88" t="str">
        <f>全车数据表!B80</f>
        <v>Aston Martin DBS 770 Ultimate🔑</v>
      </c>
      <c r="C79" s="89" t="str">
        <f>全车数据表!E80</f>
        <v>770</v>
      </c>
      <c r="D79" s="88" t="str">
        <f>IF(全车数据表!D80="","",全车数据表!D80)</f>
        <v>Aston Martin</v>
      </c>
      <c r="E79" s="89" t="str">
        <f>全车数据表!H80</f>
        <v>5.6</v>
      </c>
      <c r="F79" s="89" t="str">
        <f>全车数据表!C80</f>
        <v>DBS 770</v>
      </c>
      <c r="G79" s="89" t="str">
        <f>全车数据表!F80</f>
        <v>C</v>
      </c>
      <c r="H79" s="88">
        <f>LEN(全车数据表!G80)</f>
        <v>5</v>
      </c>
      <c r="I79" s="88" t="str">
        <f>VLOOKUP(全车数据表!P80,辅助计算!A:B,2,FALSE)</f>
        <v>epic</v>
      </c>
      <c r="J79" s="88" t="str">
        <f>全车数据表!Q80</f>
        <v>🔑</v>
      </c>
      <c r="K79" s="88">
        <f>全车数据表!R80</f>
        <v>30</v>
      </c>
      <c r="L79" s="88">
        <f>全车数据表!S80</f>
        <v>35</v>
      </c>
      <c r="M79" s="88">
        <f>全车数据表!T80</f>
        <v>40</v>
      </c>
      <c r="N79" s="88">
        <f>全车数据表!U80</f>
        <v>45</v>
      </c>
      <c r="O79" s="88">
        <f>全车数据表!V80</f>
        <v>0</v>
      </c>
      <c r="P79" s="88">
        <f>全车数据表!J80</f>
        <v>3922</v>
      </c>
      <c r="Q79" s="88">
        <f>全车数据表!K80</f>
        <v>353.9</v>
      </c>
      <c r="R79" s="88">
        <f>全车数据表!L80</f>
        <v>77.55</v>
      </c>
      <c r="S79" s="88">
        <f>全车数据表!M80</f>
        <v>52.96</v>
      </c>
      <c r="T79" s="88">
        <f>全车数据表!N80</f>
        <v>43.03</v>
      </c>
      <c r="U79" s="88">
        <f>全车数据表!O80</f>
        <v>0</v>
      </c>
      <c r="V79" s="88">
        <f>全车数据表!AL80</f>
        <v>4088000</v>
      </c>
      <c r="W79" s="88">
        <f>全车数据表!AM80</f>
        <v>45000</v>
      </c>
      <c r="X79" s="88">
        <f>全车数据表!AU80</f>
        <v>5220000</v>
      </c>
      <c r="Y79" s="88">
        <f>全车数据表!AV80</f>
        <v>9308000</v>
      </c>
      <c r="Z79" s="88">
        <f>全车数据表!AN80</f>
        <v>9</v>
      </c>
      <c r="AA79" s="88">
        <f>全车数据表!AP80</f>
        <v>4</v>
      </c>
      <c r="AB79" s="88">
        <f>全车数据表!AR80</f>
        <v>2</v>
      </c>
      <c r="AC79" s="88">
        <f>全车数据表!AW80</f>
        <v>368</v>
      </c>
      <c r="AD79" s="88">
        <f>全车数据表!AX80</f>
        <v>0</v>
      </c>
      <c r="AE79" s="88">
        <f>全车数据表!AY80</f>
        <v>485</v>
      </c>
      <c r="AF79" s="88" t="str">
        <f>IF(全车数据表!BA80="","",全车数据表!BA80)</f>
        <v>大奖赛</v>
      </c>
      <c r="AG79" s="88" t="str">
        <f>IF(全车数据表!BB80="","",全车数据表!BB80)</f>
        <v/>
      </c>
      <c r="AH79" s="88" t="str">
        <f>IF(全车数据表!BC80="","",全车数据表!BC80)</f>
        <v/>
      </c>
      <c r="AI79" s="88" t="str">
        <f>IF(全车数据表!BD80="","",全车数据表!BD80)</f>
        <v/>
      </c>
      <c r="AJ79" s="88" t="str">
        <f>IF(全车数据表!BE80="","",全车数据表!BE80)</f>
        <v/>
      </c>
      <c r="AK79" s="88" t="str">
        <f>IF(全车数据表!BF80="","",全车数据表!BF80)</f>
        <v/>
      </c>
      <c r="AL79" s="88" t="str">
        <f>IF(全车数据表!BG80="","",全车数据表!BG80)</f>
        <v/>
      </c>
      <c r="AM79" s="88" t="str">
        <f>IF(全车数据表!BH80="","",全车数据表!BH80)</f>
        <v/>
      </c>
      <c r="AN79" s="88" t="str">
        <f>IF(全车数据表!BI80="","",全车数据表!BI80)</f>
        <v/>
      </c>
      <c r="AO79" s="88" t="str">
        <f>IF(全车数据表!BJ80="","",全车数据表!BJ80)</f>
        <v/>
      </c>
      <c r="AP79" s="88" t="str">
        <f>IF(全车数据表!BK80="","",全车数据表!BK80)</f>
        <v/>
      </c>
      <c r="AQ79" s="88" t="str">
        <f>IF(全车数据表!BL80="","",全车数据表!BL80)</f>
        <v/>
      </c>
      <c r="AR79" s="88" t="str">
        <f>IF(全车数据表!BM80="","",全车数据表!BM80)</f>
        <v/>
      </c>
      <c r="AS79" s="88" t="str">
        <f>IF(全车数据表!BN80="","",全车数据表!BN80)</f>
        <v/>
      </c>
      <c r="AT79" s="88">
        <f>IF(全车数据表!BO80="","",全车数据表!BO80)</f>
        <v>1</v>
      </c>
      <c r="AU79" s="88" t="str">
        <f>IF(全车数据表!BP80="","",全车数据表!BP80)</f>
        <v/>
      </c>
      <c r="AV79" s="88" t="str">
        <f>IF(全车数据表!BQ80="","",全车数据表!BQ80)</f>
        <v/>
      </c>
      <c r="AW79" s="88" t="str">
        <f>IF(全车数据表!BR80="","",全车数据表!BR80)</f>
        <v/>
      </c>
      <c r="AX79" s="88" t="str">
        <f>IF(全车数据表!BS80="","",全车数据表!BS80)</f>
        <v/>
      </c>
      <c r="AY79" s="88" t="str">
        <f>IF(全车数据表!BT80="","",全车数据表!BT80)</f>
        <v/>
      </c>
      <c r="AZ79" s="88" t="str">
        <f>IF(全车数据表!BU80="","",全车数据表!BU80)</f>
        <v/>
      </c>
      <c r="BA79" s="88" t="str">
        <f>IF(全车数据表!BV80="","",全车数据表!BV80)</f>
        <v>阿斯顿马丁</v>
      </c>
      <c r="BB79" s="91" t="str">
        <f>IF(全车数据表!AZ80="","",全车数据表!AZ80)</f>
        <v/>
      </c>
    </row>
    <row r="80" spans="1:54">
      <c r="A80" s="88">
        <f>全车数据表!A81</f>
        <v>79</v>
      </c>
      <c r="B80" s="88" t="str">
        <f>全车数据表!B81</f>
        <v>De Tomaso P900</v>
      </c>
      <c r="C80" s="89" t="str">
        <f>全车数据表!E81</f>
        <v>p900</v>
      </c>
      <c r="D80" s="88" t="str">
        <f>IF(全车数据表!D81="","",全车数据表!D81)</f>
        <v>De Tomaso</v>
      </c>
      <c r="E80" s="89" t="str">
        <f>全车数据表!H81</f>
        <v>4.8</v>
      </c>
      <c r="F80" s="89" t="str">
        <f>全车数据表!C81</f>
        <v>P900</v>
      </c>
      <c r="G80" s="89" t="str">
        <f>全车数据表!F81</f>
        <v>C</v>
      </c>
      <c r="H80" s="88">
        <f>LEN(全车数据表!G81)</f>
        <v>5</v>
      </c>
      <c r="I80" s="88" t="str">
        <f>VLOOKUP(全车数据表!P81,辅助计算!A:B,2,FALSE)</f>
        <v>epic</v>
      </c>
      <c r="J80" s="88">
        <f>全车数据表!Q81</f>
        <v>35</v>
      </c>
      <c r="K80" s="88">
        <f>全车数据表!R81</f>
        <v>35</v>
      </c>
      <c r="L80" s="88">
        <f>全车数据表!S81</f>
        <v>36</v>
      </c>
      <c r="M80" s="88">
        <f>全车数据表!T81</f>
        <v>38</v>
      </c>
      <c r="N80" s="88">
        <f>全车数据表!U81</f>
        <v>42</v>
      </c>
      <c r="O80" s="88">
        <f>全车数据表!V81</f>
        <v>0</v>
      </c>
      <c r="P80" s="88">
        <f>全车数据表!J81</f>
        <v>3937</v>
      </c>
      <c r="Q80" s="88">
        <f>全车数据表!K81</f>
        <v>331.8</v>
      </c>
      <c r="R80" s="88">
        <f>全车数据表!L81</f>
        <v>82.95</v>
      </c>
      <c r="S80" s="88">
        <f>全车数据表!M81</f>
        <v>62</v>
      </c>
      <c r="T80" s="88">
        <f>全车数据表!N81</f>
        <v>59.08</v>
      </c>
      <c r="U80" s="88">
        <f>全车数据表!O81</f>
        <v>0</v>
      </c>
      <c r="V80" s="88">
        <f>全车数据表!AL81</f>
        <v>5700000</v>
      </c>
      <c r="W80" s="88">
        <f>全车数据表!AM81</f>
        <v>48000</v>
      </c>
      <c r="X80" s="88">
        <f>全车数据表!AU81</f>
        <v>5568000</v>
      </c>
      <c r="Y80" s="88">
        <f>全车数据表!AV81</f>
        <v>11268000</v>
      </c>
      <c r="Z80" s="88">
        <f>全车数据表!AN81</f>
        <v>7</v>
      </c>
      <c r="AA80" s="88">
        <f>全车数据表!AP81</f>
        <v>5</v>
      </c>
      <c r="AB80" s="88">
        <f>全车数据表!AR81</f>
        <v>2</v>
      </c>
      <c r="AC80" s="88">
        <f>全车数据表!AW81</f>
        <v>345</v>
      </c>
      <c r="AD80" s="88">
        <f>全车数据表!AX81</f>
        <v>0</v>
      </c>
      <c r="AE80" s="88">
        <f>全车数据表!AY81</f>
        <v>447</v>
      </c>
      <c r="AF80" s="88" t="str">
        <f>IF(全车数据表!BA81="","",全车数据表!BA81)</f>
        <v>通行证</v>
      </c>
      <c r="AG80" s="88" t="str">
        <f>IF(全车数据表!BB81="","",全车数据表!BB81)</f>
        <v/>
      </c>
      <c r="AH80" s="88" t="str">
        <f>IF(全车数据表!BC81="","",全车数据表!BC81)</f>
        <v/>
      </c>
      <c r="AI80" s="88" t="str">
        <f>IF(全车数据表!BD81="","",全车数据表!BD81)</f>
        <v/>
      </c>
      <c r="AJ80" s="88" t="str">
        <f>IF(全车数据表!BE81="","",全车数据表!BE81)</f>
        <v/>
      </c>
      <c r="AK80" s="88" t="str">
        <f>IF(全车数据表!BF81="","",全车数据表!BF81)</f>
        <v/>
      </c>
      <c r="AL80" s="88" t="str">
        <f>IF(全车数据表!BG81="","",全车数据表!BG81)</f>
        <v/>
      </c>
      <c r="AM80" s="88">
        <f>IF(全车数据表!BH81="","",全车数据表!BH81)</f>
        <v>1</v>
      </c>
      <c r="AN80" s="88" t="str">
        <f>IF(全车数据表!BI81="","",全车数据表!BI81)</f>
        <v/>
      </c>
      <c r="AO80" s="88" t="str">
        <f>IF(全车数据表!BJ81="","",全车数据表!BJ81)</f>
        <v/>
      </c>
      <c r="AP80" s="88" t="str">
        <f>IF(全车数据表!BK81="","",全车数据表!BK81)</f>
        <v/>
      </c>
      <c r="AQ80" s="88" t="str">
        <f>IF(全车数据表!BL81="","",全车数据表!BL81)</f>
        <v/>
      </c>
      <c r="AR80" s="88" t="str">
        <f>IF(全车数据表!BM81="","",全车数据表!BM81)</f>
        <v/>
      </c>
      <c r="AS80" s="88" t="str">
        <f>IF(全车数据表!BN81="","",全车数据表!BN81)</f>
        <v/>
      </c>
      <c r="AT80" s="88" t="str">
        <f>IF(全车数据表!BO81="","",全车数据表!BO81)</f>
        <v/>
      </c>
      <c r="AU80" s="88" t="str">
        <f>IF(全车数据表!BP81="","",全车数据表!BP81)</f>
        <v/>
      </c>
      <c r="AV80" s="88" t="str">
        <f>IF(全车数据表!BQ81="","",全车数据表!BQ81)</f>
        <v/>
      </c>
      <c r="AW80" s="88" t="str">
        <f>IF(全车数据表!BR81="","",全车数据表!BR81)</f>
        <v/>
      </c>
      <c r="AX80" s="88" t="str">
        <f>IF(全车数据表!BS81="","",全车数据表!BS81)</f>
        <v/>
      </c>
      <c r="AY80" s="88" t="str">
        <f>IF(全车数据表!BT81="","",全车数据表!BT81)</f>
        <v/>
      </c>
      <c r="AZ80" s="88" t="str">
        <f>IF(全车数据表!BU81="","",全车数据表!BU81)</f>
        <v/>
      </c>
      <c r="BA80" s="88" t="str">
        <f>IF(全车数据表!BV81="","",全车数据表!BV81)</f>
        <v>德托马索</v>
      </c>
      <c r="BB80" s="91" t="str">
        <f>IF(全车数据表!AZ81="","",全车数据表!AZ81)</f>
        <v/>
      </c>
    </row>
    <row r="81" spans="1:54">
      <c r="A81" s="88">
        <f>全车数据表!A82</f>
        <v>80</v>
      </c>
      <c r="B81" s="88" t="str">
        <f>全车数据表!B82</f>
        <v>Lamborghini Huracan Sterrato</v>
      </c>
      <c r="C81" s="89" t="str">
        <f>全车数据表!E82</f>
        <v>lamborghini_huracan_sterrato</v>
      </c>
      <c r="D81" s="88" t="str">
        <f>IF(全车数据表!D82="","",全车数据表!D82)</f>
        <v>Lamborghini</v>
      </c>
      <c r="E81" s="89" t="str">
        <f>全车数据表!H82</f>
        <v>5.7</v>
      </c>
      <c r="F81" s="89" t="str">
        <f>全车数据表!C82</f>
        <v>飓风 Sterrato</v>
      </c>
      <c r="G81" s="89" t="str">
        <f>全车数据表!F82</f>
        <v>C</v>
      </c>
      <c r="H81" s="88">
        <f>LEN(全车数据表!G82)</f>
        <v>6</v>
      </c>
      <c r="I81" s="88" t="str">
        <f>VLOOKUP(全车数据表!P82,辅助计算!A:B,2,FALSE)</f>
        <v>epic</v>
      </c>
      <c r="J81" s="88" t="str">
        <f>全车数据表!Q82</f>
        <v>🔑</v>
      </c>
      <c r="K81" s="88">
        <f>全车数据表!R82</f>
        <v>40</v>
      </c>
      <c r="L81" s="88">
        <f>全车数据表!S82</f>
        <v>42</v>
      </c>
      <c r="M81" s="88">
        <f>全车数据表!T82</f>
        <v>44</v>
      </c>
      <c r="N81" s="88">
        <f>全车数据表!U82</f>
        <v>46</v>
      </c>
      <c r="O81" s="88">
        <f>全车数据表!V82</f>
        <v>48</v>
      </c>
      <c r="P81" s="88">
        <f>全车数据表!J82</f>
        <v>3995</v>
      </c>
      <c r="Q81" s="88">
        <f>全车数据表!K82</f>
        <v>334.5</v>
      </c>
      <c r="R81" s="88">
        <f>全车数据表!L82</f>
        <v>81.86</v>
      </c>
      <c r="S81" s="88">
        <f>全车数据表!M82</f>
        <v>64.86</v>
      </c>
      <c r="T81" s="88">
        <f>全车数据表!N82</f>
        <v>62.63</v>
      </c>
      <c r="U81" s="88">
        <f>全车数据表!O82</f>
        <v>0</v>
      </c>
      <c r="V81" s="88">
        <f>全车数据表!AL82</f>
        <v>0</v>
      </c>
      <c r="W81" s="88">
        <f>全车数据表!AM82</f>
        <v>0</v>
      </c>
      <c r="X81" s="88">
        <f>全车数据表!AU82</f>
        <v>0</v>
      </c>
      <c r="Y81" s="88">
        <f>全车数据表!AV82</f>
        <v>0</v>
      </c>
      <c r="Z81" s="88">
        <f>全车数据表!AN82</f>
        <v>7</v>
      </c>
      <c r="AA81" s="88">
        <f>全车数据表!AP82</f>
        <v>5</v>
      </c>
      <c r="AB81" s="88">
        <f>全车数据表!AR82</f>
        <v>3</v>
      </c>
      <c r="AC81" s="88">
        <f>全车数据表!AW82</f>
        <v>354</v>
      </c>
      <c r="AD81" s="88">
        <f>全车数据表!AX82</f>
        <v>0</v>
      </c>
      <c r="AE81" s="88">
        <f>全车数据表!AY82</f>
        <v>460</v>
      </c>
      <c r="AF81" s="88" t="str">
        <f>IF(全车数据表!BA82="","",全车数据表!BA82)</f>
        <v>惊艳亮相</v>
      </c>
      <c r="AG81" s="88" t="str">
        <f>IF(全车数据表!BB82="","",全车数据表!BB82)</f>
        <v/>
      </c>
      <c r="AH81" s="88" t="str">
        <f>IF(全车数据表!BC82="","",全车数据表!BC82)</f>
        <v/>
      </c>
      <c r="AI81" s="88" t="str">
        <f>IF(全车数据表!BD82="","",全车数据表!BD82)</f>
        <v/>
      </c>
      <c r="AJ81" s="88" t="str">
        <f>IF(全车数据表!BE82="","",全车数据表!BE82)</f>
        <v/>
      </c>
      <c r="AK81" s="88" t="str">
        <f>IF(全车数据表!BF82="","",全车数据表!BF82)</f>
        <v/>
      </c>
      <c r="AL81" s="88" t="str">
        <f>IF(全车数据表!BG82="","",全车数据表!BG82)</f>
        <v/>
      </c>
      <c r="AM81" s="88" t="str">
        <f>IF(全车数据表!BH82="","",全车数据表!BH82)</f>
        <v/>
      </c>
      <c r="AN81" s="88" t="str">
        <f>IF(全车数据表!BI82="","",全车数据表!BI82)</f>
        <v/>
      </c>
      <c r="AO81" s="88" t="str">
        <f>IF(全车数据表!BJ82="","",全车数据表!BJ82)</f>
        <v/>
      </c>
      <c r="AP81" s="88" t="str">
        <f>IF(全车数据表!BK82="","",全车数据表!BK82)</f>
        <v/>
      </c>
      <c r="AQ81" s="88" t="str">
        <f>IF(全车数据表!BL82="","",全车数据表!BL82)</f>
        <v/>
      </c>
      <c r="AR81" s="88" t="str">
        <f>IF(全车数据表!BM82="","",全车数据表!BM82)</f>
        <v/>
      </c>
      <c r="AS81" s="88" t="str">
        <f>IF(全车数据表!BN82="","",全车数据表!BN82)</f>
        <v/>
      </c>
      <c r="AT81" s="88" t="str">
        <f>IF(全车数据表!BO82="","",全车数据表!BO82)</f>
        <v/>
      </c>
      <c r="AU81" s="88" t="str">
        <f>IF(全车数据表!BP82="","",全车数据表!BP82)</f>
        <v/>
      </c>
      <c r="AV81" s="88" t="str">
        <f>IF(全车数据表!BQ82="","",全车数据表!BQ82)</f>
        <v/>
      </c>
      <c r="AW81" s="88" t="str">
        <f>IF(全车数据表!BR82="","",全车数据表!BR82)</f>
        <v/>
      </c>
      <c r="AX81" s="88" t="str">
        <f>IF(全车数据表!BS82="","",全车数据表!BS82)</f>
        <v/>
      </c>
      <c r="AY81" s="88" t="str">
        <f>IF(全车数据表!BT82="","",全车数据表!BT82)</f>
        <v/>
      </c>
      <c r="AZ81" s="88" t="str">
        <f>IF(全车数据表!BU82="","",全车数据表!BU82)</f>
        <v/>
      </c>
      <c r="BA81" s="88" t="str">
        <f>IF(全车数据表!BV82="","",全车数据表!BV82)</f>
        <v>兰博基尼</v>
      </c>
      <c r="BB81" s="91" t="str">
        <f>IF(全车数据表!AZ82="","",全车数据表!AZ82)</f>
        <v/>
      </c>
    </row>
    <row r="82" spans="1:54">
      <c r="A82" s="88">
        <f>全车数据表!A83</f>
        <v>81</v>
      </c>
      <c r="B82" s="88" t="str">
        <f>全车数据表!B83</f>
        <v>Ferrari 296 GTB🔑</v>
      </c>
      <c r="C82" s="89" t="str">
        <f>全车数据表!E83</f>
        <v>296</v>
      </c>
      <c r="D82" s="88" t="str">
        <f>IF(全车数据表!D83="","",全车数据表!D83)</f>
        <v>Ferrari</v>
      </c>
      <c r="E82" s="89" t="str">
        <f>全车数据表!H83</f>
        <v>4.6</v>
      </c>
      <c r="F82" s="89" t="str">
        <f>全车数据表!C83</f>
        <v>296GTB</v>
      </c>
      <c r="G82" s="89" t="str">
        <f>全车数据表!F83</f>
        <v>C</v>
      </c>
      <c r="H82" s="88">
        <f>LEN(全车数据表!G83)</f>
        <v>5</v>
      </c>
      <c r="I82" s="88" t="str">
        <f>VLOOKUP(全车数据表!P83,辅助计算!A:B,2,FALSE)</f>
        <v>epic</v>
      </c>
      <c r="J82" s="88" t="str">
        <f>全车数据表!Q83</f>
        <v>🔑</v>
      </c>
      <c r="K82" s="88">
        <f>全车数据表!R83</f>
        <v>35</v>
      </c>
      <c r="L82" s="88">
        <f>全车数据表!S83</f>
        <v>38</v>
      </c>
      <c r="M82" s="88">
        <f>全车数据表!T83</f>
        <v>48</v>
      </c>
      <c r="N82" s="88">
        <f>全车数据表!U83</f>
        <v>58</v>
      </c>
      <c r="O82" s="88">
        <f>全车数据表!V83</f>
        <v>0</v>
      </c>
      <c r="P82" s="88">
        <f>全车数据表!J83</f>
        <v>4009</v>
      </c>
      <c r="Q82" s="88">
        <f>全车数据表!K83</f>
        <v>341.6</v>
      </c>
      <c r="R82" s="88">
        <f>全车数据表!L83</f>
        <v>81.23</v>
      </c>
      <c r="S82" s="88">
        <f>全车数据表!M83</f>
        <v>65</v>
      </c>
      <c r="T82" s="88">
        <f>全车数据表!N83</f>
        <v>52.13</v>
      </c>
      <c r="U82" s="88">
        <f>全车数据表!O83</f>
        <v>0</v>
      </c>
      <c r="V82" s="88">
        <f>全车数据表!AL83</f>
        <v>5700000</v>
      </c>
      <c r="W82" s="88">
        <f>全车数据表!AM83</f>
        <v>56000</v>
      </c>
      <c r="X82" s="88">
        <f>全车数据表!AU83</f>
        <v>6496000</v>
      </c>
      <c r="Y82" s="88">
        <f>全车数据表!AV83</f>
        <v>12196000</v>
      </c>
      <c r="Z82" s="88">
        <f>全车数据表!AN83</f>
        <v>7</v>
      </c>
      <c r="AA82" s="88">
        <f>全车数据表!AP83</f>
        <v>5</v>
      </c>
      <c r="AB82" s="88">
        <f>全车数据表!AR83</f>
        <v>2</v>
      </c>
      <c r="AC82" s="88">
        <f>全车数据表!AW83</f>
        <v>355</v>
      </c>
      <c r="AD82" s="88">
        <f>全车数据表!AX83</f>
        <v>0</v>
      </c>
      <c r="AE82" s="88">
        <f>全车数据表!AY83</f>
        <v>463</v>
      </c>
      <c r="AF82" s="88" t="str">
        <f>IF(全车数据表!BA83="","",全车数据表!BA83)</f>
        <v>大奖赛</v>
      </c>
      <c r="AG82" s="88" t="str">
        <f>IF(全车数据表!BB83="","",全车数据表!BB83)</f>
        <v/>
      </c>
      <c r="AH82" s="88" t="str">
        <f>IF(全车数据表!BC83="","",全车数据表!BC83)</f>
        <v/>
      </c>
      <c r="AI82" s="88" t="str">
        <f>IF(全车数据表!BD83="","",全车数据表!BD83)</f>
        <v/>
      </c>
      <c r="AJ82" s="88" t="str">
        <f>IF(全车数据表!BE83="","",全车数据表!BE83)</f>
        <v/>
      </c>
      <c r="AK82" s="88" t="str">
        <f>IF(全车数据表!BF83="","",全车数据表!BF83)</f>
        <v/>
      </c>
      <c r="AL82" s="88" t="str">
        <f>IF(全车数据表!BG83="","",全车数据表!BG83)</f>
        <v/>
      </c>
      <c r="AM82" s="88" t="str">
        <f>IF(全车数据表!BH83="","",全车数据表!BH83)</f>
        <v/>
      </c>
      <c r="AN82" s="88" t="str">
        <f>IF(全车数据表!BI83="","",全车数据表!BI83)</f>
        <v/>
      </c>
      <c r="AO82" s="88" t="str">
        <f>IF(全车数据表!BJ83="","",全车数据表!BJ83)</f>
        <v/>
      </c>
      <c r="AP82" s="88" t="str">
        <f>IF(全车数据表!BK83="","",全车数据表!BK83)</f>
        <v/>
      </c>
      <c r="AQ82" s="88" t="str">
        <f>IF(全车数据表!BL83="","",全车数据表!BL83)</f>
        <v/>
      </c>
      <c r="AR82" s="88">
        <f>IF(全车数据表!BM83="","",全车数据表!BM83)</f>
        <v>1</v>
      </c>
      <c r="AS82" s="88" t="str">
        <f>IF(全车数据表!BN83="","",全车数据表!BN83)</f>
        <v/>
      </c>
      <c r="AT82" s="88">
        <f>IF(全车数据表!BO83="","",全车数据表!BO83)</f>
        <v>1</v>
      </c>
      <c r="AU82" s="88" t="str">
        <f>IF(全车数据表!BP83="","",全车数据表!BP83)</f>
        <v/>
      </c>
      <c r="AV82" s="88" t="str">
        <f>IF(全车数据表!BQ83="","",全车数据表!BQ83)</f>
        <v/>
      </c>
      <c r="AW82" s="88" t="str">
        <f>IF(全车数据表!BR83="","",全车数据表!BR83)</f>
        <v/>
      </c>
      <c r="AX82" s="88" t="str">
        <f>IF(全车数据表!BS83="","",全车数据表!BS83)</f>
        <v/>
      </c>
      <c r="AY82" s="88" t="str">
        <f>IF(全车数据表!BT83="","",全车数据表!BT83)</f>
        <v/>
      </c>
      <c r="AZ82" s="88" t="str">
        <f>IF(全车数据表!BU83="","",全车数据表!BU83)</f>
        <v/>
      </c>
      <c r="BA82" s="88" t="str">
        <f>IF(全车数据表!BV83="","",全车数据表!BV83)</f>
        <v>法拉利</v>
      </c>
      <c r="BB82" s="91" t="str">
        <f>IF(全车数据表!AZ83="","",全车数据表!AZ83)</f>
        <v/>
      </c>
    </row>
    <row r="83" spans="1:54">
      <c r="A83" s="88">
        <f>全车数据表!A84</f>
        <v>82</v>
      </c>
      <c r="B83" s="88" t="str">
        <f>全车数据表!B84</f>
        <v>Ferrari Daytona SP3🔑</v>
      </c>
      <c r="C83" s="89" t="str">
        <f>全车数据表!E84</f>
        <v>daytonasp3</v>
      </c>
      <c r="D83" s="88" t="str">
        <f>IF(全车数据表!D84="","",全车数据表!D84)</f>
        <v>Ferrari</v>
      </c>
      <c r="E83" s="89" t="str">
        <f>全车数据表!H84</f>
        <v>4.5</v>
      </c>
      <c r="F83" s="89" t="str">
        <f>全车数据表!C84</f>
        <v>戴通纳SP3</v>
      </c>
      <c r="G83" s="89" t="str">
        <f>全车数据表!F84</f>
        <v>C</v>
      </c>
      <c r="H83" s="88">
        <f>LEN(全车数据表!G84)</f>
        <v>5</v>
      </c>
      <c r="I83" s="88" t="str">
        <f>VLOOKUP(全车数据表!P84,辅助计算!A:B,2,FALSE)</f>
        <v>epic</v>
      </c>
      <c r="J83" s="88" t="str">
        <f>全车数据表!Q84</f>
        <v>🔑</v>
      </c>
      <c r="K83" s="88">
        <f>全车数据表!R84</f>
        <v>35</v>
      </c>
      <c r="L83" s="88">
        <f>全车数据表!S84</f>
        <v>38</v>
      </c>
      <c r="M83" s="88">
        <f>全车数据表!T84</f>
        <v>48</v>
      </c>
      <c r="N83" s="88">
        <f>全车数据表!U84</f>
        <v>58</v>
      </c>
      <c r="O83" s="88">
        <f>全车数据表!V84</f>
        <v>0</v>
      </c>
      <c r="P83" s="88">
        <f>全车数据表!J84</f>
        <v>4073</v>
      </c>
      <c r="Q83" s="88">
        <f>全车数据表!K84</f>
        <v>348.8</v>
      </c>
      <c r="R83" s="88">
        <f>全车数据表!L84</f>
        <v>80.459999999999994</v>
      </c>
      <c r="S83" s="88">
        <f>全车数据表!M84</f>
        <v>54.89</v>
      </c>
      <c r="T83" s="88">
        <f>全车数据表!N84</f>
        <v>60.3</v>
      </c>
      <c r="U83" s="88">
        <f>全车数据表!O84</f>
        <v>0</v>
      </c>
      <c r="V83" s="88">
        <f>全车数据表!AL84</f>
        <v>5700000</v>
      </c>
      <c r="W83" s="88">
        <f>全车数据表!AM84</f>
        <v>56000</v>
      </c>
      <c r="X83" s="88">
        <f>全车数据表!AU84</f>
        <v>6496000</v>
      </c>
      <c r="Y83" s="88">
        <f>全车数据表!AV84</f>
        <v>12196000</v>
      </c>
      <c r="Z83" s="88">
        <f>全车数据表!AN84</f>
        <v>9</v>
      </c>
      <c r="AA83" s="88">
        <f>全车数据表!AP84</f>
        <v>4</v>
      </c>
      <c r="AB83" s="88">
        <f>全车数据表!AR84</f>
        <v>2</v>
      </c>
      <c r="AC83" s="88">
        <f>全车数据表!AW84</f>
        <v>363</v>
      </c>
      <c r="AD83" s="88">
        <f>全车数据表!AX84</f>
        <v>0</v>
      </c>
      <c r="AE83" s="88">
        <f>全车数据表!AY84</f>
        <v>476</v>
      </c>
      <c r="AF83" s="88" t="str">
        <f>IF(全车数据表!BA84="","",全车数据表!BA84)</f>
        <v>大奖赛</v>
      </c>
      <c r="AG83" s="88" t="str">
        <f>IF(全车数据表!BB84="","",全车数据表!BB84)</f>
        <v/>
      </c>
      <c r="AH83" s="88" t="str">
        <f>IF(全车数据表!BC84="","",全车数据表!BC84)</f>
        <v/>
      </c>
      <c r="AI83" s="88" t="str">
        <f>IF(全车数据表!BD84="","",全车数据表!BD84)</f>
        <v/>
      </c>
      <c r="AJ83" s="88" t="str">
        <f>IF(全车数据表!BE84="","",全车数据表!BE84)</f>
        <v/>
      </c>
      <c r="AK83" s="88" t="str">
        <f>IF(全车数据表!BF84="","",全车数据表!BF84)</f>
        <v/>
      </c>
      <c r="AL83" s="88" t="str">
        <f>IF(全车数据表!BG84="","",全车数据表!BG84)</f>
        <v/>
      </c>
      <c r="AM83" s="88" t="str">
        <f>IF(全车数据表!BH84="","",全车数据表!BH84)</f>
        <v/>
      </c>
      <c r="AN83" s="88" t="str">
        <f>IF(全车数据表!BI84="","",全车数据表!BI84)</f>
        <v/>
      </c>
      <c r="AO83" s="88" t="str">
        <f>IF(全车数据表!BJ84="","",全车数据表!BJ84)</f>
        <v/>
      </c>
      <c r="AP83" s="88" t="str">
        <f>IF(全车数据表!BK84="","",全车数据表!BK84)</f>
        <v/>
      </c>
      <c r="AQ83" s="88" t="str">
        <f>IF(全车数据表!BL84="","",全车数据表!BL84)</f>
        <v/>
      </c>
      <c r="AR83" s="88">
        <f>IF(全车数据表!BM84="","",全车数据表!BM84)</f>
        <v>1</v>
      </c>
      <c r="AS83" s="88" t="str">
        <f>IF(全车数据表!BN84="","",全车数据表!BN84)</f>
        <v/>
      </c>
      <c r="AT83" s="88">
        <f>IF(全车数据表!BO84="","",全车数据表!BO84)</f>
        <v>1</v>
      </c>
      <c r="AU83" s="88" t="str">
        <f>IF(全车数据表!BP84="","",全车数据表!BP84)</f>
        <v/>
      </c>
      <c r="AV83" s="88" t="str">
        <f>IF(全车数据表!BQ84="","",全车数据表!BQ84)</f>
        <v/>
      </c>
      <c r="AW83" s="88" t="str">
        <f>IF(全车数据表!BR84="","",全车数据表!BR84)</f>
        <v/>
      </c>
      <c r="AX83" s="88" t="str">
        <f>IF(全车数据表!BS84="","",全车数据表!BS84)</f>
        <v/>
      </c>
      <c r="AY83" s="88" t="str">
        <f>IF(全车数据表!BT84="","",全车数据表!BT84)</f>
        <v/>
      </c>
      <c r="AZ83" s="88" t="str">
        <f>IF(全车数据表!BU84="","",全车数据表!BU84)</f>
        <v/>
      </c>
      <c r="BA83" s="88" t="str">
        <f>IF(全车数据表!BV84="","",全车数据表!BV84)</f>
        <v>法拉利戴通纳</v>
      </c>
      <c r="BB83" s="91" t="str">
        <f>IF(全车数据表!AZ84="","",全车数据表!AZ84)</f>
        <v/>
      </c>
    </row>
    <row r="84" spans="1:54">
      <c r="A84" s="88">
        <f>全车数据表!A85</f>
        <v>83</v>
      </c>
      <c r="B84" s="88" t="str">
        <f>全车数据表!B85</f>
        <v>Nissan Z GT4</v>
      </c>
      <c r="C84" s="89" t="str">
        <f>全车数据表!E85</f>
        <v>zgt4</v>
      </c>
      <c r="D84" s="88" t="str">
        <f>IF(全车数据表!D85="","",全车数据表!D85)</f>
        <v>Nissan</v>
      </c>
      <c r="E84" s="89" t="str">
        <f>全车数据表!H85</f>
        <v>5.4</v>
      </c>
      <c r="F84" s="89" t="str">
        <f>全车数据表!C85</f>
        <v>Z GT4</v>
      </c>
      <c r="G84" s="89" t="str">
        <f>全车数据表!F85</f>
        <v>C</v>
      </c>
      <c r="H84" s="88">
        <f>LEN(全车数据表!G85)</f>
        <v>5</v>
      </c>
      <c r="I84" s="88" t="str">
        <f>VLOOKUP(全车数据表!P85,辅助计算!A:B,2,FALSE)</f>
        <v>epic</v>
      </c>
      <c r="J84" s="88">
        <f>全车数据表!Q85</f>
        <v>35</v>
      </c>
      <c r="K84" s="88">
        <f>全车数据表!R85</f>
        <v>35</v>
      </c>
      <c r="L84" s="88">
        <f>全车数据表!S85</f>
        <v>36</v>
      </c>
      <c r="M84" s="88">
        <f>全车数据表!T85</f>
        <v>38</v>
      </c>
      <c r="N84" s="88">
        <f>全车数据表!U85</f>
        <v>42</v>
      </c>
      <c r="O84" s="88">
        <f>全车数据表!V85</f>
        <v>0</v>
      </c>
      <c r="P84" s="88">
        <f>全车数据表!J85</f>
        <v>4098</v>
      </c>
      <c r="Q84" s="88">
        <f>全车数据表!K85</f>
        <v>345</v>
      </c>
      <c r="R84" s="88">
        <f>全车数据表!L85</f>
        <v>81.150000000000006</v>
      </c>
      <c r="S84" s="88">
        <f>全车数据表!M85</f>
        <v>54.32</v>
      </c>
      <c r="T84" s="88">
        <f>全车数据表!N85</f>
        <v>62.04</v>
      </c>
      <c r="U84" s="88">
        <f>全车数据表!O85</f>
        <v>0</v>
      </c>
      <c r="V84" s="88">
        <f>全车数据表!AL85</f>
        <v>5700000</v>
      </c>
      <c r="W84" s="88">
        <f>全车数据表!AM85</f>
        <v>52500</v>
      </c>
      <c r="X84" s="88">
        <f>全车数据表!AU85</f>
        <v>6090000</v>
      </c>
      <c r="Y84" s="88">
        <f>全车数据表!AV85</f>
        <v>11790000</v>
      </c>
      <c r="Z84" s="88">
        <f>全车数据表!AN85</f>
        <v>9</v>
      </c>
      <c r="AA84" s="88">
        <f>全车数据表!AP85</f>
        <v>4</v>
      </c>
      <c r="AB84" s="88">
        <f>全车数据表!AR85</f>
        <v>2</v>
      </c>
      <c r="AC84" s="88">
        <f>全车数据表!AW85</f>
        <v>359</v>
      </c>
      <c r="AD84" s="88">
        <f>全车数据表!AX85</f>
        <v>0</v>
      </c>
      <c r="AE84" s="88">
        <f>全车数据表!AY85</f>
        <v>469</v>
      </c>
      <c r="AF84" s="88" t="str">
        <f>IF(全车数据表!BA85="","",全车数据表!BA85)</f>
        <v>通行证</v>
      </c>
      <c r="AG84" s="88" t="str">
        <f>IF(全车数据表!BB85="","",全车数据表!BB85)</f>
        <v/>
      </c>
      <c r="AH84" s="88" t="str">
        <f>IF(全车数据表!BC85="","",全车数据表!BC85)</f>
        <v/>
      </c>
      <c r="AI84" s="88" t="str">
        <f>IF(全车数据表!BD85="","",全车数据表!BD85)</f>
        <v/>
      </c>
      <c r="AJ84" s="88" t="str">
        <f>IF(全车数据表!BE85="","",全车数据表!BE85)</f>
        <v/>
      </c>
      <c r="AK84" s="88" t="str">
        <f>IF(全车数据表!BF85="","",全车数据表!BF85)</f>
        <v/>
      </c>
      <c r="AL84" s="88" t="str">
        <f>IF(全车数据表!BG85="","",全车数据表!BG85)</f>
        <v/>
      </c>
      <c r="AM84" s="88" t="str">
        <f>IF(全车数据表!BH85="","",全车数据表!BH85)</f>
        <v/>
      </c>
      <c r="AN84" s="88" t="str">
        <f>IF(全车数据表!BI85="","",全车数据表!BI85)</f>
        <v/>
      </c>
      <c r="AO84" s="88" t="str">
        <f>IF(全车数据表!BJ85="","",全车数据表!BJ85)</f>
        <v/>
      </c>
      <c r="AP84" s="88" t="str">
        <f>IF(全车数据表!BK85="","",全车数据表!BK85)</f>
        <v/>
      </c>
      <c r="AQ84" s="88" t="str">
        <f>IF(全车数据表!BL85="","",全车数据表!BL85)</f>
        <v/>
      </c>
      <c r="AR84" s="88" t="str">
        <f>IF(全车数据表!BM85="","",全车数据表!BM85)</f>
        <v/>
      </c>
      <c r="AS84" s="88" t="str">
        <f>IF(全车数据表!BN85="","",全车数据表!BN85)</f>
        <v/>
      </c>
      <c r="AT84" s="88" t="str">
        <f>IF(全车数据表!BO85="","",全车数据表!BO85)</f>
        <v/>
      </c>
      <c r="AU84" s="88" t="str">
        <f>IF(全车数据表!BP85="","",全车数据表!BP85)</f>
        <v/>
      </c>
      <c r="AV84" s="88" t="str">
        <f>IF(全车数据表!BQ85="","",全车数据表!BQ85)</f>
        <v/>
      </c>
      <c r="AW84" s="88" t="str">
        <f>IF(全车数据表!BR85="","",全车数据表!BR85)</f>
        <v/>
      </c>
      <c r="AX84" s="88" t="str">
        <f>IF(全车数据表!BS85="","",全车数据表!BS85)</f>
        <v/>
      </c>
      <c r="AY84" s="88" t="str">
        <f>IF(全车数据表!BT85="","",全车数据表!BT85)</f>
        <v/>
      </c>
      <c r="AZ84" s="88" t="str">
        <f>IF(全车数据表!BU85="","",全车数据表!BU85)</f>
        <v/>
      </c>
      <c r="BA84" s="88" t="str">
        <f>IF(全车数据表!BV85="","",全车数据表!BV85)</f>
        <v/>
      </c>
      <c r="BB84" s="91" t="str">
        <f>IF(全车数据表!AZ85="","",全车数据表!AZ85)</f>
        <v/>
      </c>
    </row>
    <row r="85" spans="1:54">
      <c r="A85" s="88">
        <f>全车数据表!A86</f>
        <v>84</v>
      </c>
      <c r="B85" s="88" t="str">
        <f>全车数据表!B86</f>
        <v>Exotic Rides W70</v>
      </c>
      <c r="C85" s="89" t="str">
        <f>全车数据表!E86</f>
        <v>w70</v>
      </c>
      <c r="D85" s="88" t="str">
        <f>IF(全车数据表!D86="","",全车数据表!D86)</f>
        <v>Exotic Rides</v>
      </c>
      <c r="E85" s="89" t="str">
        <f>全车数据表!H86</f>
        <v>1.3</v>
      </c>
      <c r="F85" s="89" t="str">
        <f>全车数据表!C86</f>
        <v>W70</v>
      </c>
      <c r="G85" s="89" t="str">
        <f>全车数据表!F86</f>
        <v>B</v>
      </c>
      <c r="H85" s="88">
        <f>LEN(全车数据表!G86)</f>
        <v>3</v>
      </c>
      <c r="I85" s="88" t="str">
        <f>VLOOKUP(全车数据表!P86,辅助计算!A:B,2,FALSE)</f>
        <v>rare</v>
      </c>
      <c r="J85" s="88">
        <f>全车数据表!Q86</f>
        <v>35</v>
      </c>
      <c r="K85" s="88">
        <f>全车数据表!R86</f>
        <v>35</v>
      </c>
      <c r="L85" s="88">
        <f>全车数据表!S86</f>
        <v>50</v>
      </c>
      <c r="M85" s="88">
        <f>全车数据表!T86</f>
        <v>0</v>
      </c>
      <c r="N85" s="88">
        <f>全车数据表!U86</f>
        <v>0</v>
      </c>
      <c r="O85" s="88">
        <f>全车数据表!V86</f>
        <v>0</v>
      </c>
      <c r="P85" s="88">
        <f>全车数据表!J86</f>
        <v>2633</v>
      </c>
      <c r="Q85" s="88">
        <f>全车数据表!K86</f>
        <v>329.7</v>
      </c>
      <c r="R85" s="88">
        <f>全车数据表!L86</f>
        <v>80.209999999999994</v>
      </c>
      <c r="S85" s="88">
        <f>全车数据表!M86</f>
        <v>45.2</v>
      </c>
      <c r="T85" s="88">
        <f>全车数据表!N86</f>
        <v>56.71</v>
      </c>
      <c r="U85" s="88">
        <f>全车数据表!O86</f>
        <v>5.9660000000000002</v>
      </c>
      <c r="V85" s="88">
        <f>全车数据表!AL86</f>
        <v>1718000</v>
      </c>
      <c r="W85" s="88">
        <f>全车数据表!AM86</f>
        <v>12500</v>
      </c>
      <c r="X85" s="88">
        <f>全车数据表!AU86</f>
        <v>700000</v>
      </c>
      <c r="Y85" s="88">
        <f>全车数据表!AV86</f>
        <v>2418000</v>
      </c>
      <c r="Z85" s="88">
        <f>全车数据表!AN86</f>
        <v>6</v>
      </c>
      <c r="AA85" s="88">
        <f>全车数据表!AP86</f>
        <v>1</v>
      </c>
      <c r="AB85" s="88">
        <f>全车数据表!AR86</f>
        <v>1</v>
      </c>
      <c r="AC85" s="88">
        <f>全车数据表!AW86</f>
        <v>342</v>
      </c>
      <c r="AD85" s="88">
        <f>全车数据表!AX86</f>
        <v>0</v>
      </c>
      <c r="AE85" s="88">
        <f>全车数据表!AY86</f>
        <v>441</v>
      </c>
      <c r="AF85" s="88" t="str">
        <f>IF(全车数据表!BA86="","",全车数据表!BA86)</f>
        <v>级别杯</v>
      </c>
      <c r="AG85" s="88">
        <f>IF(全车数据表!BB86="","",全车数据表!BB86)</f>
        <v>1</v>
      </c>
      <c r="AH85" s="88" t="str">
        <f>IF(全车数据表!BC86="","",全车数据表!BC86)</f>
        <v/>
      </c>
      <c r="AI85" s="88">
        <f>IF(全车数据表!BD86="","",全车数据表!BD86)</f>
        <v>1</v>
      </c>
      <c r="AJ85" s="88">
        <f>IF(全车数据表!BE86="","",全车数据表!BE86)</f>
        <v>1</v>
      </c>
      <c r="AK85" s="88" t="str">
        <f>IF(全车数据表!BF86="","",全车数据表!BF86)</f>
        <v/>
      </c>
      <c r="AL85" s="88" t="str">
        <f>IF(全车数据表!BG86="","",全车数据表!BG86)</f>
        <v/>
      </c>
      <c r="AM85" s="88" t="str">
        <f>IF(全车数据表!BH86="","",全车数据表!BH86)</f>
        <v/>
      </c>
      <c r="AN85" s="88" t="str">
        <f>IF(全车数据表!BI86="","",全车数据表!BI86)</f>
        <v/>
      </c>
      <c r="AO85" s="88" t="str">
        <f>IF(全车数据表!BJ86="","",全车数据表!BJ86)</f>
        <v/>
      </c>
      <c r="AP85" s="88" t="str">
        <f>IF(全车数据表!BK86="","",全车数据表!BK86)</f>
        <v/>
      </c>
      <c r="AQ85" s="88" t="str">
        <f>IF(全车数据表!BL86="","",全车数据表!BL86)</f>
        <v/>
      </c>
      <c r="AR85" s="88" t="str">
        <f>IF(全车数据表!BM86="","",全车数据表!BM86)</f>
        <v/>
      </c>
      <c r="AS85" s="88" t="str">
        <f>IF(全车数据表!BN86="","",全车数据表!BN86)</f>
        <v/>
      </c>
      <c r="AT85" s="88" t="str">
        <f>IF(全车数据表!BO86="","",全车数据表!BO86)</f>
        <v/>
      </c>
      <c r="AU85" s="88" t="str">
        <f>IF(全车数据表!BP86="","",全车数据表!BP86)</f>
        <v/>
      </c>
      <c r="AV85" s="88" t="str">
        <f>IF(全车数据表!BQ86="","",全车数据表!BQ86)</f>
        <v>2款</v>
      </c>
      <c r="AW85" s="88" t="str">
        <f>IF(全车数据表!BR86="","",全车数据表!BR86)</f>
        <v/>
      </c>
      <c r="AX85" s="88" t="str">
        <f>IF(全车数据表!BS86="","",全车数据表!BS86)</f>
        <v/>
      </c>
      <c r="AY85" s="88" t="str">
        <f>IF(全车数据表!BT86="","",全车数据表!BT86)</f>
        <v/>
      </c>
      <c r="AZ85" s="88">
        <f>IF(全车数据表!BU86="","",全车数据表!BU86)</f>
        <v>1</v>
      </c>
      <c r="BA85" s="88" t="str">
        <f>IF(全车数据表!BV86="","",全车数据表!BV86)</f>
        <v>er</v>
      </c>
      <c r="BB85" s="91">
        <f>IF(全车数据表!AZ86="","",全车数据表!AZ86)</f>
        <v>1</v>
      </c>
    </row>
    <row r="86" spans="1:54">
      <c r="A86" s="88">
        <f>全车数据表!A87</f>
        <v>85</v>
      </c>
      <c r="B86" s="88" t="str">
        <f>全车数据表!B87</f>
        <v>Ford GT</v>
      </c>
      <c r="C86" s="89" t="str">
        <f>全车数据表!E87</f>
        <v>fordgt</v>
      </c>
      <c r="D86" s="88" t="str">
        <f>IF(全车数据表!D87="","",全车数据表!D87)</f>
        <v>Ford</v>
      </c>
      <c r="E86" s="89" t="str">
        <f>全车数据表!H87</f>
        <v>1.3</v>
      </c>
      <c r="F86" s="89" t="str">
        <f>全车数据表!C87</f>
        <v>福特GT</v>
      </c>
      <c r="G86" s="89" t="str">
        <f>全车数据表!F87</f>
        <v>B</v>
      </c>
      <c r="H86" s="88">
        <f>LEN(全车数据表!G87)</f>
        <v>4</v>
      </c>
      <c r="I86" s="88" t="str">
        <f>VLOOKUP(全车数据表!P87,辅助计算!A:B,2,FALSE)</f>
        <v>rare</v>
      </c>
      <c r="J86" s="88">
        <f>全车数据表!Q87</f>
        <v>40</v>
      </c>
      <c r="K86" s="88">
        <f>全车数据表!R87</f>
        <v>18</v>
      </c>
      <c r="L86" s="88">
        <f>全车数据表!S87</f>
        <v>24</v>
      </c>
      <c r="M86" s="88">
        <f>全车数据表!T87</f>
        <v>36</v>
      </c>
      <c r="N86" s="88">
        <f>全车数据表!U87</f>
        <v>0</v>
      </c>
      <c r="O86" s="88">
        <f>全车数据表!V87</f>
        <v>0</v>
      </c>
      <c r="P86" s="88">
        <f>全车数据表!J87</f>
        <v>2816</v>
      </c>
      <c r="Q86" s="88">
        <f>全车数据表!K87</f>
        <v>362.8</v>
      </c>
      <c r="R86" s="88">
        <f>全车数据表!L87</f>
        <v>77.540000000000006</v>
      </c>
      <c r="S86" s="88">
        <f>全车数据表!M87</f>
        <v>34.11</v>
      </c>
      <c r="T86" s="88">
        <f>全车数据表!N87</f>
        <v>48.64</v>
      </c>
      <c r="U86" s="88">
        <f>全车数据表!O87</f>
        <v>4.88</v>
      </c>
      <c r="V86" s="88">
        <f>全车数据表!AL87</f>
        <v>2190000</v>
      </c>
      <c r="W86" s="88">
        <f>全车数据表!AM87</f>
        <v>15000</v>
      </c>
      <c r="X86" s="88">
        <f>全车数据表!AU87</f>
        <v>1560000</v>
      </c>
      <c r="Y86" s="88">
        <f>全车数据表!AV87</f>
        <v>3750000</v>
      </c>
      <c r="Z86" s="88">
        <f>全车数据表!AN87</f>
        <v>6</v>
      </c>
      <c r="AA86" s="88">
        <f>全车数据表!AP87</f>
        <v>4</v>
      </c>
      <c r="AB86" s="88">
        <f>全车数据表!AR87</f>
        <v>2</v>
      </c>
      <c r="AC86" s="88">
        <f>全车数据表!AW87</f>
        <v>377</v>
      </c>
      <c r="AD86" s="88">
        <f>全车数据表!AX87</f>
        <v>0</v>
      </c>
      <c r="AE86" s="88">
        <f>全车数据表!AY87</f>
        <v>500</v>
      </c>
      <c r="AF86" s="88" t="str">
        <f>IF(全车数据表!BA87="","",全车数据表!BA87)</f>
        <v>级别杯</v>
      </c>
      <c r="AG86" s="88" t="str">
        <f>IF(全车数据表!BB87="","",全车数据表!BB87)</f>
        <v/>
      </c>
      <c r="AH86" s="88" t="str">
        <f>IF(全车数据表!BC87="","",全车数据表!BC87)</f>
        <v/>
      </c>
      <c r="AI86" s="88">
        <f>IF(全车数据表!BD87="","",全车数据表!BD87)</f>
        <v>1</v>
      </c>
      <c r="AJ86" s="88">
        <f>IF(全车数据表!BE87="","",全车数据表!BE87)</f>
        <v>1</v>
      </c>
      <c r="AK86" s="88" t="str">
        <f>IF(全车数据表!BF87="","",全车数据表!BF87)</f>
        <v/>
      </c>
      <c r="AL86" s="88">
        <f>IF(全车数据表!BG87="","",全车数据表!BG87)</f>
        <v>1</v>
      </c>
      <c r="AM86" s="88" t="str">
        <f>IF(全车数据表!BH87="","",全车数据表!BH87)</f>
        <v/>
      </c>
      <c r="AN86" s="88" t="str">
        <f>IF(全车数据表!BI87="","",全车数据表!BI87)</f>
        <v/>
      </c>
      <c r="AO86" s="88" t="str">
        <f>IF(全车数据表!BJ87="","",全车数据表!BJ87)</f>
        <v/>
      </c>
      <c r="AP86" s="88" t="str">
        <f>IF(全车数据表!BK87="","",全车数据表!BK87)</f>
        <v/>
      </c>
      <c r="AQ86" s="88" t="str">
        <f>IF(全车数据表!BL87="","",全车数据表!BL87)</f>
        <v/>
      </c>
      <c r="AR86" s="88" t="str">
        <f>IF(全车数据表!BM87="","",全车数据表!BM87)</f>
        <v/>
      </c>
      <c r="AS86" s="88" t="str">
        <f>IF(全车数据表!BN87="","",全车数据表!BN87)</f>
        <v/>
      </c>
      <c r="AT86" s="88" t="str">
        <f>IF(全车数据表!BO87="","",全车数据表!BO87)</f>
        <v/>
      </c>
      <c r="AU86" s="88" t="str">
        <f>IF(全车数据表!BP87="","",全车数据表!BP87)</f>
        <v/>
      </c>
      <c r="AV86" s="88" t="str">
        <f>IF(全车数据表!BQ87="","",全车数据表!BQ87)</f>
        <v>Top Speed</v>
      </c>
      <c r="AW86" s="88" t="str">
        <f>IF(全车数据表!BR87="","",全车数据表!BR87)</f>
        <v/>
      </c>
      <c r="AX86" s="88" t="str">
        <f>IF(全车数据表!BS87="","",全车数据表!BS87)</f>
        <v/>
      </c>
      <c r="AY86" s="88" t="str">
        <f>IF(全车数据表!BT87="","",全车数据表!BT87)</f>
        <v/>
      </c>
      <c r="AZ86" s="88">
        <f>IF(全车数据表!BU87="","",全车数据表!BU87)</f>
        <v>1</v>
      </c>
      <c r="BA86" s="88" t="str">
        <f>IF(全车数据表!BV87="","",全车数据表!BV87)</f>
        <v>福特 极速是爹</v>
      </c>
      <c r="BB86" s="91">
        <f>IF(全车数据表!AZ87="","",全车数据表!AZ87)</f>
        <v>1</v>
      </c>
    </row>
    <row r="87" spans="1:54">
      <c r="A87" s="88">
        <f>全车数据表!A88</f>
        <v>86</v>
      </c>
      <c r="B87" s="88" t="str">
        <f>全车数据表!B88</f>
        <v>Dodge Viper ACR</v>
      </c>
      <c r="C87" s="89" t="str">
        <f>全车数据表!E88</f>
        <v>acr</v>
      </c>
      <c r="D87" s="88" t="str">
        <f>IF(全车数据表!D88="","",全车数据表!D88)</f>
        <v>Dodge</v>
      </c>
      <c r="E87" s="89" t="str">
        <f>全车数据表!H88</f>
        <v>1.3</v>
      </c>
      <c r="F87" s="89" t="str">
        <f>全车数据表!C88</f>
        <v>ACR</v>
      </c>
      <c r="G87" s="89" t="str">
        <f>全车数据表!F88</f>
        <v>B</v>
      </c>
      <c r="H87" s="88">
        <f>LEN(全车数据表!G88)</f>
        <v>4</v>
      </c>
      <c r="I87" s="88" t="str">
        <f>VLOOKUP(全车数据表!P88,辅助计算!A:B,2,FALSE)</f>
        <v>rare</v>
      </c>
      <c r="J87" s="88">
        <f>全车数据表!Q88</f>
        <v>40</v>
      </c>
      <c r="K87" s="88">
        <f>全车数据表!R88</f>
        <v>18</v>
      </c>
      <c r="L87" s="88">
        <f>全车数据表!S88</f>
        <v>24</v>
      </c>
      <c r="M87" s="88">
        <f>全车数据表!T88</f>
        <v>36</v>
      </c>
      <c r="N87" s="88">
        <f>全车数据表!U88</f>
        <v>0</v>
      </c>
      <c r="O87" s="88">
        <f>全车数据表!V88</f>
        <v>0</v>
      </c>
      <c r="P87" s="88">
        <f>全车数据表!J88</f>
        <v>2827</v>
      </c>
      <c r="Q87" s="88">
        <f>全车数据表!K88</f>
        <v>303.39999999999998</v>
      </c>
      <c r="R87" s="88">
        <f>全车数据表!L88</f>
        <v>77.319999999999993</v>
      </c>
      <c r="S87" s="88">
        <f>全车数据表!M88</f>
        <v>86.2</v>
      </c>
      <c r="T87" s="88">
        <f>全车数据表!N88</f>
        <v>68.94</v>
      </c>
      <c r="U87" s="88">
        <f>全车数据表!O88</f>
        <v>8.9659999999999993</v>
      </c>
      <c r="V87" s="88">
        <f>全车数据表!AL88</f>
        <v>2276800</v>
      </c>
      <c r="W87" s="88">
        <f>全车数据表!AM88</f>
        <v>15000</v>
      </c>
      <c r="X87" s="88">
        <f>全车数据表!AU88</f>
        <v>1560000</v>
      </c>
      <c r="Y87" s="88">
        <f>全车数据表!AV88</f>
        <v>3836800</v>
      </c>
      <c r="Z87" s="88">
        <f>全车数据表!AN88</f>
        <v>6</v>
      </c>
      <c r="AA87" s="88">
        <f>全车数据表!AP88</f>
        <v>4</v>
      </c>
      <c r="AB87" s="88">
        <f>全车数据表!AR88</f>
        <v>2</v>
      </c>
      <c r="AC87" s="88">
        <f>全车数据表!AW88</f>
        <v>316</v>
      </c>
      <c r="AD87" s="88">
        <f>全车数据表!AX88</f>
        <v>0</v>
      </c>
      <c r="AE87" s="88">
        <f>全车数据表!AY88</f>
        <v>404</v>
      </c>
      <c r="AF87" s="88" t="str">
        <f>IF(全车数据表!BA88="","",全车数据表!BA88)</f>
        <v>级别杯</v>
      </c>
      <c r="AG87" s="88" t="str">
        <f>IF(全车数据表!BB88="","",全车数据表!BB88)</f>
        <v/>
      </c>
      <c r="AH87" s="88" t="str">
        <f>IF(全车数据表!BC88="","",全车数据表!BC88)</f>
        <v/>
      </c>
      <c r="AI87" s="88">
        <f>IF(全车数据表!BD88="","",全车数据表!BD88)</f>
        <v>1</v>
      </c>
      <c r="AJ87" s="88">
        <f>IF(全车数据表!BE88="","",全车数据表!BE88)</f>
        <v>1</v>
      </c>
      <c r="AK87" s="88" t="str">
        <f>IF(全车数据表!BF88="","",全车数据表!BF88)</f>
        <v/>
      </c>
      <c r="AL87" s="88" t="str">
        <f>IF(全车数据表!BG88="","",全车数据表!BG88)</f>
        <v/>
      </c>
      <c r="AM87" s="88" t="str">
        <f>IF(全车数据表!BH88="","",全车数据表!BH88)</f>
        <v/>
      </c>
      <c r="AN87" s="88" t="str">
        <f>IF(全车数据表!BI88="","",全车数据表!BI88)</f>
        <v/>
      </c>
      <c r="AO87" s="88" t="str">
        <f>IF(全车数据表!BJ88="","",全车数据表!BJ88)</f>
        <v/>
      </c>
      <c r="AP87" s="88" t="str">
        <f>IF(全车数据表!BK88="","",全车数据表!BK88)</f>
        <v/>
      </c>
      <c r="AQ87" s="88" t="str">
        <f>IF(全车数据表!BL88="","",全车数据表!BL88)</f>
        <v/>
      </c>
      <c r="AR87" s="88" t="str">
        <f>IF(全车数据表!BM88="","",全车数据表!BM88)</f>
        <v/>
      </c>
      <c r="AS87" s="88" t="str">
        <f>IF(全车数据表!BN88="","",全车数据表!BN88)</f>
        <v/>
      </c>
      <c r="AT87" s="88" t="str">
        <f>IF(全车数据表!BO88="","",全车数据表!BO88)</f>
        <v/>
      </c>
      <c r="AU87" s="88" t="str">
        <f>IF(全车数据表!BP88="","",全车数据表!BP88)</f>
        <v/>
      </c>
      <c r="AV87" s="88" t="str">
        <f>IF(全车数据表!BQ88="","",全车数据表!BQ88)</f>
        <v>1款</v>
      </c>
      <c r="AW87" s="88" t="str">
        <f>IF(全车数据表!BR88="","",全车数据表!BR88)</f>
        <v/>
      </c>
      <c r="AX87" s="88" t="str">
        <f>IF(全车数据表!BS88="","",全车数据表!BS88)</f>
        <v/>
      </c>
      <c r="AY87" s="88" t="str">
        <f>IF(全车数据表!BT88="","",全车数据表!BT88)</f>
        <v/>
      </c>
      <c r="AZ87" s="88">
        <f>IF(全车数据表!BU88="","",全车数据表!BU88)</f>
        <v>1</v>
      </c>
      <c r="BA87" s="88" t="str">
        <f>IF(全车数据表!BV88="","",全车数据表!BV88)</f>
        <v>道奇 蝰蛇 C蛇</v>
      </c>
      <c r="BB87" s="91">
        <f>IF(全车数据表!AZ88="","",全车数据表!AZ88)</f>
        <v>1</v>
      </c>
    </row>
    <row r="88" spans="1:54">
      <c r="A88" s="88">
        <f>全车数据表!A89</f>
        <v>87</v>
      </c>
      <c r="B88" s="88" t="str">
        <f>全车数据表!B89</f>
        <v>Lamborghini Asterion</v>
      </c>
      <c r="C88" s="89" t="str">
        <f>全车数据表!E89</f>
        <v>asterion</v>
      </c>
      <c r="D88" s="88" t="str">
        <f>IF(全车数据表!D89="","",全车数据表!D89)</f>
        <v>Lamborghini</v>
      </c>
      <c r="E88" s="89" t="str">
        <f>全车数据表!H89</f>
        <v>1.3</v>
      </c>
      <c r="F88" s="89" t="str">
        <f>全车数据表!C89</f>
        <v>蓝牛</v>
      </c>
      <c r="G88" s="89" t="str">
        <f>全车数据表!F89</f>
        <v>B</v>
      </c>
      <c r="H88" s="88">
        <f>LEN(全车数据表!G89)</f>
        <v>4</v>
      </c>
      <c r="I88" s="88" t="str">
        <f>VLOOKUP(全车数据表!P89,辅助计算!A:B,2,FALSE)</f>
        <v>rare</v>
      </c>
      <c r="J88" s="88">
        <f>全车数据表!Q89</f>
        <v>40</v>
      </c>
      <c r="K88" s="88">
        <f>全车数据表!R89</f>
        <v>18</v>
      </c>
      <c r="L88" s="88">
        <f>全车数据表!S89</f>
        <v>24</v>
      </c>
      <c r="M88" s="88">
        <f>全车数据表!T89</f>
        <v>36</v>
      </c>
      <c r="N88" s="88">
        <f>全车数据表!U89</f>
        <v>0</v>
      </c>
      <c r="O88" s="88">
        <f>全车数据表!V89</f>
        <v>0</v>
      </c>
      <c r="P88" s="88">
        <f>全车数据表!J89</f>
        <v>2983</v>
      </c>
      <c r="Q88" s="88">
        <f>全车数据表!K89</f>
        <v>336.6</v>
      </c>
      <c r="R88" s="88">
        <f>全车数据表!L89</f>
        <v>81.05</v>
      </c>
      <c r="S88" s="88">
        <f>全车数据表!M89</f>
        <v>45.56</v>
      </c>
      <c r="T88" s="88">
        <f>全车数据表!N89</f>
        <v>68.209999999999994</v>
      </c>
      <c r="U88" s="88">
        <f>全车数据表!O89</f>
        <v>7.6159999999999997</v>
      </c>
      <c r="V88" s="88">
        <f>全车数据表!AL89</f>
        <v>2276800</v>
      </c>
      <c r="W88" s="88">
        <f>全车数据表!AM89</f>
        <v>15000</v>
      </c>
      <c r="X88" s="88">
        <f>全车数据表!AU89</f>
        <v>1560000</v>
      </c>
      <c r="Y88" s="88">
        <f>全车数据表!AV89</f>
        <v>3836800</v>
      </c>
      <c r="Z88" s="88">
        <f>全车数据表!AN89</f>
        <v>6</v>
      </c>
      <c r="AA88" s="88">
        <f>全车数据表!AP89</f>
        <v>4</v>
      </c>
      <c r="AB88" s="88">
        <f>全车数据表!AR89</f>
        <v>2</v>
      </c>
      <c r="AC88" s="88">
        <f>全车数据表!AW89</f>
        <v>350</v>
      </c>
      <c r="AD88" s="88">
        <f>全车数据表!AX89</f>
        <v>0</v>
      </c>
      <c r="AE88" s="88">
        <f>全车数据表!AY89</f>
        <v>455</v>
      </c>
      <c r="AF88" s="88" t="str">
        <f>IF(全车数据表!BA89="","",全车数据表!BA89)</f>
        <v>每日任务</v>
      </c>
      <c r="AG88" s="88" t="str">
        <f>IF(全车数据表!BB89="","",全车数据表!BB89)</f>
        <v/>
      </c>
      <c r="AH88" s="88">
        <f>IF(全车数据表!BC89="","",全车数据表!BC89)</f>
        <v>1</v>
      </c>
      <c r="AI88" s="88" t="str">
        <f>IF(全车数据表!BD89="","",全车数据表!BD89)</f>
        <v/>
      </c>
      <c r="AJ88" s="88">
        <f>IF(全车数据表!BE89="","",全车数据表!BE89)</f>
        <v>1</v>
      </c>
      <c r="AK88" s="88" t="str">
        <f>IF(全车数据表!BF89="","",全车数据表!BF89)</f>
        <v/>
      </c>
      <c r="AL88" s="88" t="str">
        <f>IF(全车数据表!BG89="","",全车数据表!BG89)</f>
        <v/>
      </c>
      <c r="AM88" s="88" t="str">
        <f>IF(全车数据表!BH89="","",全车数据表!BH89)</f>
        <v/>
      </c>
      <c r="AN88" s="88" t="str">
        <f>IF(全车数据表!BI89="","",全车数据表!BI89)</f>
        <v/>
      </c>
      <c r="AO88" s="88" t="str">
        <f>IF(全车数据表!BJ89="","",全车数据表!BJ89)</f>
        <v/>
      </c>
      <c r="AP88" s="88" t="str">
        <f>IF(全车数据表!BK89="","",全车数据表!BK89)</f>
        <v/>
      </c>
      <c r="AQ88" s="88" t="str">
        <f>IF(全车数据表!BL89="","",全车数据表!BL89)</f>
        <v/>
      </c>
      <c r="AR88" s="88" t="str">
        <f>IF(全车数据表!BM89="","",全车数据表!BM89)</f>
        <v/>
      </c>
      <c r="AS88" s="88" t="str">
        <f>IF(全车数据表!BN89="","",全车数据表!BN89)</f>
        <v/>
      </c>
      <c r="AT88" s="88" t="str">
        <f>IF(全车数据表!BO89="","",全车数据表!BO89)</f>
        <v/>
      </c>
      <c r="AU88" s="88" t="str">
        <f>IF(全车数据表!BP89="","",全车数据表!BP89)</f>
        <v/>
      </c>
      <c r="AV88" s="88" t="str">
        <f>IF(全车数据表!BQ89="","",全车数据表!BQ89)</f>
        <v>国服2周年车贴</v>
      </c>
      <c r="AW88" s="88">
        <f>IF(全车数据表!BR89="","",全车数据表!BR89)</f>
        <v>1</v>
      </c>
      <c r="AX88" s="88" t="str">
        <f>IF(全车数据表!BS89="","",全车数据表!BS89)</f>
        <v/>
      </c>
      <c r="AY88" s="88" t="str">
        <f>IF(全车数据表!BT89="","",全车数据表!BT89)</f>
        <v/>
      </c>
      <c r="AZ88" s="88">
        <f>IF(全车数据表!BU89="","",全车数据表!BU89)</f>
        <v>1</v>
      </c>
      <c r="BA88" s="88" t="str">
        <f>IF(全车数据表!BV89="","",全车数据表!BV89)</f>
        <v>蓝牛 牛A 牛B 兰博基尼</v>
      </c>
      <c r="BB88" s="91" t="str">
        <f>IF(全车数据表!AZ89="","",全车数据表!AZ89)</f>
        <v/>
      </c>
    </row>
    <row r="89" spans="1:54">
      <c r="A89" s="88">
        <f>全车数据表!A90</f>
        <v>88</v>
      </c>
      <c r="B89" s="88" t="str">
        <f>全车数据表!B90</f>
        <v>Aston Martin Vulcan</v>
      </c>
      <c r="C89" s="89" t="str">
        <f>全车数据表!E90</f>
        <v>vulcan</v>
      </c>
      <c r="D89" s="88" t="str">
        <f>IF(全车数据表!D90="","",全车数据表!D90)</f>
        <v>Aston Martin</v>
      </c>
      <c r="E89" s="89" t="str">
        <f>全车数据表!H90</f>
        <v>1.3</v>
      </c>
      <c r="F89" s="89" t="str">
        <f>全车数据表!C90</f>
        <v>火神</v>
      </c>
      <c r="G89" s="89" t="str">
        <f>全车数据表!F90</f>
        <v>B</v>
      </c>
      <c r="H89" s="88">
        <f>LEN(全车数据表!G90)</f>
        <v>4</v>
      </c>
      <c r="I89" s="88" t="str">
        <f>VLOOKUP(全车数据表!P90,辅助计算!A:B,2,FALSE)</f>
        <v>rare</v>
      </c>
      <c r="J89" s="88">
        <f>全车数据表!Q90</f>
        <v>40</v>
      </c>
      <c r="K89" s="88">
        <f>全车数据表!R90</f>
        <v>18</v>
      </c>
      <c r="L89" s="88">
        <f>全车数据表!S90</f>
        <v>24</v>
      </c>
      <c r="M89" s="88">
        <f>全车数据表!T90</f>
        <v>36</v>
      </c>
      <c r="N89" s="88">
        <f>全车数据表!U90</f>
        <v>0</v>
      </c>
      <c r="O89" s="88">
        <f>全车数据表!V90</f>
        <v>0</v>
      </c>
      <c r="P89" s="88">
        <f>全车数据表!J90</f>
        <v>3000</v>
      </c>
      <c r="Q89" s="88">
        <f>全车数据表!K90</f>
        <v>343.1</v>
      </c>
      <c r="R89" s="88">
        <f>全车数据表!L90</f>
        <v>78.7</v>
      </c>
      <c r="S89" s="88">
        <f>全车数据表!M90</f>
        <v>47.8</v>
      </c>
      <c r="T89" s="88">
        <f>全车数据表!N90</f>
        <v>64.790000000000006</v>
      </c>
      <c r="U89" s="88">
        <f>全车数据表!O90</f>
        <v>6.8659999999999997</v>
      </c>
      <c r="V89" s="88">
        <f>全车数据表!AL90</f>
        <v>2800000</v>
      </c>
      <c r="W89" s="88">
        <f>全车数据表!AM90</f>
        <v>17500</v>
      </c>
      <c r="X89" s="88">
        <f>全车数据表!AU90</f>
        <v>1820000</v>
      </c>
      <c r="Y89" s="88">
        <f>全车数据表!AV90</f>
        <v>4620000</v>
      </c>
      <c r="Z89" s="88">
        <f>全车数据表!AN90</f>
        <v>6</v>
      </c>
      <c r="AA89" s="88">
        <f>全车数据表!AP90</f>
        <v>4</v>
      </c>
      <c r="AB89" s="88">
        <f>全车数据表!AR90</f>
        <v>2</v>
      </c>
      <c r="AC89" s="88">
        <f>全车数据表!AW90</f>
        <v>357</v>
      </c>
      <c r="AD89" s="88">
        <f>全车数据表!AX90</f>
        <v>0</v>
      </c>
      <c r="AE89" s="88">
        <f>全车数据表!AY90</f>
        <v>466</v>
      </c>
      <c r="AF89" s="88" t="str">
        <f>IF(全车数据表!BA90="","",全车数据表!BA90)</f>
        <v>级别杯</v>
      </c>
      <c r="AG89" s="88" t="str">
        <f>IF(全车数据表!BB90="","",全车数据表!BB90)</f>
        <v/>
      </c>
      <c r="AH89" s="88" t="str">
        <f>IF(全车数据表!BC90="","",全车数据表!BC90)</f>
        <v/>
      </c>
      <c r="AI89" s="88" t="str">
        <f>IF(全车数据表!BD90="","",全车数据表!BD90)</f>
        <v/>
      </c>
      <c r="AJ89" s="88">
        <f>IF(全车数据表!BE90="","",全车数据表!BE90)</f>
        <v>1</v>
      </c>
      <c r="AK89" s="88" t="str">
        <f>IF(全车数据表!BF90="","",全车数据表!BF90)</f>
        <v/>
      </c>
      <c r="AL89" s="88">
        <f>IF(全车数据表!BG90="","",全车数据表!BG90)</f>
        <v>1</v>
      </c>
      <c r="AM89" s="88" t="str">
        <f>IF(全车数据表!BH90="","",全车数据表!BH90)</f>
        <v/>
      </c>
      <c r="AN89" s="88" t="str">
        <f>IF(全车数据表!BI90="","",全车数据表!BI90)</f>
        <v/>
      </c>
      <c r="AO89" s="88" t="str">
        <f>IF(全车数据表!BJ90="","",全车数据表!BJ90)</f>
        <v/>
      </c>
      <c r="AP89" s="88" t="str">
        <f>IF(全车数据表!BK90="","",全车数据表!BK90)</f>
        <v/>
      </c>
      <c r="AQ89" s="88" t="str">
        <f>IF(全车数据表!BL90="","",全车数据表!BL90)</f>
        <v/>
      </c>
      <c r="AR89" s="88" t="str">
        <f>IF(全车数据表!BM90="","",全车数据表!BM90)</f>
        <v/>
      </c>
      <c r="AS89" s="88" t="str">
        <f>IF(全车数据表!BN90="","",全车数据表!BN90)</f>
        <v/>
      </c>
      <c r="AT89" s="88" t="str">
        <f>IF(全车数据表!BO90="","",全车数据表!BO90)</f>
        <v/>
      </c>
      <c r="AU89" s="88" t="str">
        <f>IF(全车数据表!BP90="","",全车数据表!BP90)</f>
        <v/>
      </c>
      <c r="AV89" s="88" t="str">
        <f>IF(全车数据表!BQ90="","",全车数据表!BQ90)</f>
        <v>猩红魅影</v>
      </c>
      <c r="AW89" s="88" t="str">
        <f>IF(全车数据表!BR90="","",全车数据表!BR90)</f>
        <v/>
      </c>
      <c r="AX89" s="88" t="str">
        <f>IF(全车数据表!BS90="","",全车数据表!BS90)</f>
        <v/>
      </c>
      <c r="AY89" s="88" t="str">
        <f>IF(全车数据表!BT90="","",全车数据表!BT90)</f>
        <v/>
      </c>
      <c r="AZ89" s="88">
        <f>IF(全车数据表!BU90="","",全车数据表!BU90)</f>
        <v>1</v>
      </c>
      <c r="BA89" s="88" t="str">
        <f>IF(全车数据表!BV90="","",全车数据表!BV90)</f>
        <v>阿斯顿马丁 火山</v>
      </c>
      <c r="BB89" s="91">
        <f>IF(全车数据表!AZ90="","",全车数据表!AZ90)</f>
        <v>1</v>
      </c>
    </row>
    <row r="90" spans="1:54">
      <c r="A90" s="88">
        <f>全车数据表!A91</f>
        <v>89</v>
      </c>
      <c r="B90" s="88" t="str">
        <f>全车数据表!B91</f>
        <v>Ford Mustang RTR Spec 5 10th Anniv.</v>
      </c>
      <c r="C90" s="89" t="str">
        <f>全车数据表!E91</f>
        <v>rtr</v>
      </c>
      <c r="D90" s="88" t="str">
        <f>IF(全车数据表!D91="","",全车数据表!D91)</f>
        <v>Ford</v>
      </c>
      <c r="E90" s="89" t="str">
        <f>全车数据表!H91</f>
        <v>5.0</v>
      </c>
      <c r="F90" s="89" t="str">
        <f>全车数据表!C91</f>
        <v>野马RTR</v>
      </c>
      <c r="G90" s="89" t="str">
        <f>全车数据表!F91</f>
        <v>B</v>
      </c>
      <c r="H90" s="88">
        <f>LEN(全车数据表!G91)</f>
        <v>4</v>
      </c>
      <c r="I90" s="88" t="str">
        <f>VLOOKUP(全车数据表!P91,辅助计算!A:B,2,FALSE)</f>
        <v>rare</v>
      </c>
      <c r="J90" s="88">
        <f>全车数据表!Q91</f>
        <v>25</v>
      </c>
      <c r="K90" s="88">
        <f>全车数据表!R91</f>
        <v>30</v>
      </c>
      <c r="L90" s="88">
        <f>全车数据表!S91</f>
        <v>35</v>
      </c>
      <c r="M90" s="88">
        <f>全车数据表!T91</f>
        <v>40</v>
      </c>
      <c r="N90" s="88">
        <f>全车数据表!U91</f>
        <v>0</v>
      </c>
      <c r="O90" s="88">
        <f>全车数据表!V91</f>
        <v>0</v>
      </c>
      <c r="P90" s="88">
        <f>全车数据表!J91</f>
        <v>3025</v>
      </c>
      <c r="Q90" s="88">
        <f>全车数据表!K91</f>
        <v>335.2</v>
      </c>
      <c r="R90" s="88">
        <f>全车数据表!L91</f>
        <v>75.650000000000006</v>
      </c>
      <c r="S90" s="88">
        <f>全车数据表!M91</f>
        <v>46.89</v>
      </c>
      <c r="T90" s="88">
        <f>全车数据表!N91</f>
        <v>73.819999999999993</v>
      </c>
      <c r="U90" s="88">
        <f>全车数据表!O91</f>
        <v>0</v>
      </c>
      <c r="V90" s="88">
        <f>全车数据表!AL91</f>
        <v>2800000</v>
      </c>
      <c r="W90" s="88">
        <f>全车数据表!AM91</f>
        <v>22750</v>
      </c>
      <c r="X90" s="88">
        <f>全车数据表!AU91</f>
        <v>2366000</v>
      </c>
      <c r="Y90" s="88">
        <f>全车数据表!AV91</f>
        <v>5166000</v>
      </c>
      <c r="Z90" s="88">
        <f>全车数据表!AN91</f>
        <v>6</v>
      </c>
      <c r="AA90" s="88">
        <f>全车数据表!AP91</f>
        <v>4</v>
      </c>
      <c r="AB90" s="88">
        <f>全车数据表!AR91</f>
        <v>2</v>
      </c>
      <c r="AC90" s="88">
        <f>全车数据表!AW91</f>
        <v>349</v>
      </c>
      <c r="AD90" s="88">
        <f>全车数据表!AX91</f>
        <v>0</v>
      </c>
      <c r="AE90" s="88">
        <f>全车数据表!AY91</f>
        <v>452</v>
      </c>
      <c r="AF90" s="88" t="str">
        <f>IF(全车数据表!BA91="","",全车数据表!BA91)</f>
        <v>通行证</v>
      </c>
      <c r="AG90" s="88" t="str">
        <f>IF(全车数据表!BB91="","",全车数据表!BB91)</f>
        <v/>
      </c>
      <c r="AH90" s="88" t="str">
        <f>IF(全车数据表!BC91="","",全车数据表!BC91)</f>
        <v/>
      </c>
      <c r="AI90" s="88" t="str">
        <f>IF(全车数据表!BD91="","",全车数据表!BD91)</f>
        <v/>
      </c>
      <c r="AJ90" s="88" t="str">
        <f>IF(全车数据表!BE91="","",全车数据表!BE91)</f>
        <v/>
      </c>
      <c r="AK90" s="88" t="str">
        <f>IF(全车数据表!BF91="","",全车数据表!BF91)</f>
        <v/>
      </c>
      <c r="AL90" s="88" t="str">
        <f>IF(全车数据表!BG91="","",全车数据表!BG91)</f>
        <v/>
      </c>
      <c r="AM90" s="88" t="str">
        <f>IF(全车数据表!BH91="","",全车数据表!BH91)</f>
        <v/>
      </c>
      <c r="AN90" s="88" t="str">
        <f>IF(全车数据表!BI91="","",全车数据表!BI91)</f>
        <v/>
      </c>
      <c r="AO90" s="88" t="str">
        <f>IF(全车数据表!BJ91="","",全车数据表!BJ91)</f>
        <v/>
      </c>
      <c r="AP90" s="88" t="str">
        <f>IF(全车数据表!BK91="","",全车数据表!BK91)</f>
        <v/>
      </c>
      <c r="AQ90" s="88" t="str">
        <f>IF(全车数据表!BL91="","",全车数据表!BL91)</f>
        <v/>
      </c>
      <c r="AR90" s="88" t="str">
        <f>IF(全车数据表!BM91="","",全车数据表!BM91)</f>
        <v/>
      </c>
      <c r="AS90" s="88" t="str">
        <f>IF(全车数据表!BN91="","",全车数据表!BN91)</f>
        <v/>
      </c>
      <c r="AT90" s="88" t="str">
        <f>IF(全车数据表!BO91="","",全车数据表!BO91)</f>
        <v/>
      </c>
      <c r="AU90" s="88" t="str">
        <f>IF(全车数据表!BP91="","",全车数据表!BP91)</f>
        <v/>
      </c>
      <c r="AV90" s="88" t="str">
        <f>IF(全车数据表!BQ91="","",全车数据表!BQ91)</f>
        <v/>
      </c>
      <c r="AW90" s="88" t="str">
        <f>IF(全车数据表!BR91="","",全车数据表!BR91)</f>
        <v/>
      </c>
      <c r="AX90" s="88" t="str">
        <f>IF(全车数据表!BS91="","",全车数据表!BS91)</f>
        <v/>
      </c>
      <c r="AY90" s="88" t="str">
        <f>IF(全车数据表!BT91="","",全车数据表!BT91)</f>
        <v/>
      </c>
      <c r="AZ90" s="88" t="str">
        <f>IF(全车数据表!BU91="","",全车数据表!BU91)</f>
        <v/>
      </c>
      <c r="BA90" s="88" t="str">
        <f>IF(全车数据表!BV91="","",全车数据表!BV91)</f>
        <v>福特</v>
      </c>
      <c r="BB90" s="91" t="str">
        <f>IF(全车数据表!AZ91="","",全车数据表!AZ91)</f>
        <v/>
      </c>
    </row>
    <row r="91" spans="1:54">
      <c r="A91" s="88">
        <f>全车数据表!A92</f>
        <v>90</v>
      </c>
      <c r="B91" s="88" t="str">
        <f>全车数据表!B92</f>
        <v>Pininfarina H2 Speed</v>
      </c>
      <c r="C91" s="89" t="str">
        <f>全车数据表!E92</f>
        <v>h2</v>
      </c>
      <c r="D91" s="88" t="str">
        <f>IF(全车数据表!D92="","",全车数据表!D92)</f>
        <v>Pininfarina</v>
      </c>
      <c r="E91" s="89" t="str">
        <f>全车数据表!H92</f>
        <v>1.3</v>
      </c>
      <c r="F91" s="89" t="str">
        <f>全车数据表!C92</f>
        <v>H2</v>
      </c>
      <c r="G91" s="89" t="str">
        <f>全车数据表!F92</f>
        <v>B</v>
      </c>
      <c r="H91" s="88">
        <f>LEN(全车数据表!G92)</f>
        <v>4</v>
      </c>
      <c r="I91" s="88" t="str">
        <f>VLOOKUP(全车数据表!P92,辅助计算!A:B,2,FALSE)</f>
        <v>rare</v>
      </c>
      <c r="J91" s="88">
        <f>全车数据表!Q92</f>
        <v>40</v>
      </c>
      <c r="K91" s="88">
        <f>全车数据表!R92</f>
        <v>18</v>
      </c>
      <c r="L91" s="88">
        <f>全车数据表!S92</f>
        <v>24</v>
      </c>
      <c r="M91" s="88">
        <f>全车数据表!T92</f>
        <v>36</v>
      </c>
      <c r="N91" s="88">
        <f>全车数据表!U92</f>
        <v>0</v>
      </c>
      <c r="O91" s="88">
        <f>全车数据表!V92</f>
        <v>0</v>
      </c>
      <c r="P91" s="88">
        <f>全车数据表!J92</f>
        <v>3026</v>
      </c>
      <c r="Q91" s="88">
        <f>全车数据表!K92</f>
        <v>318</v>
      </c>
      <c r="R91" s="88">
        <f>全车数据表!L92</f>
        <v>78.22</v>
      </c>
      <c r="S91" s="88">
        <f>全车数据表!M92</f>
        <v>86.5</v>
      </c>
      <c r="T91" s="88">
        <f>全车数据表!N92</f>
        <v>60.57</v>
      </c>
      <c r="U91" s="88">
        <f>全车数据表!O92</f>
        <v>6.7160000000000002</v>
      </c>
      <c r="V91" s="88">
        <f>全车数据表!AL92</f>
        <v>2800000</v>
      </c>
      <c r="W91" s="88">
        <f>全车数据表!AM92</f>
        <v>17500</v>
      </c>
      <c r="X91" s="88">
        <f>全车数据表!AU92</f>
        <v>1820000</v>
      </c>
      <c r="Y91" s="88">
        <f>全车数据表!AV92</f>
        <v>4620000</v>
      </c>
      <c r="Z91" s="88">
        <f>全车数据表!AN92</f>
        <v>6</v>
      </c>
      <c r="AA91" s="88">
        <f>全车数据表!AP92</f>
        <v>4</v>
      </c>
      <c r="AB91" s="88">
        <f>全车数据表!AR92</f>
        <v>2</v>
      </c>
      <c r="AC91" s="88">
        <f>全车数据表!AW92</f>
        <v>331</v>
      </c>
      <c r="AD91" s="88">
        <f>全车数据表!AX92</f>
        <v>0</v>
      </c>
      <c r="AE91" s="88">
        <f>全车数据表!AY92</f>
        <v>422</v>
      </c>
      <c r="AF91" s="88" t="str">
        <f>IF(全车数据表!BA92="","",全车数据表!BA92)</f>
        <v>级别杯</v>
      </c>
      <c r="AG91" s="88" t="str">
        <f>IF(全车数据表!BB92="","",全车数据表!BB92)</f>
        <v/>
      </c>
      <c r="AH91" s="88" t="str">
        <f>IF(全车数据表!BC92="","",全车数据表!BC92)</f>
        <v/>
      </c>
      <c r="AI91" s="88" t="str">
        <f>IF(全车数据表!BD92="","",全车数据表!BD92)</f>
        <v/>
      </c>
      <c r="AJ91" s="88">
        <f>IF(全车数据表!BE92="","",全车数据表!BE92)</f>
        <v>1</v>
      </c>
      <c r="AK91" s="88" t="str">
        <f>IF(全车数据表!BF92="","",全车数据表!BF92)</f>
        <v/>
      </c>
      <c r="AL91" s="88">
        <f>IF(全车数据表!BG92="","",全车数据表!BG92)</f>
        <v>1</v>
      </c>
      <c r="AM91" s="88" t="str">
        <f>IF(全车数据表!BH92="","",全车数据表!BH92)</f>
        <v/>
      </c>
      <c r="AN91" s="88" t="str">
        <f>IF(全车数据表!BI92="","",全车数据表!BI92)</f>
        <v/>
      </c>
      <c r="AO91" s="88" t="str">
        <f>IF(全车数据表!BJ92="","",全车数据表!BJ92)</f>
        <v/>
      </c>
      <c r="AP91" s="88" t="str">
        <f>IF(全车数据表!BK92="","",全车数据表!BK92)</f>
        <v/>
      </c>
      <c r="AQ91" s="88" t="str">
        <f>IF(全车数据表!BL92="","",全车数据表!BL92)</f>
        <v/>
      </c>
      <c r="AR91" s="88" t="str">
        <f>IF(全车数据表!BM92="","",全车数据表!BM92)</f>
        <v/>
      </c>
      <c r="AS91" s="88" t="str">
        <f>IF(全车数据表!BN92="","",全车数据表!BN92)</f>
        <v/>
      </c>
      <c r="AT91" s="88" t="str">
        <f>IF(全车数据表!BO92="","",全车数据表!BO92)</f>
        <v/>
      </c>
      <c r="AU91" s="88" t="str">
        <f>IF(全车数据表!BP92="","",全车数据表!BP92)</f>
        <v/>
      </c>
      <c r="AV91" s="88" t="str">
        <f>IF(全车数据表!BQ92="","",全车数据表!BQ92)</f>
        <v>1款</v>
      </c>
      <c r="AW91" s="88" t="str">
        <f>IF(全车数据表!BR92="","",全车数据表!BR92)</f>
        <v/>
      </c>
      <c r="AX91" s="88" t="str">
        <f>IF(全车数据表!BS92="","",全车数据表!BS92)</f>
        <v/>
      </c>
      <c r="AY91" s="88" t="str">
        <f>IF(全车数据表!BT92="","",全车数据表!BT92)</f>
        <v/>
      </c>
      <c r="AZ91" s="88">
        <f>IF(全车数据表!BU92="","",全车数据表!BU92)</f>
        <v>1</v>
      </c>
      <c r="BA91" s="88" t="str">
        <f>IF(全车数据表!BV92="","",全车数据表!BV92)</f>
        <v>氢</v>
      </c>
      <c r="BB91" s="91">
        <f>IF(全车数据表!AZ92="","",全车数据表!AZ92)</f>
        <v>1</v>
      </c>
    </row>
    <row r="92" spans="1:54">
      <c r="A92" s="88">
        <f>全车数据表!A93</f>
        <v>91</v>
      </c>
      <c r="B92" s="88" t="str">
        <f>全车数据表!B93</f>
        <v>Porsche 911 GT1 Evolution</v>
      </c>
      <c r="C92" s="89" t="str">
        <f>全车数据表!E93</f>
        <v>911gt1</v>
      </c>
      <c r="D92" s="88" t="str">
        <f>IF(全车数据表!D93="","",全车数据表!D93)</f>
        <v>Porsche</v>
      </c>
      <c r="E92" s="89" t="str">
        <f>全车数据表!H93</f>
        <v>2.3</v>
      </c>
      <c r="F92" s="89" t="str">
        <f>全车数据表!C93</f>
        <v>911GT1</v>
      </c>
      <c r="G92" s="89" t="str">
        <f>全车数据表!F93</f>
        <v>B</v>
      </c>
      <c r="H92" s="88">
        <f>LEN(全车数据表!G93)</f>
        <v>4</v>
      </c>
      <c r="I92" s="88" t="str">
        <f>VLOOKUP(全车数据表!P93,辅助计算!A:B,2,FALSE)</f>
        <v>rare</v>
      </c>
      <c r="J92" s="88">
        <f>全车数据表!Q93</f>
        <v>25</v>
      </c>
      <c r="K92" s="88">
        <f>全车数据表!R93</f>
        <v>30</v>
      </c>
      <c r="L92" s="88">
        <f>全车数据表!S93</f>
        <v>35</v>
      </c>
      <c r="M92" s="88">
        <f>全车数据表!T93</f>
        <v>40</v>
      </c>
      <c r="N92" s="88">
        <f>全车数据表!U93</f>
        <v>0</v>
      </c>
      <c r="O92" s="88">
        <f>全车数据表!V93</f>
        <v>0</v>
      </c>
      <c r="P92" s="88">
        <f>全车数据表!J93</f>
        <v>3049</v>
      </c>
      <c r="Q92" s="88">
        <f>全车数据表!K93</f>
        <v>343.2</v>
      </c>
      <c r="R92" s="88">
        <f>全车数据表!L93</f>
        <v>75.150000000000006</v>
      </c>
      <c r="S92" s="88">
        <f>全车数据表!M93</f>
        <v>53.67</v>
      </c>
      <c r="T92" s="88">
        <f>全车数据表!N93</f>
        <v>68.89</v>
      </c>
      <c r="U92" s="88">
        <f>全车数据表!O93</f>
        <v>0</v>
      </c>
      <c r="V92" s="88">
        <f>全车数据表!AL93</f>
        <v>2900600</v>
      </c>
      <c r="W92" s="88">
        <f>全车数据表!AM93</f>
        <v>17500</v>
      </c>
      <c r="X92" s="88">
        <f>全车数据表!AU93</f>
        <v>1820000</v>
      </c>
      <c r="Y92" s="88">
        <f>全车数据表!AV93</f>
        <v>4720600</v>
      </c>
      <c r="Z92" s="88">
        <f>全车数据表!AN93</f>
        <v>6</v>
      </c>
      <c r="AA92" s="88">
        <f>全车数据表!AP93</f>
        <v>4</v>
      </c>
      <c r="AB92" s="88">
        <f>全车数据表!AR93</f>
        <v>2</v>
      </c>
      <c r="AC92" s="88">
        <f>全车数据表!AW93</f>
        <v>357</v>
      </c>
      <c r="AD92" s="88">
        <f>全车数据表!AX93</f>
        <v>0</v>
      </c>
      <c r="AE92" s="88">
        <f>全车数据表!AY93</f>
        <v>467</v>
      </c>
      <c r="AF92" s="88" t="str">
        <f>IF(全车数据表!BA93="","",全车数据表!BA93)</f>
        <v>寻车</v>
      </c>
      <c r="AG92" s="88" t="str">
        <f>IF(全车数据表!BB93="","",全车数据表!BB93)</f>
        <v/>
      </c>
      <c r="AH92" s="88" t="str">
        <f>IF(全车数据表!BC93="","",全车数据表!BC93)</f>
        <v/>
      </c>
      <c r="AI92" s="88" t="str">
        <f>IF(全车数据表!BD93="","",全车数据表!BD93)</f>
        <v/>
      </c>
      <c r="AJ92" s="88" t="str">
        <f>IF(全车数据表!BE93="","",全车数据表!BE93)</f>
        <v/>
      </c>
      <c r="AK92" s="88" t="str">
        <f>IF(全车数据表!BF93="","",全车数据表!BF93)</f>
        <v/>
      </c>
      <c r="AL92" s="88">
        <f>IF(全车数据表!BG93="","",全车数据表!BG93)</f>
        <v>1</v>
      </c>
      <c r="AM92" s="88" t="str">
        <f>IF(全车数据表!BH93="","",全车数据表!BH93)</f>
        <v/>
      </c>
      <c r="AN92" s="88" t="str">
        <f>IF(全车数据表!BI93="","",全车数据表!BI93)</f>
        <v/>
      </c>
      <c r="AO92" s="88" t="str">
        <f>IF(全车数据表!BJ93="","",全车数据表!BJ93)</f>
        <v/>
      </c>
      <c r="AP92" s="88" t="str">
        <f>IF(全车数据表!BK93="","",全车数据表!BK93)</f>
        <v/>
      </c>
      <c r="AQ92" s="88" t="str">
        <f>IF(全车数据表!BL93="","",全车数据表!BL93)</f>
        <v/>
      </c>
      <c r="AR92" s="88" t="str">
        <f>IF(全车数据表!BM93="","",全车数据表!BM93)</f>
        <v/>
      </c>
      <c r="AS92" s="88" t="str">
        <f>IF(全车数据表!BN93="","",全车数据表!BN93)</f>
        <v/>
      </c>
      <c r="AT92" s="88" t="str">
        <f>IF(全车数据表!BO93="","",全车数据表!BO93)</f>
        <v/>
      </c>
      <c r="AU92" s="88" t="str">
        <f>IF(全车数据表!BP93="","",全车数据表!BP93)</f>
        <v/>
      </c>
      <c r="AV92" s="88" t="str">
        <f>IF(全车数据表!BQ93="","",全车数据表!BQ93)</f>
        <v/>
      </c>
      <c r="AW92" s="88" t="str">
        <f>IF(全车数据表!BR93="","",全车数据表!BR93)</f>
        <v/>
      </c>
      <c r="AX92" s="88" t="str">
        <f>IF(全车数据表!BS93="","",全车数据表!BS93)</f>
        <v/>
      </c>
      <c r="AY92" s="88" t="str">
        <f>IF(全车数据表!BT93="","",全车数据表!BT93)</f>
        <v/>
      </c>
      <c r="AZ92" s="88" t="str">
        <f>IF(全车数据表!BU93="","",全车数据表!BU93)</f>
        <v/>
      </c>
      <c r="BA92" s="88" t="str">
        <f>IF(全车数据表!BV93="","",全车数据表!BV93)</f>
        <v>保时捷</v>
      </c>
      <c r="BB92" s="91">
        <f>IF(全车数据表!AZ93="","",全车数据表!AZ93)</f>
        <v>1</v>
      </c>
    </row>
    <row r="93" spans="1:54">
      <c r="A93" s="88">
        <f>全车数据表!A94</f>
        <v>92</v>
      </c>
      <c r="B93" s="88" t="str">
        <f>全车数据表!B94</f>
        <v>Ferrari Roma</v>
      </c>
      <c r="C93" s="89" t="str">
        <f>全车数据表!E94</f>
        <v>roma</v>
      </c>
      <c r="D93" s="88" t="str">
        <f>IF(全车数据表!D94="","",全车数据表!D94)</f>
        <v>Ferrari</v>
      </c>
      <c r="E93" s="89" t="str">
        <f>全车数据表!H94</f>
        <v>2.9</v>
      </c>
      <c r="F93" s="89" t="str">
        <f>全车数据表!C94</f>
        <v>罗马</v>
      </c>
      <c r="G93" s="89" t="str">
        <f>全车数据表!F94</f>
        <v>B</v>
      </c>
      <c r="H93" s="88">
        <f>LEN(全车数据表!G94)</f>
        <v>4</v>
      </c>
      <c r="I93" s="88" t="str">
        <f>VLOOKUP(全车数据表!P94,辅助计算!A:B,2,FALSE)</f>
        <v>rare</v>
      </c>
      <c r="J93" s="88">
        <f>全车数据表!Q94</f>
        <v>40</v>
      </c>
      <c r="K93" s="88">
        <f>全车数据表!R94</f>
        <v>45</v>
      </c>
      <c r="L93" s="88">
        <f>全车数据表!S94</f>
        <v>52</v>
      </c>
      <c r="M93" s="88">
        <f>全车数据表!T94</f>
        <v>63</v>
      </c>
      <c r="N93" s="88">
        <f>全车数据表!U94</f>
        <v>0</v>
      </c>
      <c r="O93" s="88">
        <f>全车数据表!V94</f>
        <v>0</v>
      </c>
      <c r="P93" s="88">
        <f>全车数据表!J94</f>
        <v>3061</v>
      </c>
      <c r="Q93" s="88">
        <f>全车数据表!K94</f>
        <v>331.9</v>
      </c>
      <c r="R93" s="88">
        <f>全车数据表!L94</f>
        <v>77.459999999999994</v>
      </c>
      <c r="S93" s="88">
        <f>全车数据表!M94</f>
        <v>60.47</v>
      </c>
      <c r="T93" s="88">
        <f>全车数据表!N94</f>
        <v>66.78</v>
      </c>
      <c r="U93" s="88">
        <f>全车数据表!O94</f>
        <v>0</v>
      </c>
      <c r="V93" s="88">
        <f>全车数据表!AL94</f>
        <v>2800000</v>
      </c>
      <c r="W93" s="88">
        <f>全车数据表!AM94</f>
        <v>17500</v>
      </c>
      <c r="X93" s="88">
        <f>全车数据表!AU94</f>
        <v>1820000</v>
      </c>
      <c r="Y93" s="88">
        <f>全车数据表!AV94</f>
        <v>4620000</v>
      </c>
      <c r="Z93" s="88">
        <f>全车数据表!AN94</f>
        <v>6</v>
      </c>
      <c r="AA93" s="88">
        <f>全车数据表!AP94</f>
        <v>4</v>
      </c>
      <c r="AB93" s="88">
        <f>全车数据表!AR94</f>
        <v>2</v>
      </c>
      <c r="AC93" s="88">
        <f>全车数据表!AW94</f>
        <v>345</v>
      </c>
      <c r="AD93" s="88">
        <f>全车数据表!AX94</f>
        <v>0</v>
      </c>
      <c r="AE93" s="88">
        <f>全车数据表!AY94</f>
        <v>447</v>
      </c>
      <c r="AF93" s="88" t="str">
        <f>IF(全车数据表!BA94="","",全车数据表!BA94)</f>
        <v>寻车</v>
      </c>
      <c r="AG93" s="88" t="str">
        <f>IF(全车数据表!BB94="","",全车数据表!BB94)</f>
        <v/>
      </c>
      <c r="AH93" s="88" t="str">
        <f>IF(全车数据表!BC94="","",全车数据表!BC94)</f>
        <v/>
      </c>
      <c r="AI93" s="88" t="str">
        <f>IF(全车数据表!BD94="","",全车数据表!BD94)</f>
        <v/>
      </c>
      <c r="AJ93" s="88" t="str">
        <f>IF(全车数据表!BE94="","",全车数据表!BE94)</f>
        <v/>
      </c>
      <c r="AK93" s="88" t="str">
        <f>IF(全车数据表!BF94="","",全车数据表!BF94)</f>
        <v/>
      </c>
      <c r="AL93" s="88">
        <f>IF(全车数据表!BG94="","",全车数据表!BG94)</f>
        <v>1</v>
      </c>
      <c r="AM93" s="88" t="str">
        <f>IF(全车数据表!BH94="","",全车数据表!BH94)</f>
        <v/>
      </c>
      <c r="AN93" s="88" t="str">
        <f>IF(全车数据表!BI94="","",全车数据表!BI94)</f>
        <v/>
      </c>
      <c r="AO93" s="88" t="str">
        <f>IF(全车数据表!BJ94="","",全车数据表!BJ94)</f>
        <v/>
      </c>
      <c r="AP93" s="88" t="str">
        <f>IF(全车数据表!BK94="","",全车数据表!BK94)</f>
        <v/>
      </c>
      <c r="AQ93" s="88" t="str">
        <f>IF(全车数据表!BL94="","",全车数据表!BL94)</f>
        <v/>
      </c>
      <c r="AR93" s="88" t="str">
        <f>IF(全车数据表!BM94="","",全车数据表!BM94)</f>
        <v/>
      </c>
      <c r="AS93" s="88" t="str">
        <f>IF(全车数据表!BN94="","",全车数据表!BN94)</f>
        <v/>
      </c>
      <c r="AT93" s="88" t="str">
        <f>IF(全车数据表!BO94="","",全车数据表!BO94)</f>
        <v/>
      </c>
      <c r="AU93" s="88" t="str">
        <f>IF(全车数据表!BP94="","",全车数据表!BP94)</f>
        <v/>
      </c>
      <c r="AV93" s="88" t="str">
        <f>IF(全车数据表!BQ94="","",全车数据表!BQ94)</f>
        <v/>
      </c>
      <c r="AW93" s="88" t="str">
        <f>IF(全车数据表!BR94="","",全车数据表!BR94)</f>
        <v/>
      </c>
      <c r="AX93" s="88" t="str">
        <f>IF(全车数据表!BS94="","",全车数据表!BS94)</f>
        <v/>
      </c>
      <c r="AY93" s="88" t="str">
        <f>IF(全车数据表!BT94="","",全车数据表!BT94)</f>
        <v/>
      </c>
      <c r="AZ93" s="88">
        <f>IF(全车数据表!BU94="","",全车数据表!BU94)</f>
        <v>1</v>
      </c>
      <c r="BA93" s="88" t="str">
        <f>IF(全车数据表!BV94="","",全车数据表!BV94)</f>
        <v>法拉利 罗马</v>
      </c>
      <c r="BB93" s="91">
        <f>IF(全车数据表!AZ94="","",全车数据表!AZ94)</f>
        <v>1</v>
      </c>
    </row>
    <row r="94" spans="1:54">
      <c r="A94" s="88">
        <f>全车数据表!A95</f>
        <v>93</v>
      </c>
      <c r="B94" s="88" t="str">
        <f>全车数据表!B95</f>
        <v>Artega Scalo SuperErelletra</v>
      </c>
      <c r="C94" s="89" t="str">
        <f>全车数据表!E95</f>
        <v>ass</v>
      </c>
      <c r="D94" s="88" t="str">
        <f>IF(全车数据表!D95="","",全车数据表!D95)</f>
        <v>Artega</v>
      </c>
      <c r="E94" s="89" t="str">
        <f>全车数据表!H95</f>
        <v>1.8</v>
      </c>
      <c r="F94" s="89" t="str">
        <f>全车数据表!C95</f>
        <v>ASS</v>
      </c>
      <c r="G94" s="89" t="str">
        <f>全车数据表!F95</f>
        <v>B</v>
      </c>
      <c r="H94" s="88">
        <f>LEN(全车数据表!G95)</f>
        <v>4</v>
      </c>
      <c r="I94" s="88" t="str">
        <f>VLOOKUP(全车数据表!P95,辅助计算!A:B,2,FALSE)</f>
        <v>rare</v>
      </c>
      <c r="J94" s="88">
        <f>全车数据表!Q95</f>
        <v>40</v>
      </c>
      <c r="K94" s="88">
        <f>全车数据表!R95</f>
        <v>18</v>
      </c>
      <c r="L94" s="88">
        <f>全车数据表!S95</f>
        <v>24</v>
      </c>
      <c r="M94" s="88">
        <f>全车数据表!T95</f>
        <v>36</v>
      </c>
      <c r="N94" s="88">
        <f>全车数据表!U95</f>
        <v>0</v>
      </c>
      <c r="O94" s="88">
        <f>全车数据表!V95</f>
        <v>0</v>
      </c>
      <c r="P94" s="88">
        <f>全车数据表!J95</f>
        <v>3093</v>
      </c>
      <c r="Q94" s="88">
        <f>全车数据表!K95</f>
        <v>316.3</v>
      </c>
      <c r="R94" s="88">
        <f>全车数据表!L95</f>
        <v>85.72</v>
      </c>
      <c r="S94" s="88">
        <f>全车数据表!M95</f>
        <v>57.94</v>
      </c>
      <c r="T94" s="88">
        <f>全车数据表!N95</f>
        <v>71.91</v>
      </c>
      <c r="U94" s="88">
        <f>全车数据表!O95</f>
        <v>9.06</v>
      </c>
      <c r="V94" s="88">
        <f>全车数据表!AL95</f>
        <v>2190000</v>
      </c>
      <c r="W94" s="88">
        <f>全车数据表!AM95</f>
        <v>17500</v>
      </c>
      <c r="X94" s="88">
        <f>全车数据表!AU95</f>
        <v>1820000</v>
      </c>
      <c r="Y94" s="88">
        <f>全车数据表!AV95</f>
        <v>4010000</v>
      </c>
      <c r="Z94" s="88">
        <f>全车数据表!AN95</f>
        <v>6</v>
      </c>
      <c r="AA94" s="88">
        <f>全车数据表!AP95</f>
        <v>4</v>
      </c>
      <c r="AB94" s="88">
        <f>全车数据表!AR95</f>
        <v>2</v>
      </c>
      <c r="AC94" s="88">
        <f>全车数据表!AW95</f>
        <v>329</v>
      </c>
      <c r="AD94" s="88">
        <f>全车数据表!AX95</f>
        <v>0</v>
      </c>
      <c r="AE94" s="88">
        <f>全车数据表!AY95</f>
        <v>420</v>
      </c>
      <c r="AF94" s="88" t="str">
        <f>IF(全车数据表!BA95="","",全车数据表!BA95)</f>
        <v>寻车</v>
      </c>
      <c r="AG94" s="88" t="str">
        <f>IF(全车数据表!BB95="","",全车数据表!BB95)</f>
        <v/>
      </c>
      <c r="AH94" s="88" t="str">
        <f>IF(全车数据表!BC95="","",全车数据表!BC95)</f>
        <v/>
      </c>
      <c r="AI94" s="88">
        <f>IF(全车数据表!BD95="","",全车数据表!BD95)</f>
        <v>1</v>
      </c>
      <c r="AJ94" s="88" t="str">
        <f>IF(全车数据表!BE95="","",全车数据表!BE95)</f>
        <v/>
      </c>
      <c r="AK94" s="88" t="str">
        <f>IF(全车数据表!BF95="","",全车数据表!BF95)</f>
        <v/>
      </c>
      <c r="AL94" s="88">
        <f>IF(全车数据表!BG95="","",全车数据表!BG95)</f>
        <v>1</v>
      </c>
      <c r="AM94" s="88" t="str">
        <f>IF(全车数据表!BH95="","",全车数据表!BH95)</f>
        <v/>
      </c>
      <c r="AN94" s="88" t="str">
        <f>IF(全车数据表!BI95="","",全车数据表!BI95)</f>
        <v/>
      </c>
      <c r="AO94" s="88" t="str">
        <f>IF(全车数据表!BJ95="","",全车数据表!BJ95)</f>
        <v/>
      </c>
      <c r="AP94" s="88" t="str">
        <f>IF(全车数据表!BK95="","",全车数据表!BK95)</f>
        <v/>
      </c>
      <c r="AQ94" s="88" t="str">
        <f>IF(全车数据表!BL95="","",全车数据表!BL95)</f>
        <v/>
      </c>
      <c r="AR94" s="88" t="str">
        <f>IF(全车数据表!BM95="","",全车数据表!BM95)</f>
        <v/>
      </c>
      <c r="AS94" s="88" t="str">
        <f>IF(全车数据表!BN95="","",全车数据表!BN95)</f>
        <v/>
      </c>
      <c r="AT94" s="88" t="str">
        <f>IF(全车数据表!BO95="","",全车数据表!BO95)</f>
        <v/>
      </c>
      <c r="AU94" s="88" t="str">
        <f>IF(全车数据表!BP95="","",全车数据表!BP95)</f>
        <v/>
      </c>
      <c r="AV94" s="88" t="str">
        <f>IF(全车数据表!BQ95="","",全车数据表!BQ95)</f>
        <v/>
      </c>
      <c r="AW94" s="88" t="str">
        <f>IF(全车数据表!BR95="","",全车数据表!BR95)</f>
        <v/>
      </c>
      <c r="AX94" s="88" t="str">
        <f>IF(全车数据表!BS95="","",全车数据表!BS95)</f>
        <v/>
      </c>
      <c r="AY94" s="88" t="str">
        <f>IF(全车数据表!BT95="","",全车数据表!BT95)</f>
        <v/>
      </c>
      <c r="AZ94" s="88" t="str">
        <f>IF(全车数据表!BU95="","",全车数据表!BU95)</f>
        <v/>
      </c>
      <c r="BA94" s="88" t="str">
        <f>IF(全车数据表!BV95="","",全车数据表!BV95)</f>
        <v>ass 斯卡洛</v>
      </c>
      <c r="BB94" s="91">
        <f>IF(全车数据表!AZ95="","",全车数据表!AZ95)</f>
        <v>1</v>
      </c>
    </row>
    <row r="95" spans="1:54">
      <c r="A95" s="88">
        <f>全车数据表!A96</f>
        <v>94</v>
      </c>
      <c r="B95" s="88" t="str">
        <f>全车数据表!B96</f>
        <v>Nissan GT-R Nismo</v>
      </c>
      <c r="C95" s="89" t="str">
        <f>全车数据表!E96</f>
        <v>gtr</v>
      </c>
      <c r="D95" s="88" t="str">
        <f>IF(全车数据表!D96="","",全车数据表!D96)</f>
        <v>Nissan</v>
      </c>
      <c r="E95" s="89" t="str">
        <f>全车数据表!H96</f>
        <v>1.4</v>
      </c>
      <c r="F95" s="89" t="str">
        <f>全车数据表!C96</f>
        <v>GTR</v>
      </c>
      <c r="G95" s="89" t="str">
        <f>全车数据表!F96</f>
        <v>B</v>
      </c>
      <c r="H95" s="88">
        <f>LEN(全车数据表!G96)</f>
        <v>4</v>
      </c>
      <c r="I95" s="88" t="str">
        <f>VLOOKUP(全车数据表!P96,辅助计算!A:B,2,FALSE)</f>
        <v>rare</v>
      </c>
      <c r="J95" s="88">
        <f>全车数据表!Q96</f>
        <v>40</v>
      </c>
      <c r="K95" s="88">
        <f>全车数据表!R96</f>
        <v>18</v>
      </c>
      <c r="L95" s="88">
        <f>全车数据表!S96</f>
        <v>24</v>
      </c>
      <c r="M95" s="88">
        <f>全车数据表!T96</f>
        <v>36</v>
      </c>
      <c r="N95" s="88">
        <f>全车数据表!U96</f>
        <v>0</v>
      </c>
      <c r="O95" s="88">
        <f>全车数据表!V96</f>
        <v>0</v>
      </c>
      <c r="P95" s="88">
        <f>全车数据表!J96</f>
        <v>3144</v>
      </c>
      <c r="Q95" s="88">
        <f>全车数据表!K96</f>
        <v>329.9</v>
      </c>
      <c r="R95" s="88">
        <f>全车数据表!L96</f>
        <v>84.83</v>
      </c>
      <c r="S95" s="88">
        <f>全车数据表!M96</f>
        <v>60.69</v>
      </c>
      <c r="T95" s="88">
        <f>全车数据表!N96</f>
        <v>60.6</v>
      </c>
      <c r="U95" s="88">
        <f>全车数据表!O96</f>
        <v>6.4829999999999997</v>
      </c>
      <c r="V95" s="88">
        <f>全车数据表!AL96</f>
        <v>2800000</v>
      </c>
      <c r="W95" s="88">
        <f>全车数据表!AM96</f>
        <v>17500</v>
      </c>
      <c r="X95" s="88">
        <f>全车数据表!AU96</f>
        <v>1820000</v>
      </c>
      <c r="Y95" s="88">
        <f>全车数据表!AV96</f>
        <v>4620000</v>
      </c>
      <c r="Z95" s="88">
        <f>全车数据表!AN96</f>
        <v>6</v>
      </c>
      <c r="AA95" s="88">
        <f>全车数据表!AP96</f>
        <v>4</v>
      </c>
      <c r="AB95" s="88">
        <f>全车数据表!AR96</f>
        <v>2</v>
      </c>
      <c r="AC95" s="88">
        <f>全车数据表!AW96</f>
        <v>343</v>
      </c>
      <c r="AD95" s="88">
        <f>全车数据表!AX96</f>
        <v>0</v>
      </c>
      <c r="AE95" s="88">
        <f>全车数据表!AY96</f>
        <v>443</v>
      </c>
      <c r="AF95" s="88" t="str">
        <f>IF(全车数据表!BA96="","",全车数据表!BA96)</f>
        <v>级别杯</v>
      </c>
      <c r="AG95" s="88" t="str">
        <f>IF(全车数据表!BB96="","",全车数据表!BB96)</f>
        <v/>
      </c>
      <c r="AH95" s="88" t="str">
        <f>IF(全车数据表!BC96="","",全车数据表!BC96)</f>
        <v/>
      </c>
      <c r="AI95" s="88" t="str">
        <f>IF(全车数据表!BD96="","",全车数据表!BD96)</f>
        <v/>
      </c>
      <c r="AJ95" s="88">
        <f>IF(全车数据表!BE96="","",全车数据表!BE96)</f>
        <v>1</v>
      </c>
      <c r="AK95" s="88" t="str">
        <f>IF(全车数据表!BF96="","",全车数据表!BF96)</f>
        <v/>
      </c>
      <c r="AL95" s="88">
        <f>IF(全车数据表!BG96="","",全车数据表!BG96)</f>
        <v>1</v>
      </c>
      <c r="AM95" s="88" t="str">
        <f>IF(全车数据表!BH96="","",全车数据表!BH96)</f>
        <v/>
      </c>
      <c r="AN95" s="88" t="str">
        <f>IF(全车数据表!BI96="","",全车数据表!BI96)</f>
        <v/>
      </c>
      <c r="AO95" s="88" t="str">
        <f>IF(全车数据表!BJ96="","",全车数据表!BJ96)</f>
        <v/>
      </c>
      <c r="AP95" s="88" t="str">
        <f>IF(全车数据表!BK96="","",全车数据表!BK96)</f>
        <v/>
      </c>
      <c r="AQ95" s="88" t="str">
        <f>IF(全车数据表!BL96="","",全车数据表!BL96)</f>
        <v/>
      </c>
      <c r="AR95" s="88" t="str">
        <f>IF(全车数据表!BM96="","",全车数据表!BM96)</f>
        <v/>
      </c>
      <c r="AS95" s="88" t="str">
        <f>IF(全车数据表!BN96="","",全车数据表!BN96)</f>
        <v/>
      </c>
      <c r="AT95" s="88" t="str">
        <f>IF(全车数据表!BO96="","",全车数据表!BO96)</f>
        <v/>
      </c>
      <c r="AU95" s="88" t="str">
        <f>IF(全车数据表!BP96="","",全车数据表!BP96)</f>
        <v/>
      </c>
      <c r="AV95" s="88" t="str">
        <f>IF(全车数据表!BQ96="","",全车数据表!BQ96)</f>
        <v>3款</v>
      </c>
      <c r="AW95" s="88" t="str">
        <f>IF(全车数据表!BR96="","",全车数据表!BR96)</f>
        <v/>
      </c>
      <c r="AX95" s="88" t="str">
        <f>IF(全车数据表!BS96="","",全车数据表!BS96)</f>
        <v/>
      </c>
      <c r="AY95" s="88" t="str">
        <f>IF(全车数据表!BT96="","",全车数据表!BT96)</f>
        <v/>
      </c>
      <c r="AZ95" s="88" t="str">
        <f>IF(全车数据表!BU96="","",全车数据表!BU96)</f>
        <v/>
      </c>
      <c r="BA95" s="88" t="str">
        <f>IF(全车数据表!BV96="","",全车数据表!BV96)</f>
        <v>GTR 日产 尼桑</v>
      </c>
      <c r="BB95" s="91">
        <f>IF(全车数据表!AZ96="","",全车数据表!AZ96)</f>
        <v>1</v>
      </c>
    </row>
    <row r="96" spans="1:54">
      <c r="A96" s="88">
        <f>全车数据表!A97</f>
        <v>95</v>
      </c>
      <c r="B96" s="88" t="str">
        <f>全车数据表!B97</f>
        <v>Cadillac Cien Concept</v>
      </c>
      <c r="C96" s="89" t="str">
        <f>全车数据表!E97</f>
        <v>cien</v>
      </c>
      <c r="D96" s="88" t="str">
        <f>IF(全车数据表!D97="","",全车数据表!D97)</f>
        <v>Cadillac</v>
      </c>
      <c r="E96" s="89" t="str">
        <f>全车数据表!H97</f>
        <v>1.3</v>
      </c>
      <c r="F96" s="89" t="str">
        <f>全车数据表!C97</f>
        <v>塞恩</v>
      </c>
      <c r="G96" s="89" t="str">
        <f>全车数据表!F97</f>
        <v>B</v>
      </c>
      <c r="H96" s="88">
        <f>LEN(全车数据表!G97)</f>
        <v>4</v>
      </c>
      <c r="I96" s="88" t="str">
        <f>VLOOKUP(全车数据表!P97,辅助计算!A:B,2,FALSE)</f>
        <v>rare</v>
      </c>
      <c r="J96" s="88">
        <f>全车数据表!Q97</f>
        <v>40</v>
      </c>
      <c r="K96" s="88">
        <f>全车数据表!R97</f>
        <v>18</v>
      </c>
      <c r="L96" s="88">
        <f>全车数据表!S97</f>
        <v>24</v>
      </c>
      <c r="M96" s="88">
        <f>全车数据表!T97</f>
        <v>36</v>
      </c>
      <c r="N96" s="88">
        <f>全车数据表!U97</f>
        <v>0</v>
      </c>
      <c r="O96" s="88">
        <f>全车数据表!V97</f>
        <v>0</v>
      </c>
      <c r="P96" s="88">
        <f>全车数据表!J97</f>
        <v>3155</v>
      </c>
      <c r="Q96" s="88">
        <f>全车数据表!K97</f>
        <v>368</v>
      </c>
      <c r="R96" s="88">
        <f>全车数据表!L97</f>
        <v>76.55</v>
      </c>
      <c r="S96" s="88">
        <f>全车数据表!M97</f>
        <v>36.14</v>
      </c>
      <c r="T96" s="88">
        <f>全车数据表!N97</f>
        <v>61.1</v>
      </c>
      <c r="U96" s="88">
        <f>全车数据表!O97</f>
        <v>5.9329999999999998</v>
      </c>
      <c r="V96" s="88">
        <f>全车数据表!AL97</f>
        <v>0</v>
      </c>
      <c r="W96" s="88">
        <f>全车数据表!AM97</f>
        <v>17500</v>
      </c>
      <c r="X96" s="88">
        <f>全车数据表!AU97</f>
        <v>1820000</v>
      </c>
      <c r="Y96" s="88">
        <f>全车数据表!AV97</f>
        <v>0</v>
      </c>
      <c r="Z96" s="88">
        <f>全车数据表!AN97</f>
        <v>6</v>
      </c>
      <c r="AA96" s="88">
        <f>全车数据表!AP97</f>
        <v>4</v>
      </c>
      <c r="AB96" s="88">
        <f>全车数据表!AR97</f>
        <v>2</v>
      </c>
      <c r="AC96" s="88">
        <f>全车数据表!AW97</f>
        <v>383</v>
      </c>
      <c r="AD96" s="88">
        <f>全车数据表!AX97</f>
        <v>0</v>
      </c>
      <c r="AE96" s="88">
        <f>全车数据表!AY97</f>
        <v>509</v>
      </c>
      <c r="AF96" s="88" t="str">
        <f>IF(全车数据表!BA97="","",全车数据表!BA97)</f>
        <v>独家赛事</v>
      </c>
      <c r="AG96" s="88" t="str">
        <f>IF(全车数据表!BB97="","",全车数据表!BB97)</f>
        <v/>
      </c>
      <c r="AH96" s="88" t="str">
        <f>IF(全车数据表!BC97="","",全车数据表!BC97)</f>
        <v/>
      </c>
      <c r="AI96" s="88" t="str">
        <f>IF(全车数据表!BD97="","",全车数据表!BD97)</f>
        <v/>
      </c>
      <c r="AJ96" s="88" t="str">
        <f>IF(全车数据表!BE97="","",全车数据表!BE97)</f>
        <v/>
      </c>
      <c r="AK96" s="88">
        <f>IF(全车数据表!BF97="","",全车数据表!BF97)</f>
        <v>1</v>
      </c>
      <c r="AL96" s="88" t="str">
        <f>IF(全车数据表!BG97="","",全车数据表!BG97)</f>
        <v/>
      </c>
      <c r="AM96" s="88" t="str">
        <f>IF(全车数据表!BH97="","",全车数据表!BH97)</f>
        <v/>
      </c>
      <c r="AN96" s="88" t="str">
        <f>IF(全车数据表!BI97="","",全车数据表!BI97)</f>
        <v/>
      </c>
      <c r="AO96" s="88" t="str">
        <f>IF(全车数据表!BJ97="","",全车数据表!BJ97)</f>
        <v/>
      </c>
      <c r="AP96" s="88" t="str">
        <f>IF(全车数据表!BK97="","",全车数据表!BK97)</f>
        <v/>
      </c>
      <c r="AQ96" s="88" t="str">
        <f>IF(全车数据表!BL97="","",全车数据表!BL97)</f>
        <v/>
      </c>
      <c r="AR96" s="88" t="str">
        <f>IF(全车数据表!BM97="","",全车数据表!BM97)</f>
        <v/>
      </c>
      <c r="AS96" s="88" t="str">
        <f>IF(全车数据表!BN97="","",全车数据表!BN97)</f>
        <v/>
      </c>
      <c r="AT96" s="88" t="str">
        <f>IF(全车数据表!BO97="","",全车数据表!BO97)</f>
        <v/>
      </c>
      <c r="AU96" s="88" t="str">
        <f>IF(全车数据表!BP97="","",全车数据表!BP97)</f>
        <v/>
      </c>
      <c r="AV96" s="88" t="str">
        <f>IF(全车数据表!BQ97="","",全车数据表!BQ97)</f>
        <v/>
      </c>
      <c r="AW96" s="88" t="str">
        <f>IF(全车数据表!BR97="","",全车数据表!BR97)</f>
        <v/>
      </c>
      <c r="AX96" s="88" t="str">
        <f>IF(全车数据表!BS97="","",全车数据表!BS97)</f>
        <v/>
      </c>
      <c r="AY96" s="88" t="str">
        <f>IF(全车数据表!BT97="","",全车数据表!BT97)</f>
        <v/>
      </c>
      <c r="AZ96" s="88" t="str">
        <f>IF(全车数据表!BU97="","",全车数据表!BU97)</f>
        <v/>
      </c>
      <c r="BA96" s="88" t="str">
        <f>IF(全车数据表!BV97="","",全车数据表!BV97)</f>
        <v>凯迪拉克 棺材 塞恩</v>
      </c>
      <c r="BB96" s="91" t="str">
        <f>IF(全车数据表!AZ97="","",全车数据表!AZ97)</f>
        <v/>
      </c>
    </row>
    <row r="97" spans="1:54">
      <c r="A97" s="88">
        <f>全车数据表!A98</f>
        <v>96</v>
      </c>
      <c r="B97" s="88" t="str">
        <f>全车数据表!B98</f>
        <v>Aston Martin Valour🔑</v>
      </c>
      <c r="C97" s="89" t="str">
        <f>全车数据表!E98</f>
        <v>valour</v>
      </c>
      <c r="D97" s="88" t="str">
        <f>IF(全车数据表!D98="","",全车数据表!D98)</f>
        <v>Aston Martin</v>
      </c>
      <c r="E97" s="89" t="str">
        <f>全车数据表!H98</f>
        <v>5.1</v>
      </c>
      <c r="F97" s="89" t="str">
        <f>全车数据表!C98</f>
        <v>Valour</v>
      </c>
      <c r="G97" s="89" t="str">
        <f>全车数据表!F98</f>
        <v>B</v>
      </c>
      <c r="H97" s="88">
        <f>LEN(全车数据表!G98)</f>
        <v>4</v>
      </c>
      <c r="I97" s="88" t="str">
        <f>VLOOKUP(全车数据表!P98,辅助计算!A:B,2,FALSE)</f>
        <v>rare</v>
      </c>
      <c r="J97" s="88" t="str">
        <f>全车数据表!Q98</f>
        <v>🔑</v>
      </c>
      <c r="K97" s="88">
        <f>全车数据表!R98</f>
        <v>38</v>
      </c>
      <c r="L97" s="88">
        <f>全车数据表!S98</f>
        <v>48</v>
      </c>
      <c r="M97" s="88">
        <f>全车数据表!T98</f>
        <v>58</v>
      </c>
      <c r="N97" s="88">
        <f>全车数据表!U98</f>
        <v>0</v>
      </c>
      <c r="O97" s="88">
        <f>全车数据表!V98</f>
        <v>0</v>
      </c>
      <c r="P97" s="88">
        <f>全车数据表!J98</f>
        <v>3178</v>
      </c>
      <c r="Q97" s="88">
        <f>全车数据表!K98</f>
        <v>331</v>
      </c>
      <c r="R97" s="88">
        <f>全车数据表!L98</f>
        <v>78.23</v>
      </c>
      <c r="S97" s="88">
        <f>全车数据表!M98</f>
        <v>56.43</v>
      </c>
      <c r="T97" s="88">
        <f>全车数据表!N98</f>
        <v>60.73</v>
      </c>
      <c r="U97" s="88">
        <f>全车数据表!O98</f>
        <v>0</v>
      </c>
      <c r="V97" s="88">
        <f>全车数据表!AL98</f>
        <v>3560000</v>
      </c>
      <c r="W97" s="88">
        <f>全车数据表!AM98</f>
        <v>26250</v>
      </c>
      <c r="X97" s="88">
        <f>全车数据表!AU98</f>
        <v>2730000</v>
      </c>
      <c r="Y97" s="88">
        <f>全车数据表!AV98</f>
        <v>6290000</v>
      </c>
      <c r="Z97" s="88">
        <f>全车数据表!AN98</f>
        <v>6</v>
      </c>
      <c r="AA97" s="88">
        <f>全车数据表!AP98</f>
        <v>4</v>
      </c>
      <c r="AB97" s="88">
        <f>全车数据表!AR98</f>
        <v>2</v>
      </c>
      <c r="AC97" s="88">
        <f>全车数据表!AW98</f>
        <v>345</v>
      </c>
      <c r="AD97" s="88">
        <f>全车数据表!AX98</f>
        <v>0</v>
      </c>
      <c r="AE97" s="88">
        <f>全车数据表!AY98</f>
        <v>445</v>
      </c>
      <c r="AF97" s="88" t="str">
        <f>IF(全车数据表!BA98="","",全车数据表!BA98)</f>
        <v>大奖赛</v>
      </c>
      <c r="AG97" s="88" t="str">
        <f>IF(全车数据表!BB98="","",全车数据表!BB98)</f>
        <v/>
      </c>
      <c r="AH97" s="88" t="str">
        <f>IF(全车数据表!BC98="","",全车数据表!BC98)</f>
        <v/>
      </c>
      <c r="AI97" s="88" t="str">
        <f>IF(全车数据表!BD98="","",全车数据表!BD98)</f>
        <v/>
      </c>
      <c r="AJ97" s="88" t="str">
        <f>IF(全车数据表!BE98="","",全车数据表!BE98)</f>
        <v/>
      </c>
      <c r="AK97" s="88" t="str">
        <f>IF(全车数据表!BF98="","",全车数据表!BF98)</f>
        <v/>
      </c>
      <c r="AL97" s="88" t="str">
        <f>IF(全车数据表!BG98="","",全车数据表!BG98)</f>
        <v/>
      </c>
      <c r="AM97" s="88" t="str">
        <f>IF(全车数据表!BH98="","",全车数据表!BH98)</f>
        <v/>
      </c>
      <c r="AN97" s="88" t="str">
        <f>IF(全车数据表!BI98="","",全车数据表!BI98)</f>
        <v/>
      </c>
      <c r="AO97" s="88" t="str">
        <f>IF(全车数据表!BJ98="","",全车数据表!BJ98)</f>
        <v/>
      </c>
      <c r="AP97" s="88" t="str">
        <f>IF(全车数据表!BK98="","",全车数据表!BK98)</f>
        <v/>
      </c>
      <c r="AQ97" s="88" t="str">
        <f>IF(全车数据表!BL98="","",全车数据表!BL98)</f>
        <v/>
      </c>
      <c r="AR97" s="88" t="str">
        <f>IF(全车数据表!BM98="","",全车数据表!BM98)</f>
        <v/>
      </c>
      <c r="AS97" s="88" t="str">
        <f>IF(全车数据表!BN98="","",全车数据表!BN98)</f>
        <v/>
      </c>
      <c r="AT97" s="88" t="str">
        <f>IF(全车数据表!BO98="","",全车数据表!BO98)</f>
        <v/>
      </c>
      <c r="AU97" s="88" t="str">
        <f>IF(全车数据表!BP98="","",全车数据表!BP98)</f>
        <v/>
      </c>
      <c r="AV97" s="88" t="str">
        <f>IF(全车数据表!BQ98="","",全车数据表!BQ98)</f>
        <v/>
      </c>
      <c r="AW97" s="88" t="str">
        <f>IF(全车数据表!BR98="","",全车数据表!BR98)</f>
        <v/>
      </c>
      <c r="AX97" s="88" t="str">
        <f>IF(全车数据表!BS98="","",全车数据表!BS98)</f>
        <v/>
      </c>
      <c r="AY97" s="88" t="str">
        <f>IF(全车数据表!BT98="","",全车数据表!BT98)</f>
        <v/>
      </c>
      <c r="AZ97" s="88" t="str">
        <f>IF(全车数据表!BU98="","",全车数据表!BU98)</f>
        <v/>
      </c>
      <c r="BA97" s="88" t="str">
        <f>IF(全车数据表!BV98="","",全车数据表!BV98)</f>
        <v>阿斯顿马丁</v>
      </c>
      <c r="BB97" s="91" t="str">
        <f>IF(全车数据表!AZ98="","",全车数据表!AZ98)</f>
        <v/>
      </c>
    </row>
    <row r="98" spans="1:54">
      <c r="A98" s="88">
        <f>全车数据表!A99</f>
        <v>97</v>
      </c>
      <c r="B98" s="88" t="str">
        <f>全车数据表!B99</f>
        <v>Ford GT MKII🔑</v>
      </c>
      <c r="C98" s="89" t="str">
        <f>全车数据表!E99</f>
        <v>mk2</v>
      </c>
      <c r="D98" s="88" t="str">
        <f>IF(全车数据表!D99="","",全车数据表!D99)</f>
        <v>Ford</v>
      </c>
      <c r="E98" s="89" t="str">
        <f>全车数据表!H99</f>
        <v>2.8</v>
      </c>
      <c r="F98" s="89" t="str">
        <f>全车数据表!C99</f>
        <v>MK2</v>
      </c>
      <c r="G98" s="89" t="str">
        <f>全车数据表!F99</f>
        <v>B</v>
      </c>
      <c r="H98" s="88">
        <f>LEN(全车数据表!G99)</f>
        <v>4</v>
      </c>
      <c r="I98" s="88" t="str">
        <f>VLOOKUP(全车数据表!P99,辅助计算!A:B,2,FALSE)</f>
        <v>rare</v>
      </c>
      <c r="J98" s="88" t="str">
        <f>全车数据表!Q99</f>
        <v>🔑</v>
      </c>
      <c r="K98" s="88">
        <f>全车数据表!R99</f>
        <v>35</v>
      </c>
      <c r="L98" s="88">
        <f>全车数据表!S99</f>
        <v>55</v>
      </c>
      <c r="M98" s="88">
        <f>全车数据表!T99</f>
        <v>85</v>
      </c>
      <c r="N98" s="88">
        <f>全车数据表!U99</f>
        <v>0</v>
      </c>
      <c r="O98" s="88">
        <f>全车数据表!V99</f>
        <v>0</v>
      </c>
      <c r="P98" s="88">
        <f>全车数据表!J99</f>
        <v>3198</v>
      </c>
      <c r="Q98" s="88">
        <f>全车数据表!K99</f>
        <v>321</v>
      </c>
      <c r="R98" s="88">
        <f>全车数据表!L99</f>
        <v>86.25</v>
      </c>
      <c r="S98" s="88">
        <f>全车数据表!M99</f>
        <v>78.97</v>
      </c>
      <c r="T98" s="88">
        <f>全车数据表!N99</f>
        <v>67.89</v>
      </c>
      <c r="U98" s="88">
        <f>全车数据表!O99</f>
        <v>6.2</v>
      </c>
      <c r="V98" s="88">
        <f>全车数据表!AL99</f>
        <v>0</v>
      </c>
      <c r="W98" s="88">
        <f>全车数据表!AM99</f>
        <v>17500</v>
      </c>
      <c r="X98" s="88">
        <f>全车数据表!AU99</f>
        <v>1820000</v>
      </c>
      <c r="Y98" s="88">
        <f>全车数据表!AV99</f>
        <v>0</v>
      </c>
      <c r="Z98" s="88">
        <f>全车数据表!AN99</f>
        <v>6</v>
      </c>
      <c r="AA98" s="88">
        <f>全车数据表!AP99</f>
        <v>4</v>
      </c>
      <c r="AB98" s="88">
        <f>全车数据表!AR99</f>
        <v>2</v>
      </c>
      <c r="AC98" s="88">
        <f>全车数据表!AW99</f>
        <v>335</v>
      </c>
      <c r="AD98" s="88">
        <f>全车数据表!AX99</f>
        <v>0</v>
      </c>
      <c r="AE98" s="88">
        <f>全车数据表!AY99</f>
        <v>429</v>
      </c>
      <c r="AF98" s="88" t="str">
        <f>IF(全车数据表!BA99="","",全车数据表!BA99)</f>
        <v>大奖赛</v>
      </c>
      <c r="AG98" s="88" t="str">
        <f>IF(全车数据表!BB99="","",全车数据表!BB99)</f>
        <v/>
      </c>
      <c r="AH98" s="88" t="str">
        <f>IF(全车数据表!BC99="","",全车数据表!BC99)</f>
        <v/>
      </c>
      <c r="AI98" s="88" t="str">
        <f>IF(全车数据表!BD99="","",全车数据表!BD99)</f>
        <v/>
      </c>
      <c r="AJ98" s="88" t="str">
        <f>IF(全车数据表!BE99="","",全车数据表!BE99)</f>
        <v/>
      </c>
      <c r="AK98" s="88" t="str">
        <f>IF(全车数据表!BF99="","",全车数据表!BF99)</f>
        <v/>
      </c>
      <c r="AL98" s="88" t="str">
        <f>IF(全车数据表!BG99="","",全车数据表!BG99)</f>
        <v/>
      </c>
      <c r="AM98" s="88" t="str">
        <f>IF(全车数据表!BH99="","",全车数据表!BH99)</f>
        <v/>
      </c>
      <c r="AN98" s="88" t="str">
        <f>IF(全车数据表!BI99="","",全车数据表!BI99)</f>
        <v/>
      </c>
      <c r="AO98" s="88" t="str">
        <f>IF(全车数据表!BJ99="","",全车数据表!BJ99)</f>
        <v/>
      </c>
      <c r="AP98" s="88" t="str">
        <f>IF(全车数据表!BK99="","",全车数据表!BK99)</f>
        <v/>
      </c>
      <c r="AQ98" s="88" t="str">
        <f>IF(全车数据表!BL99="","",全车数据表!BL99)</f>
        <v/>
      </c>
      <c r="AR98" s="88">
        <f>IF(全车数据表!BM99="","",全车数据表!BM99)</f>
        <v>1</v>
      </c>
      <c r="AS98" s="88" t="str">
        <f>IF(全车数据表!BN99="","",全车数据表!BN99)</f>
        <v/>
      </c>
      <c r="AT98" s="88">
        <f>IF(全车数据表!BO99="","",全车数据表!BO99)</f>
        <v>1</v>
      </c>
      <c r="AU98" s="88">
        <f>IF(全车数据表!BP99="","",全车数据表!BP99)</f>
        <v>1</v>
      </c>
      <c r="AV98" s="88" t="str">
        <f>IF(全车数据表!BQ99="","",全车数据表!BQ99)</f>
        <v/>
      </c>
      <c r="AW98" s="88" t="str">
        <f>IF(全车数据表!BR99="","",全车数据表!BR99)</f>
        <v/>
      </c>
      <c r="AX98" s="88" t="str">
        <f>IF(全车数据表!BS99="","",全车数据表!BS99)</f>
        <v/>
      </c>
      <c r="AY98" s="88" t="str">
        <f>IF(全车数据表!BT99="","",全车数据表!BT99)</f>
        <v/>
      </c>
      <c r="AZ98" s="88" t="str">
        <f>IF(全车数据表!BU99="","",全车数据表!BU99)</f>
        <v/>
      </c>
      <c r="BA98" s="88" t="str">
        <f>IF(全车数据表!BV99="","",全车数据表!BV99)</f>
        <v>福特</v>
      </c>
      <c r="BB98" s="91" t="str">
        <f>IF(全车数据表!AZ99="","",全车数据表!AZ99)</f>
        <v/>
      </c>
    </row>
    <row r="99" spans="1:54">
      <c r="A99" s="88">
        <f>全车数据表!A100</f>
        <v>98</v>
      </c>
      <c r="B99" s="88" t="str">
        <f>全车数据表!B100</f>
        <v>Acura 2017 NSX</v>
      </c>
      <c r="C99" s="89" t="str">
        <f>全车数据表!E100</f>
        <v>nsx</v>
      </c>
      <c r="D99" s="88" t="str">
        <f>IF(全车数据表!D100="","",全车数据表!D100)</f>
        <v>Acura</v>
      </c>
      <c r="E99" s="89" t="str">
        <f>全车数据表!H100</f>
        <v>1.3</v>
      </c>
      <c r="F99" s="89" t="str">
        <f>全车数据表!C100</f>
        <v>讴歌</v>
      </c>
      <c r="G99" s="89" t="str">
        <f>全车数据表!F100</f>
        <v>B</v>
      </c>
      <c r="H99" s="88">
        <f>LEN(全车数据表!G100)</f>
        <v>4</v>
      </c>
      <c r="I99" s="88" t="str">
        <f>VLOOKUP(全车数据表!P100,辅助计算!A:B,2,FALSE)</f>
        <v>rare</v>
      </c>
      <c r="J99" s="88">
        <f>全车数据表!Q100</f>
        <v>40</v>
      </c>
      <c r="K99" s="88">
        <f>全车数据表!R100</f>
        <v>18</v>
      </c>
      <c r="L99" s="88">
        <f>全车数据表!S100</f>
        <v>24</v>
      </c>
      <c r="M99" s="88">
        <f>全车数据表!T100</f>
        <v>36</v>
      </c>
      <c r="N99" s="88">
        <f>全车数据表!U100</f>
        <v>0</v>
      </c>
      <c r="O99" s="88">
        <f>全车数据表!V100</f>
        <v>0</v>
      </c>
      <c r="P99" s="88">
        <f>全车数据表!J100</f>
        <v>3208</v>
      </c>
      <c r="Q99" s="88">
        <f>全车数据表!K100</f>
        <v>323.8</v>
      </c>
      <c r="R99" s="88">
        <f>全车数据表!L100</f>
        <v>84.32</v>
      </c>
      <c r="S99" s="88">
        <f>全车数据表!M100</f>
        <v>63.02</v>
      </c>
      <c r="T99" s="88">
        <f>全车数据表!N100</f>
        <v>54.67</v>
      </c>
      <c r="U99" s="88">
        <f>全车数据表!O100</f>
        <v>5.8490000000000002</v>
      </c>
      <c r="V99" s="88">
        <f>全车数据表!AL100</f>
        <v>3560000</v>
      </c>
      <c r="W99" s="88">
        <f>全车数据表!AM100</f>
        <v>20000</v>
      </c>
      <c r="X99" s="88">
        <f>全车数据表!AU100</f>
        <v>2080000</v>
      </c>
      <c r="Y99" s="88">
        <f>全车数据表!AV100</f>
        <v>5640000</v>
      </c>
      <c r="Z99" s="88">
        <f>全车数据表!AN100</f>
        <v>6</v>
      </c>
      <c r="AA99" s="88">
        <f>全车数据表!AP100</f>
        <v>4</v>
      </c>
      <c r="AB99" s="88">
        <f>全车数据表!AR100</f>
        <v>2</v>
      </c>
      <c r="AC99" s="88">
        <f>全车数据表!AW100</f>
        <v>337</v>
      </c>
      <c r="AD99" s="88">
        <f>全车数据表!AX100</f>
        <v>0</v>
      </c>
      <c r="AE99" s="88">
        <f>全车数据表!AY100</f>
        <v>433</v>
      </c>
      <c r="AF99" s="88" t="str">
        <f>IF(全车数据表!BA100="","",全车数据表!BA100)</f>
        <v>旧版寻车</v>
      </c>
      <c r="AG99" s="88" t="str">
        <f>IF(全车数据表!BB100="","",全车数据表!BB100)</f>
        <v/>
      </c>
      <c r="AH99" s="88" t="str">
        <f>IF(全车数据表!BC100="","",全车数据表!BC100)</f>
        <v/>
      </c>
      <c r="AI99" s="88" t="str">
        <f>IF(全车数据表!BD100="","",全车数据表!BD100)</f>
        <v/>
      </c>
      <c r="AJ99" s="88" t="str">
        <f>IF(全车数据表!BE100="","",全车数据表!BE100)</f>
        <v/>
      </c>
      <c r="AK99" s="88" t="str">
        <f>IF(全车数据表!BF100="","",全车数据表!BF100)</f>
        <v/>
      </c>
      <c r="AL99" s="88">
        <f>IF(全车数据表!BG100="","",全车数据表!BG100)</f>
        <v>1</v>
      </c>
      <c r="AM99" s="88" t="str">
        <f>IF(全车数据表!BH100="","",全车数据表!BH100)</f>
        <v/>
      </c>
      <c r="AN99" s="88" t="str">
        <f>IF(全车数据表!BI100="","",全车数据表!BI100)</f>
        <v/>
      </c>
      <c r="AO99" s="88" t="str">
        <f>IF(全车数据表!BJ100="","",全车数据表!BJ100)</f>
        <v/>
      </c>
      <c r="AP99" s="88" t="str">
        <f>IF(全车数据表!BK100="","",全车数据表!BK100)</f>
        <v/>
      </c>
      <c r="AQ99" s="88" t="str">
        <f>IF(全车数据表!BL100="","",全车数据表!BL100)</f>
        <v/>
      </c>
      <c r="AR99" s="88" t="str">
        <f>IF(全车数据表!BM100="","",全车数据表!BM100)</f>
        <v/>
      </c>
      <c r="AS99" s="88" t="str">
        <f>IF(全车数据表!BN100="","",全车数据表!BN100)</f>
        <v/>
      </c>
      <c r="AT99" s="88" t="str">
        <f>IF(全车数据表!BO100="","",全车数据表!BO100)</f>
        <v/>
      </c>
      <c r="AU99" s="88" t="str">
        <f>IF(全车数据表!BP100="","",全车数据表!BP100)</f>
        <v/>
      </c>
      <c r="AV99" s="88" t="str">
        <f>IF(全车数据表!BQ100="","",全车数据表!BQ100)</f>
        <v/>
      </c>
      <c r="AW99" s="88" t="str">
        <f>IF(全车数据表!BR100="","",全车数据表!BR100)</f>
        <v/>
      </c>
      <c r="AX99" s="88" t="str">
        <f>IF(全车数据表!BS100="","",全车数据表!BS100)</f>
        <v/>
      </c>
      <c r="AY99" s="88" t="str">
        <f>IF(全车数据表!BT100="","",全车数据表!BT100)</f>
        <v/>
      </c>
      <c r="AZ99" s="88">
        <f>IF(全车数据表!BU100="","",全车数据表!BU100)</f>
        <v>1</v>
      </c>
      <c r="BA99" s="88" t="str">
        <f>IF(全车数据表!BV100="","",全车数据表!BV100)</f>
        <v>讴歌</v>
      </c>
      <c r="BB99" s="91">
        <f>IF(全车数据表!AZ100="","",全车数据表!AZ100)</f>
        <v>11</v>
      </c>
    </row>
    <row r="100" spans="1:54">
      <c r="A100" s="88">
        <f>全车数据表!A101</f>
        <v>99</v>
      </c>
      <c r="B100" s="88" t="str">
        <f>全车数据表!B101</f>
        <v>Maserati Alfieri</v>
      </c>
      <c r="C100" s="89" t="str">
        <f>全车数据表!E101</f>
        <v>alfieri</v>
      </c>
      <c r="D100" s="88" t="str">
        <f>IF(全车数据表!D101="","",全车数据表!D101)</f>
        <v>Maserati</v>
      </c>
      <c r="E100" s="89" t="str">
        <f>全车数据表!H101</f>
        <v>1.4</v>
      </c>
      <c r="F100" s="89" t="str">
        <f>全车数据表!C101</f>
        <v>玛莎</v>
      </c>
      <c r="G100" s="89" t="str">
        <f>全车数据表!F101</f>
        <v>B</v>
      </c>
      <c r="H100" s="88">
        <f>LEN(全车数据表!G101)</f>
        <v>4</v>
      </c>
      <c r="I100" s="88" t="str">
        <f>VLOOKUP(全车数据表!P101,辅助计算!A:B,2,FALSE)</f>
        <v>rare</v>
      </c>
      <c r="J100" s="88">
        <f>全车数据表!Q101</f>
        <v>40</v>
      </c>
      <c r="K100" s="88">
        <f>全车数据表!R101</f>
        <v>18</v>
      </c>
      <c r="L100" s="88">
        <f>全车数据表!S101</f>
        <v>24</v>
      </c>
      <c r="M100" s="88">
        <f>全车数据表!T101</f>
        <v>36</v>
      </c>
      <c r="N100" s="88">
        <f>全车数据表!U101</f>
        <v>0</v>
      </c>
      <c r="O100" s="88">
        <f>全车数据表!V101</f>
        <v>0</v>
      </c>
      <c r="P100" s="88">
        <f>全车数据表!J101</f>
        <v>3209</v>
      </c>
      <c r="Q100" s="88">
        <f>全车数据表!K101</f>
        <v>335.9</v>
      </c>
      <c r="R100" s="88">
        <f>全车数据表!L101</f>
        <v>74.42</v>
      </c>
      <c r="S100" s="88">
        <f>全车数据表!M101</f>
        <v>41.44</v>
      </c>
      <c r="T100" s="88">
        <f>全车数据表!N101</f>
        <v>72.91</v>
      </c>
      <c r="U100" s="88">
        <f>全车数据表!O101</f>
        <v>8.6829999999999998</v>
      </c>
      <c r="V100" s="88">
        <f>全车数据表!AL101</f>
        <v>2190000</v>
      </c>
      <c r="W100" s="88">
        <f>全车数据表!AM101</f>
        <v>20000</v>
      </c>
      <c r="X100" s="88">
        <f>全车数据表!AU101</f>
        <v>2080000</v>
      </c>
      <c r="Y100" s="88">
        <f>全车数据表!AV101</f>
        <v>4270000</v>
      </c>
      <c r="Z100" s="88">
        <f>全车数据表!AN101</f>
        <v>6</v>
      </c>
      <c r="AA100" s="88">
        <f>全车数据表!AP101</f>
        <v>4</v>
      </c>
      <c r="AB100" s="88">
        <f>全车数据表!AR101</f>
        <v>2</v>
      </c>
      <c r="AC100" s="88">
        <f>全车数据表!AW101</f>
        <v>350</v>
      </c>
      <c r="AD100" s="88">
        <f>全车数据表!AX101</f>
        <v>0</v>
      </c>
      <c r="AE100" s="88">
        <f>全车数据表!AY101</f>
        <v>454</v>
      </c>
      <c r="AF100" s="88" t="str">
        <f>IF(全车数据表!BA101="","",全车数据表!BA101)</f>
        <v>寻车</v>
      </c>
      <c r="AG100" s="88" t="str">
        <f>IF(全车数据表!BB101="","",全车数据表!BB101)</f>
        <v/>
      </c>
      <c r="AH100" s="88" t="str">
        <f>IF(全车数据表!BC101="","",全车数据表!BC101)</f>
        <v/>
      </c>
      <c r="AI100" s="88">
        <f>IF(全车数据表!BD101="","",全车数据表!BD101)</f>
        <v>1</v>
      </c>
      <c r="AJ100" s="88" t="str">
        <f>IF(全车数据表!BE101="","",全车数据表!BE101)</f>
        <v/>
      </c>
      <c r="AK100" s="88" t="str">
        <f>IF(全车数据表!BF101="","",全车数据表!BF101)</f>
        <v/>
      </c>
      <c r="AL100" s="88">
        <f>IF(全车数据表!BG101="","",全车数据表!BG101)</f>
        <v>1</v>
      </c>
      <c r="AM100" s="88" t="str">
        <f>IF(全车数据表!BH101="","",全车数据表!BH101)</f>
        <v/>
      </c>
      <c r="AN100" s="88" t="str">
        <f>IF(全车数据表!BI101="","",全车数据表!BI101)</f>
        <v/>
      </c>
      <c r="AO100" s="88" t="str">
        <f>IF(全车数据表!BJ101="","",全车数据表!BJ101)</f>
        <v/>
      </c>
      <c r="AP100" s="88" t="str">
        <f>IF(全车数据表!BK101="","",全车数据表!BK101)</f>
        <v/>
      </c>
      <c r="AQ100" s="88" t="str">
        <f>IF(全车数据表!BL101="","",全车数据表!BL101)</f>
        <v/>
      </c>
      <c r="AR100" s="88" t="str">
        <f>IF(全车数据表!BM101="","",全车数据表!BM101)</f>
        <v/>
      </c>
      <c r="AS100" s="88" t="str">
        <f>IF(全车数据表!BN101="","",全车数据表!BN101)</f>
        <v/>
      </c>
      <c r="AT100" s="88" t="str">
        <f>IF(全车数据表!BO101="","",全车数据表!BO101)</f>
        <v/>
      </c>
      <c r="AU100" s="88" t="str">
        <f>IF(全车数据表!BP101="","",全车数据表!BP101)</f>
        <v/>
      </c>
      <c r="AV100" s="88" t="str">
        <f>IF(全车数据表!BQ101="","",全车数据表!BQ101)</f>
        <v/>
      </c>
      <c r="AW100" s="88" t="str">
        <f>IF(全车数据表!BR101="","",全车数据表!BR101)</f>
        <v/>
      </c>
      <c r="AX100" s="88" t="str">
        <f>IF(全车数据表!BS101="","",全车数据表!BS101)</f>
        <v/>
      </c>
      <c r="AY100" s="88" t="str">
        <f>IF(全车数据表!BT101="","",全车数据表!BT101)</f>
        <v/>
      </c>
      <c r="AZ100" s="88">
        <f>IF(全车数据表!BU101="","",全车数据表!BU101)</f>
        <v>1</v>
      </c>
      <c r="BA100" s="88" t="str">
        <f>IF(全车数据表!BV101="","",全车数据表!BV101)</f>
        <v>玛莎拉蒂</v>
      </c>
      <c r="BB100" s="91">
        <f>IF(全车数据表!AZ101="","",全车数据表!AZ101)</f>
        <v>1</v>
      </c>
    </row>
    <row r="101" spans="1:54">
      <c r="A101" s="88">
        <f>全车数据表!A102</f>
        <v>100</v>
      </c>
      <c r="B101" s="88" t="str">
        <f>全车数据表!B102</f>
        <v>Ferrari J50</v>
      </c>
      <c r="C101" s="89" t="str">
        <f>全车数据表!E102</f>
        <v>j50</v>
      </c>
      <c r="D101" s="88" t="str">
        <f>IF(全车数据表!D102="","",全车数据表!D102)</f>
        <v>Ferrari</v>
      </c>
      <c r="E101" s="89" t="str">
        <f>全车数据表!H102</f>
        <v>1.3</v>
      </c>
      <c r="F101" s="89" t="str">
        <f>全车数据表!C102</f>
        <v>J50</v>
      </c>
      <c r="G101" s="89" t="str">
        <f>全车数据表!F102</f>
        <v>B</v>
      </c>
      <c r="H101" s="88">
        <f>LEN(全车数据表!G102)</f>
        <v>4</v>
      </c>
      <c r="I101" s="88" t="str">
        <f>VLOOKUP(全车数据表!P102,辅助计算!A:B,2,FALSE)</f>
        <v>rare</v>
      </c>
      <c r="J101" s="88">
        <f>全车数据表!Q102</f>
        <v>40</v>
      </c>
      <c r="K101" s="88">
        <f>全车数据表!R102</f>
        <v>35</v>
      </c>
      <c r="L101" s="88">
        <f>全车数据表!S102</f>
        <v>42</v>
      </c>
      <c r="M101" s="88">
        <f>全车数据表!T102</f>
        <v>58</v>
      </c>
      <c r="N101" s="88">
        <f>全车数据表!U102</f>
        <v>0</v>
      </c>
      <c r="O101" s="88">
        <f>全车数据表!V102</f>
        <v>0</v>
      </c>
      <c r="P101" s="88">
        <f>全车数据表!J102</f>
        <v>3229</v>
      </c>
      <c r="Q101" s="88">
        <f>全车数据表!K102</f>
        <v>350.5</v>
      </c>
      <c r="R101" s="88">
        <f>全车数据表!L102</f>
        <v>80.41</v>
      </c>
      <c r="S101" s="88">
        <f>全车数据表!M102</f>
        <v>48.37</v>
      </c>
      <c r="T101" s="88">
        <f>全车数据表!N102</f>
        <v>64.650000000000006</v>
      </c>
      <c r="U101" s="88">
        <f>全车数据表!O102</f>
        <v>6.6820000000000004</v>
      </c>
      <c r="V101" s="88">
        <f>全车数据表!AL102</f>
        <v>3560000</v>
      </c>
      <c r="W101" s="88">
        <f>全车数据表!AM102</f>
        <v>20000</v>
      </c>
      <c r="X101" s="88">
        <f>全车数据表!AU102</f>
        <v>2080000</v>
      </c>
      <c r="Y101" s="88">
        <f>全车数据表!AV102</f>
        <v>5640000</v>
      </c>
      <c r="Z101" s="88">
        <f>全车数据表!AN102</f>
        <v>6</v>
      </c>
      <c r="AA101" s="88">
        <f>全车数据表!AP102</f>
        <v>4</v>
      </c>
      <c r="AB101" s="88">
        <f>全车数据表!AR102</f>
        <v>2</v>
      </c>
      <c r="AC101" s="88">
        <f>全车数据表!AW102</f>
        <v>365</v>
      </c>
      <c r="AD101" s="88">
        <f>全车数据表!AX102</f>
        <v>0</v>
      </c>
      <c r="AE101" s="88">
        <f>全车数据表!AY102</f>
        <v>479</v>
      </c>
      <c r="AF101" s="88" t="str">
        <f>IF(全车数据表!BA102="","",全车数据表!BA102)</f>
        <v>旧版寻车</v>
      </c>
      <c r="AG101" s="88" t="str">
        <f>IF(全车数据表!BB102="","",全车数据表!BB102)</f>
        <v/>
      </c>
      <c r="AH101" s="88" t="str">
        <f>IF(全车数据表!BC102="","",全车数据表!BC102)</f>
        <v/>
      </c>
      <c r="AI101" s="88" t="str">
        <f>IF(全车数据表!BD102="","",全车数据表!BD102)</f>
        <v/>
      </c>
      <c r="AJ101" s="88" t="str">
        <f>IF(全车数据表!BE102="","",全车数据表!BE102)</f>
        <v/>
      </c>
      <c r="AK101" s="88" t="str">
        <f>IF(全车数据表!BF102="","",全车数据表!BF102)</f>
        <v/>
      </c>
      <c r="AL101" s="88" t="str">
        <f>IF(全车数据表!BG102="","",全车数据表!BG102)</f>
        <v/>
      </c>
      <c r="AM101" s="88" t="str">
        <f>IF(全车数据表!BH102="","",全车数据表!BH102)</f>
        <v/>
      </c>
      <c r="AN101" s="88" t="str">
        <f>IF(全车数据表!BI102="","",全车数据表!BI102)</f>
        <v/>
      </c>
      <c r="AO101" s="88" t="str">
        <f>IF(全车数据表!BJ102="","",全车数据表!BJ102)</f>
        <v/>
      </c>
      <c r="AP101" s="88" t="str">
        <f>IF(全车数据表!BK102="","",全车数据表!BK102)</f>
        <v/>
      </c>
      <c r="AQ101" s="88" t="str">
        <f>IF(全车数据表!BL102="","",全车数据表!BL102)</f>
        <v/>
      </c>
      <c r="AR101" s="88" t="str">
        <f>IF(全车数据表!BM102="","",全车数据表!BM102)</f>
        <v/>
      </c>
      <c r="AS101" s="88" t="str">
        <f>IF(全车数据表!BN102="","",全车数据表!BN102)</f>
        <v/>
      </c>
      <c r="AT101" s="88" t="str">
        <f>IF(全车数据表!BO102="","",全车数据表!BO102)</f>
        <v/>
      </c>
      <c r="AU101" s="88" t="str">
        <f>IF(全车数据表!BP102="","",全车数据表!BP102)</f>
        <v/>
      </c>
      <c r="AV101" s="88" t="str">
        <f>IF(全车数据表!BQ102="","",全车数据表!BQ102)</f>
        <v/>
      </c>
      <c r="AW101" s="88" t="str">
        <f>IF(全车数据表!BR102="","",全车数据表!BR102)</f>
        <v/>
      </c>
      <c r="AX101" s="88" t="str">
        <f>IF(全车数据表!BS102="","",全车数据表!BS102)</f>
        <v>无顶</v>
      </c>
      <c r="AY101" s="88" t="str">
        <f>IF(全车数据表!BT102="","",全车数据表!BT102)</f>
        <v/>
      </c>
      <c r="AZ101" s="88">
        <f>IF(全车数据表!BU102="","",全车数据表!BU102)</f>
        <v>1</v>
      </c>
      <c r="BA101" s="88" t="str">
        <f>IF(全车数据表!BV102="","",全车数据表!BV102)</f>
        <v>法拉利 勾</v>
      </c>
      <c r="BB101" s="91" t="str">
        <f>IF(全车数据表!AZ102="","",全车数据表!AZ102)</f>
        <v/>
      </c>
    </row>
    <row r="102" spans="1:54">
      <c r="A102" s="88">
        <f>全车数据表!A103</f>
        <v>101</v>
      </c>
      <c r="B102" s="88" t="str">
        <f>全车数据表!B103</f>
        <v>Lamborghini Huracan STO</v>
      </c>
      <c r="C102" s="89" t="str">
        <f>全车数据表!E103</f>
        <v>huracansto</v>
      </c>
      <c r="D102" s="88" t="str">
        <f>IF(全车数据表!D103="","",全车数据表!D103)</f>
        <v>Lamborghini</v>
      </c>
      <c r="E102" s="89" t="str">
        <f>全车数据表!H103</f>
        <v>4.5</v>
      </c>
      <c r="F102" s="89" t="str">
        <f>全车数据表!C103</f>
        <v>STO</v>
      </c>
      <c r="G102" s="89" t="str">
        <f>全车数据表!F103</f>
        <v>B</v>
      </c>
      <c r="H102" s="88">
        <f>LEN(全车数据表!G103)</f>
        <v>5</v>
      </c>
      <c r="I102" s="88" t="str">
        <f>VLOOKUP(全车数据表!P103,辅助计算!A:B,2,FALSE)</f>
        <v>rare</v>
      </c>
      <c r="J102" s="88">
        <f>全车数据表!Q103</f>
        <v>40</v>
      </c>
      <c r="K102" s="88">
        <f>全车数据表!R103</f>
        <v>30</v>
      </c>
      <c r="L102" s="88">
        <f>全车数据表!S103</f>
        <v>36</v>
      </c>
      <c r="M102" s="88">
        <f>全车数据表!T103</f>
        <v>42</v>
      </c>
      <c r="N102" s="88">
        <f>全车数据表!U103</f>
        <v>52</v>
      </c>
      <c r="O102" s="88">
        <f>全车数据表!V103</f>
        <v>0</v>
      </c>
      <c r="P102" s="88">
        <f>全车数据表!J103</f>
        <v>3236</v>
      </c>
      <c r="Q102" s="88">
        <f>全车数据表!K103</f>
        <v>320.39999999999998</v>
      </c>
      <c r="R102" s="88">
        <f>全车数据表!L103</f>
        <v>86.02</v>
      </c>
      <c r="S102" s="88">
        <f>全车数据表!M103</f>
        <v>73.3</v>
      </c>
      <c r="T102" s="88">
        <f>全车数据表!N103</f>
        <v>57.28</v>
      </c>
      <c r="U102" s="88">
        <f>全车数据表!O103</f>
        <v>0</v>
      </c>
      <c r="V102" s="88">
        <f>全车数据表!AL103</f>
        <v>4360000</v>
      </c>
      <c r="W102" s="88">
        <f>全车数据表!AM103</f>
        <v>32000</v>
      </c>
      <c r="X102" s="88">
        <f>全车数据表!AU103</f>
        <v>3840000</v>
      </c>
      <c r="Y102" s="88">
        <f>全车数据表!AV103</f>
        <v>8200000</v>
      </c>
      <c r="Z102" s="88">
        <f>全车数据表!AN103</f>
        <v>8</v>
      </c>
      <c r="AA102" s="88">
        <f>全车数据表!AP103</f>
        <v>5</v>
      </c>
      <c r="AB102" s="88">
        <f>全车数据表!AR103</f>
        <v>2</v>
      </c>
      <c r="AC102" s="88">
        <f>全车数据表!AW103</f>
        <v>0</v>
      </c>
      <c r="AD102" s="88">
        <f>全车数据表!AX103</f>
        <v>0</v>
      </c>
      <c r="AE102" s="88">
        <f>全车数据表!AY103</f>
        <v>0</v>
      </c>
      <c r="AF102" s="88" t="str">
        <f>IF(全车数据表!BA103="","",全车数据表!BA103)</f>
        <v>通行证</v>
      </c>
      <c r="AG102" s="88" t="str">
        <f>IF(全车数据表!BB103="","",全车数据表!BB103)</f>
        <v/>
      </c>
      <c r="AH102" s="88" t="str">
        <f>IF(全车数据表!BC103="","",全车数据表!BC103)</f>
        <v/>
      </c>
      <c r="AI102" s="88" t="str">
        <f>IF(全车数据表!BD103="","",全车数据表!BD103)</f>
        <v/>
      </c>
      <c r="AJ102" s="88" t="str">
        <f>IF(全车数据表!BE103="","",全车数据表!BE103)</f>
        <v/>
      </c>
      <c r="AK102" s="88" t="str">
        <f>IF(全车数据表!BF103="","",全车数据表!BF103)</f>
        <v/>
      </c>
      <c r="AL102" s="88" t="str">
        <f>IF(全车数据表!BG103="","",全车数据表!BG103)</f>
        <v/>
      </c>
      <c r="AM102" s="88">
        <f>IF(全车数据表!BH103="","",全车数据表!BH103)</f>
        <v>1</v>
      </c>
      <c r="AN102" s="88" t="str">
        <f>IF(全车数据表!BI103="","",全车数据表!BI103)</f>
        <v/>
      </c>
      <c r="AO102" s="88" t="str">
        <f>IF(全车数据表!BJ103="","",全车数据表!BJ103)</f>
        <v/>
      </c>
      <c r="AP102" s="88" t="str">
        <f>IF(全车数据表!BK103="","",全车数据表!BK103)</f>
        <v/>
      </c>
      <c r="AQ102" s="88" t="str">
        <f>IF(全车数据表!BL103="","",全车数据表!BL103)</f>
        <v/>
      </c>
      <c r="AR102" s="88" t="str">
        <f>IF(全车数据表!BM103="","",全车数据表!BM103)</f>
        <v/>
      </c>
      <c r="AS102" s="88" t="str">
        <f>IF(全车数据表!BN103="","",全车数据表!BN103)</f>
        <v/>
      </c>
      <c r="AT102" s="88" t="str">
        <f>IF(全车数据表!BO103="","",全车数据表!BO103)</f>
        <v/>
      </c>
      <c r="AU102" s="88" t="str">
        <f>IF(全车数据表!BP103="","",全车数据表!BP103)</f>
        <v/>
      </c>
      <c r="AV102" s="88" t="str">
        <f>IF(全车数据表!BQ103="","",全车数据表!BQ103)</f>
        <v/>
      </c>
      <c r="AW102" s="88" t="str">
        <f>IF(全车数据表!BR103="","",全车数据表!BR103)</f>
        <v/>
      </c>
      <c r="AX102" s="88" t="str">
        <f>IF(全车数据表!BS103="","",全车数据表!BS103)</f>
        <v/>
      </c>
      <c r="AY102" s="88" t="str">
        <f>IF(全车数据表!BT103="","",全车数据表!BT103)</f>
        <v/>
      </c>
      <c r="AZ102" s="88" t="str">
        <f>IF(全车数据表!BU103="","",全车数据表!BU103)</f>
        <v/>
      </c>
      <c r="BA102" s="88" t="str">
        <f>IF(全车数据表!BV103="","",全车数据表!BV103)</f>
        <v>兰博基尼飓风小牛</v>
      </c>
      <c r="BB102" s="91" t="str">
        <f>IF(全车数据表!AZ103="","",全车数据表!AZ103)</f>
        <v/>
      </c>
    </row>
    <row r="103" spans="1:54">
      <c r="A103" s="88">
        <f>全车数据表!A104</f>
        <v>102</v>
      </c>
      <c r="B103" s="88" t="str">
        <f>全车数据表!B104</f>
        <v>Lamborghini Huracan Super Trofeo Evo🔑</v>
      </c>
      <c r="C103" s="89" t="str">
        <f>全车数据表!E104</f>
        <v>huracanste</v>
      </c>
      <c r="D103" s="88" t="str">
        <f>IF(全车数据表!D104="","",全车数据表!D104)</f>
        <v>Lamborghini</v>
      </c>
      <c r="E103" s="89" t="str">
        <f>全车数据表!H104</f>
        <v>2.7</v>
      </c>
      <c r="F103" s="89" t="str">
        <f>全车数据表!C104</f>
        <v>小小牛</v>
      </c>
      <c r="G103" s="89" t="str">
        <f>全车数据表!F104</f>
        <v>B</v>
      </c>
      <c r="H103" s="88">
        <f>LEN(全车数据表!G104)</f>
        <v>5</v>
      </c>
      <c r="I103" s="88" t="str">
        <f>VLOOKUP(全车数据表!P104,辅助计算!A:B,2,FALSE)</f>
        <v>rare</v>
      </c>
      <c r="J103" s="88" t="str">
        <f>全车数据表!Q104</f>
        <v>🔑</v>
      </c>
      <c r="K103" s="88">
        <f>全车数据表!R104</f>
        <v>30</v>
      </c>
      <c r="L103" s="88">
        <f>全车数据表!S104</f>
        <v>40</v>
      </c>
      <c r="M103" s="88">
        <f>全车数据表!T104</f>
        <v>50</v>
      </c>
      <c r="N103" s="88">
        <f>全车数据表!U104</f>
        <v>60</v>
      </c>
      <c r="O103" s="88">
        <f>全车数据表!V104</f>
        <v>0</v>
      </c>
      <c r="P103" s="88">
        <f>全车数据表!J104</f>
        <v>3256</v>
      </c>
      <c r="Q103" s="88">
        <f>全车数据表!K104</f>
        <v>311.60000000000002</v>
      </c>
      <c r="R103" s="88">
        <f>全车数据表!L104</f>
        <v>82.63</v>
      </c>
      <c r="S103" s="88">
        <f>全车数据表!M104</f>
        <v>63.62</v>
      </c>
      <c r="T103" s="88">
        <f>全车数据表!N104</f>
        <v>54.57</v>
      </c>
      <c r="U103" s="88">
        <f>全车数据表!O104</f>
        <v>0</v>
      </c>
      <c r="V103" s="88">
        <f>全车数据表!AL104</f>
        <v>3628000</v>
      </c>
      <c r="W103" s="88">
        <f>全车数据表!AM104</f>
        <v>20000</v>
      </c>
      <c r="X103" s="88">
        <f>全车数据表!AU104</f>
        <v>2400000</v>
      </c>
      <c r="Y103" s="88">
        <f>全车数据表!AV104</f>
        <v>6028000</v>
      </c>
      <c r="Z103" s="88">
        <f>全车数据表!AN104</f>
        <v>8</v>
      </c>
      <c r="AA103" s="88">
        <f>全车数据表!AP104</f>
        <v>5</v>
      </c>
      <c r="AB103" s="88">
        <f>全车数据表!AR104</f>
        <v>2</v>
      </c>
      <c r="AC103" s="88">
        <f>全车数据表!AW104</f>
        <v>325</v>
      </c>
      <c r="AD103" s="88">
        <f>全车数据表!AX104</f>
        <v>0</v>
      </c>
      <c r="AE103" s="88">
        <f>全车数据表!AY104</f>
        <v>414</v>
      </c>
      <c r="AF103" s="88" t="str">
        <f>IF(全车数据表!BA104="","",全车数据表!BA104)</f>
        <v>大奖赛</v>
      </c>
      <c r="AG103" s="88" t="str">
        <f>IF(全车数据表!BB104="","",全车数据表!BB104)</f>
        <v/>
      </c>
      <c r="AH103" s="88" t="str">
        <f>IF(全车数据表!BC104="","",全车数据表!BC104)</f>
        <v/>
      </c>
      <c r="AI103" s="88" t="str">
        <f>IF(全车数据表!BD104="","",全车数据表!BD104)</f>
        <v/>
      </c>
      <c r="AJ103" s="88" t="str">
        <f>IF(全车数据表!BE104="","",全车数据表!BE104)</f>
        <v/>
      </c>
      <c r="AK103" s="88" t="str">
        <f>IF(全车数据表!BF104="","",全车数据表!BF104)</f>
        <v/>
      </c>
      <c r="AL103" s="88">
        <f>IF(全车数据表!BG104="","",全车数据表!BG104)</f>
        <v>1</v>
      </c>
      <c r="AM103" s="88" t="str">
        <f>IF(全车数据表!BH104="","",全车数据表!BH104)</f>
        <v/>
      </c>
      <c r="AN103" s="88" t="str">
        <f>IF(全车数据表!BI104="","",全车数据表!BI104)</f>
        <v/>
      </c>
      <c r="AO103" s="88" t="str">
        <f>IF(全车数据表!BJ104="","",全车数据表!BJ104)</f>
        <v/>
      </c>
      <c r="AP103" s="88" t="str">
        <f>IF(全车数据表!BK104="","",全车数据表!BK104)</f>
        <v/>
      </c>
      <c r="AQ103" s="88" t="str">
        <f>IF(全车数据表!BL104="","",全车数据表!BL104)</f>
        <v/>
      </c>
      <c r="AR103" s="88">
        <f>IF(全车数据表!BM104="","",全车数据表!BM104)</f>
        <v>1</v>
      </c>
      <c r="AS103" s="88" t="str">
        <f>IF(全车数据表!BN104="","",全车数据表!BN104)</f>
        <v/>
      </c>
      <c r="AT103" s="88">
        <f>IF(全车数据表!BO104="","",全车数据表!BO104)</f>
        <v>1</v>
      </c>
      <c r="AU103" s="88">
        <f>IF(全车数据表!BP104="","",全车数据表!BP104)</f>
        <v>1</v>
      </c>
      <c r="AV103" s="88" t="str">
        <f>IF(全车数据表!BQ104="","",全车数据表!BQ104)</f>
        <v/>
      </c>
      <c r="AW103" s="88" t="str">
        <f>IF(全车数据表!BR104="","",全车数据表!BR104)</f>
        <v/>
      </c>
      <c r="AX103" s="88" t="str">
        <f>IF(全车数据表!BS104="","",全车数据表!BS104)</f>
        <v/>
      </c>
      <c r="AY103" s="88" t="str">
        <f>IF(全车数据表!BT104="","",全车数据表!BT104)</f>
        <v/>
      </c>
      <c r="AZ103" s="88">
        <f>IF(全车数据表!BU104="","",全车数据表!BU104)</f>
        <v>1</v>
      </c>
      <c r="BA103" s="88" t="str">
        <f>IF(全车数据表!BV104="","",全车数据表!BV104)</f>
        <v>兰博基尼 飓风 小小牛</v>
      </c>
      <c r="BB103" s="91" t="str">
        <f>IF(全车数据表!AZ104="","",全车数据表!AZ104)</f>
        <v/>
      </c>
    </row>
    <row r="104" spans="1:54">
      <c r="A104" s="88">
        <f>全车数据表!A105</f>
        <v>103</v>
      </c>
      <c r="B104" s="88" t="str">
        <f>全车数据表!B105</f>
        <v>McLaren Artura</v>
      </c>
      <c r="C104" s="89" t="str">
        <f>全车数据表!E105</f>
        <v>artura</v>
      </c>
      <c r="D104" s="88" t="str">
        <f>IF(全车数据表!D105="","",全车数据表!D105)</f>
        <v>McLaren</v>
      </c>
      <c r="E104" s="89" t="str">
        <f>全车数据表!H105</f>
        <v>4.4</v>
      </c>
      <c r="F104" s="89" t="str">
        <f>全车数据表!C105</f>
        <v>Artura</v>
      </c>
      <c r="G104" s="89" t="str">
        <f>全车数据表!F105</f>
        <v>B</v>
      </c>
      <c r="H104" s="88">
        <f>LEN(全车数据表!G105)</f>
        <v>5</v>
      </c>
      <c r="I104" s="88" t="str">
        <f>VLOOKUP(全车数据表!P105,辅助计算!A:B,2,FALSE)</f>
        <v>epic</v>
      </c>
      <c r="J104" s="88">
        <f>全车数据表!Q105</f>
        <v>40</v>
      </c>
      <c r="K104" s="88">
        <f>全车数据表!R105</f>
        <v>30</v>
      </c>
      <c r="L104" s="88">
        <f>全车数据表!S105</f>
        <v>36</v>
      </c>
      <c r="M104" s="88">
        <f>全车数据表!T105</f>
        <v>42</v>
      </c>
      <c r="N104" s="88">
        <f>全车数据表!U105</f>
        <v>52</v>
      </c>
      <c r="O104" s="88">
        <f>全车数据表!V105</f>
        <v>0</v>
      </c>
      <c r="P104" s="88">
        <f>全车数据表!J105</f>
        <v>3280</v>
      </c>
      <c r="Q104" s="88">
        <f>全车数据表!K105</f>
        <v>337.8</v>
      </c>
      <c r="R104" s="88">
        <f>全车数据表!L105</f>
        <v>81.14</v>
      </c>
      <c r="S104" s="88">
        <f>全车数据表!M105</f>
        <v>68.52</v>
      </c>
      <c r="T104" s="88">
        <f>全车数据表!N105</f>
        <v>47.54</v>
      </c>
      <c r="U104" s="88">
        <f>全车数据表!O105</f>
        <v>0</v>
      </c>
      <c r="V104" s="88">
        <f>全车数据表!AL105</f>
        <v>7552000</v>
      </c>
      <c r="W104" s="88">
        <f>全车数据表!AM105</f>
        <v>40000</v>
      </c>
      <c r="X104" s="88">
        <f>全车数据表!AU105</f>
        <v>4800000</v>
      </c>
      <c r="Y104" s="88">
        <f>全车数据表!AV105</f>
        <v>12352000</v>
      </c>
      <c r="Z104" s="88">
        <f>全车数据表!AN105</f>
        <v>8</v>
      </c>
      <c r="AA104" s="88">
        <f>全车数据表!AP105</f>
        <v>5</v>
      </c>
      <c r="AB104" s="88">
        <f>全车数据表!AR105</f>
        <v>2</v>
      </c>
      <c r="AC104" s="88">
        <f>全车数据表!AW105</f>
        <v>351</v>
      </c>
      <c r="AD104" s="88">
        <f>全车数据表!AX105</f>
        <v>0</v>
      </c>
      <c r="AE104" s="88">
        <f>全车数据表!AY105</f>
        <v>457</v>
      </c>
      <c r="AF104" s="88" t="str">
        <f>IF(全车数据表!BA105="","",全车数据表!BA105)</f>
        <v>通行证</v>
      </c>
      <c r="AG104" s="88" t="str">
        <f>IF(全车数据表!BB105="","",全车数据表!BB105)</f>
        <v/>
      </c>
      <c r="AH104" s="88" t="str">
        <f>IF(全车数据表!BC105="","",全车数据表!BC105)</f>
        <v/>
      </c>
      <c r="AI104" s="88" t="str">
        <f>IF(全车数据表!BD105="","",全车数据表!BD105)</f>
        <v/>
      </c>
      <c r="AJ104" s="88" t="str">
        <f>IF(全车数据表!BE105="","",全车数据表!BE105)</f>
        <v/>
      </c>
      <c r="AK104" s="88" t="str">
        <f>IF(全车数据表!BF105="","",全车数据表!BF105)</f>
        <v/>
      </c>
      <c r="AL104" s="88" t="str">
        <f>IF(全车数据表!BG105="","",全车数据表!BG105)</f>
        <v/>
      </c>
      <c r="AM104" s="88">
        <f>IF(全车数据表!BH105="","",全车数据表!BH105)</f>
        <v>1</v>
      </c>
      <c r="AN104" s="88" t="str">
        <f>IF(全车数据表!BI105="","",全车数据表!BI105)</f>
        <v/>
      </c>
      <c r="AO104" s="88" t="str">
        <f>IF(全车数据表!BJ105="","",全车数据表!BJ105)</f>
        <v/>
      </c>
      <c r="AP104" s="88" t="str">
        <f>IF(全车数据表!BK105="","",全车数据表!BK105)</f>
        <v/>
      </c>
      <c r="AQ104" s="88" t="str">
        <f>IF(全车数据表!BL105="","",全车数据表!BL105)</f>
        <v/>
      </c>
      <c r="AR104" s="88" t="str">
        <f>IF(全车数据表!BM105="","",全车数据表!BM105)</f>
        <v/>
      </c>
      <c r="AS104" s="88" t="str">
        <f>IF(全车数据表!BN105="","",全车数据表!BN105)</f>
        <v/>
      </c>
      <c r="AT104" s="88" t="str">
        <f>IF(全车数据表!BO105="","",全车数据表!BO105)</f>
        <v/>
      </c>
      <c r="AU104" s="88" t="str">
        <f>IF(全车数据表!BP105="","",全车数据表!BP105)</f>
        <v/>
      </c>
      <c r="AV104" s="88" t="str">
        <f>IF(全车数据表!BQ105="","",全车数据表!BQ105)</f>
        <v/>
      </c>
      <c r="AW104" s="88" t="str">
        <f>IF(全车数据表!BR105="","",全车数据表!BR105)</f>
        <v/>
      </c>
      <c r="AX104" s="88" t="str">
        <f>IF(全车数据表!BS105="","",全车数据表!BS105)</f>
        <v/>
      </c>
      <c r="AY104" s="88" t="str">
        <f>IF(全车数据表!BT105="","",全车数据表!BT105)</f>
        <v/>
      </c>
      <c r="AZ104" s="88" t="str">
        <f>IF(全车数据表!BU105="","",全车数据表!BU105)</f>
        <v/>
      </c>
      <c r="BA104" s="88" t="str">
        <f>IF(全车数据表!BV105="","",全车数据表!BV105)</f>
        <v>迈凯伦</v>
      </c>
      <c r="BB104" s="91" t="str">
        <f>IF(全车数据表!AZ105="","",全车数据表!AZ105)</f>
        <v/>
      </c>
    </row>
    <row r="105" spans="1:54">
      <c r="A105" s="88">
        <f>全车数据表!A106</f>
        <v>104</v>
      </c>
      <c r="B105" s="88" t="str">
        <f>全车数据表!B106</f>
        <v>Vencer Sarthe</v>
      </c>
      <c r="C105" s="89" t="str">
        <f>全车数据表!E106</f>
        <v>sarthe</v>
      </c>
      <c r="D105" s="88" t="str">
        <f>IF(全车数据表!D106="","",全车数据表!D106)</f>
        <v>Vencer</v>
      </c>
      <c r="E105" s="89" t="str">
        <f>全车数据表!H106</f>
        <v>1.7</v>
      </c>
      <c r="F105" s="89" t="str">
        <f>全车数据表!C106</f>
        <v>剃刀</v>
      </c>
      <c r="G105" s="89" t="str">
        <f>全车数据表!F106</f>
        <v>B</v>
      </c>
      <c r="H105" s="88">
        <f>LEN(全车数据表!G106)</f>
        <v>5</v>
      </c>
      <c r="I105" s="88" t="str">
        <f>VLOOKUP(全车数据表!P106,辅助计算!A:B,2,FALSE)</f>
        <v>rare</v>
      </c>
      <c r="J105" s="88">
        <f>全车数据表!Q106</f>
        <v>40</v>
      </c>
      <c r="K105" s="88">
        <f>全车数据表!R106</f>
        <v>12</v>
      </c>
      <c r="L105" s="88">
        <f>全车数据表!S106</f>
        <v>15</v>
      </c>
      <c r="M105" s="88">
        <f>全车数据表!T106</f>
        <v>21</v>
      </c>
      <c r="N105" s="88">
        <f>全车数据表!U106</f>
        <v>32</v>
      </c>
      <c r="O105" s="88">
        <f>全车数据表!V106</f>
        <v>0</v>
      </c>
      <c r="P105" s="88">
        <f>全车数据表!J106</f>
        <v>3290</v>
      </c>
      <c r="Q105" s="88">
        <f>全车数据表!K106</f>
        <v>350.1</v>
      </c>
      <c r="R105" s="88">
        <f>全车数据表!L106</f>
        <v>74.12</v>
      </c>
      <c r="S105" s="88">
        <f>全车数据表!M106</f>
        <v>62.87</v>
      </c>
      <c r="T105" s="88">
        <f>全车数据表!N106</f>
        <v>46.83</v>
      </c>
      <c r="U105" s="88">
        <f>全车数据表!O106</f>
        <v>5.0670000000000002</v>
      </c>
      <c r="V105" s="88">
        <f>全车数据表!AL106</f>
        <v>3628000</v>
      </c>
      <c r="W105" s="88">
        <f>全车数据表!AM106</f>
        <v>20000</v>
      </c>
      <c r="X105" s="88">
        <f>全车数据表!AU106</f>
        <v>2400000</v>
      </c>
      <c r="Y105" s="88">
        <f>全车数据表!AV106</f>
        <v>6028000</v>
      </c>
      <c r="Z105" s="88">
        <f>全车数据表!AN106</f>
        <v>8</v>
      </c>
      <c r="AA105" s="88">
        <f>全车数据表!AP106</f>
        <v>5</v>
      </c>
      <c r="AB105" s="88">
        <f>全车数据表!AR106</f>
        <v>2</v>
      </c>
      <c r="AC105" s="88">
        <f>全车数据表!AW106</f>
        <v>364</v>
      </c>
      <c r="AD105" s="88">
        <f>全车数据表!AX106</f>
        <v>0</v>
      </c>
      <c r="AE105" s="88">
        <f>全车数据表!AY106</f>
        <v>478</v>
      </c>
      <c r="AF105" s="88" t="str">
        <f>IF(全车数据表!BA106="","",全车数据表!BA106)</f>
        <v>寻车</v>
      </c>
      <c r="AG105" s="88" t="str">
        <f>IF(全车数据表!BB106="","",全车数据表!BB106)</f>
        <v/>
      </c>
      <c r="AH105" s="88" t="str">
        <f>IF(全车数据表!BC106="","",全车数据表!BC106)</f>
        <v/>
      </c>
      <c r="AI105" s="88">
        <f>IF(全车数据表!BD106="","",全车数据表!BD106)</f>
        <v>1</v>
      </c>
      <c r="AJ105" s="88" t="str">
        <f>IF(全车数据表!BE106="","",全车数据表!BE106)</f>
        <v/>
      </c>
      <c r="AK105" s="88" t="str">
        <f>IF(全车数据表!BF106="","",全车数据表!BF106)</f>
        <v/>
      </c>
      <c r="AL105" s="88">
        <f>IF(全车数据表!BG106="","",全车数据表!BG106)</f>
        <v>1</v>
      </c>
      <c r="AM105" s="88" t="str">
        <f>IF(全车数据表!BH106="","",全车数据表!BH106)</f>
        <v/>
      </c>
      <c r="AN105" s="88" t="str">
        <f>IF(全车数据表!BI106="","",全车数据表!BI106)</f>
        <v/>
      </c>
      <c r="AO105" s="88" t="str">
        <f>IF(全车数据表!BJ106="","",全车数据表!BJ106)</f>
        <v/>
      </c>
      <c r="AP105" s="88" t="str">
        <f>IF(全车数据表!BK106="","",全车数据表!BK106)</f>
        <v/>
      </c>
      <c r="AQ105" s="88" t="str">
        <f>IF(全车数据表!BL106="","",全车数据表!BL106)</f>
        <v/>
      </c>
      <c r="AR105" s="88" t="str">
        <f>IF(全车数据表!BM106="","",全车数据表!BM106)</f>
        <v/>
      </c>
      <c r="AS105" s="88" t="str">
        <f>IF(全车数据表!BN106="","",全车数据表!BN106)</f>
        <v/>
      </c>
      <c r="AT105" s="88" t="str">
        <f>IF(全车数据表!BO106="","",全车数据表!BO106)</f>
        <v/>
      </c>
      <c r="AU105" s="88" t="str">
        <f>IF(全车数据表!BP106="","",全车数据表!BP106)</f>
        <v/>
      </c>
      <c r="AV105" s="88" t="str">
        <f>IF(全车数据表!BQ106="","",全车数据表!BQ106)</f>
        <v/>
      </c>
      <c r="AW105" s="88" t="str">
        <f>IF(全车数据表!BR106="","",全车数据表!BR106)</f>
        <v/>
      </c>
      <c r="AX105" s="88" t="str">
        <f>IF(全车数据表!BS106="","",全车数据表!BS106)</f>
        <v/>
      </c>
      <c r="AY105" s="88" t="str">
        <f>IF(全车数据表!BT106="","",全车数据表!BT106)</f>
        <v/>
      </c>
      <c r="AZ105" s="88">
        <f>IF(全车数据表!BU106="","",全车数据表!BU106)</f>
        <v>1</v>
      </c>
      <c r="BA105" s="88" t="str">
        <f>IF(全车数据表!BV106="","",全车数据表!BV106)</f>
        <v>剃刀</v>
      </c>
      <c r="BB105" s="91">
        <f>IF(全车数据表!AZ106="","",全车数据表!AZ106)</f>
        <v>8</v>
      </c>
    </row>
    <row r="106" spans="1:54">
      <c r="A106" s="88">
        <f>全车数据表!A107</f>
        <v>105</v>
      </c>
      <c r="B106" s="88" t="str">
        <f>全车数据表!B107</f>
        <v>ItalDesign Zerouno</v>
      </c>
      <c r="C106" s="89" t="str">
        <f>全车数据表!E107</f>
        <v>zerouno</v>
      </c>
      <c r="D106" s="88" t="str">
        <f>IF(全车数据表!D107="","",全车数据表!D107)</f>
        <v>Italdesign</v>
      </c>
      <c r="E106" s="89" t="str">
        <f>全车数据表!H107</f>
        <v>2.1</v>
      </c>
      <c r="F106" s="89" t="str">
        <f>全车数据表!C107</f>
        <v>假牛</v>
      </c>
      <c r="G106" s="89" t="str">
        <f>全车数据表!F107</f>
        <v>B</v>
      </c>
      <c r="H106" s="88">
        <f>LEN(全车数据表!G107)</f>
        <v>4</v>
      </c>
      <c r="I106" s="88" t="str">
        <f>VLOOKUP(全车数据表!P107,辅助计算!A:B,2,FALSE)</f>
        <v>rare</v>
      </c>
      <c r="J106" s="88">
        <f>全车数据表!Q107</f>
        <v>40</v>
      </c>
      <c r="K106" s="88">
        <f>全车数据表!R107</f>
        <v>18</v>
      </c>
      <c r="L106" s="88">
        <f>全车数据表!S107</f>
        <v>24</v>
      </c>
      <c r="M106" s="88">
        <f>全车数据表!T107</f>
        <v>36</v>
      </c>
      <c r="N106" s="88">
        <f>全车数据表!U107</f>
        <v>0</v>
      </c>
      <c r="O106" s="88">
        <f>全车数据表!V107</f>
        <v>0</v>
      </c>
      <c r="P106" s="88">
        <f>全车数据表!J107</f>
        <v>3295</v>
      </c>
      <c r="Q106" s="88">
        <f>全车数据表!K107</f>
        <v>340.9</v>
      </c>
      <c r="R106" s="88">
        <f>全车数据表!L107</f>
        <v>79.25</v>
      </c>
      <c r="S106" s="88">
        <f>全车数据表!M107</f>
        <v>58.34</v>
      </c>
      <c r="T106" s="88">
        <f>全车数据表!N107</f>
        <v>54.1</v>
      </c>
      <c r="U106" s="88">
        <f>全车数据表!O107</f>
        <v>5.54</v>
      </c>
      <c r="V106" s="88">
        <f>全车数据表!AL107</f>
        <v>2190000</v>
      </c>
      <c r="W106" s="88">
        <f>全车数据表!AM107</f>
        <v>20000</v>
      </c>
      <c r="X106" s="88">
        <f>全车数据表!AU107</f>
        <v>2080000</v>
      </c>
      <c r="Y106" s="88">
        <f>全车数据表!AV107</f>
        <v>4270000</v>
      </c>
      <c r="Z106" s="88">
        <f>全车数据表!AN107</f>
        <v>6</v>
      </c>
      <c r="AA106" s="88">
        <f>全车数据表!AP107</f>
        <v>4</v>
      </c>
      <c r="AB106" s="88">
        <f>全车数据表!AR107</f>
        <v>2</v>
      </c>
      <c r="AC106" s="88">
        <f>全车数据表!AW107</f>
        <v>355</v>
      </c>
      <c r="AD106" s="88">
        <f>全车数据表!AX107</f>
        <v>0</v>
      </c>
      <c r="AE106" s="88">
        <f>全车数据表!AY107</f>
        <v>462</v>
      </c>
      <c r="AF106" s="88" t="str">
        <f>IF(全车数据表!BA107="","",全车数据表!BA107)</f>
        <v>寻车</v>
      </c>
      <c r="AG106" s="88" t="str">
        <f>IF(全车数据表!BB107="","",全车数据表!BB107)</f>
        <v/>
      </c>
      <c r="AH106" s="88" t="str">
        <f>IF(全车数据表!BC107="","",全车数据表!BC107)</f>
        <v/>
      </c>
      <c r="AI106" s="88">
        <f>IF(全车数据表!BD107="","",全车数据表!BD107)</f>
        <v>1</v>
      </c>
      <c r="AJ106" s="88" t="str">
        <f>IF(全车数据表!BE107="","",全车数据表!BE107)</f>
        <v/>
      </c>
      <c r="AK106" s="88" t="str">
        <f>IF(全车数据表!BF107="","",全车数据表!BF107)</f>
        <v/>
      </c>
      <c r="AL106" s="88">
        <f>IF(全车数据表!BG107="","",全车数据表!BG107)</f>
        <v>1</v>
      </c>
      <c r="AM106" s="88" t="str">
        <f>IF(全车数据表!BH107="","",全车数据表!BH107)</f>
        <v/>
      </c>
      <c r="AN106" s="88" t="str">
        <f>IF(全车数据表!BI107="","",全车数据表!BI107)</f>
        <v/>
      </c>
      <c r="AO106" s="88" t="str">
        <f>IF(全车数据表!BJ107="","",全车数据表!BJ107)</f>
        <v/>
      </c>
      <c r="AP106" s="88" t="str">
        <f>IF(全车数据表!BK107="","",全车数据表!BK107)</f>
        <v/>
      </c>
      <c r="AQ106" s="88" t="str">
        <f>IF(全车数据表!BL107="","",全车数据表!BL107)</f>
        <v/>
      </c>
      <c r="AR106" s="88" t="str">
        <f>IF(全车数据表!BM107="","",全车数据表!BM107)</f>
        <v/>
      </c>
      <c r="AS106" s="88" t="str">
        <f>IF(全车数据表!BN107="","",全车数据表!BN107)</f>
        <v/>
      </c>
      <c r="AT106" s="88" t="str">
        <f>IF(全车数据表!BO107="","",全车数据表!BO107)</f>
        <v/>
      </c>
      <c r="AU106" s="88" t="str">
        <f>IF(全车数据表!BP107="","",全车数据表!BP107)</f>
        <v/>
      </c>
      <c r="AV106" s="88" t="str">
        <f>IF(全车数据表!BQ107="","",全车数据表!BQ107)</f>
        <v/>
      </c>
      <c r="AW106" s="88" t="str">
        <f>IF(全车数据表!BR107="","",全车数据表!BR107)</f>
        <v/>
      </c>
      <c r="AX106" s="88" t="str">
        <f>IF(全车数据表!BS107="","",全车数据表!BS107)</f>
        <v/>
      </c>
      <c r="AY106" s="88" t="str">
        <f>IF(全车数据表!BT107="","",全车数据表!BT107)</f>
        <v/>
      </c>
      <c r="AZ106" s="88">
        <f>IF(全车数据表!BU107="","",全车数据表!BU107)</f>
        <v>1</v>
      </c>
      <c r="BA106" s="88" t="str">
        <f>IF(全车数据表!BV107="","",全车数据表!BV107)</f>
        <v>假牛 id</v>
      </c>
      <c r="BB106" s="91">
        <f>IF(全车数据表!AZ107="","",全车数据表!AZ107)</f>
        <v>10</v>
      </c>
    </row>
    <row r="107" spans="1:54">
      <c r="A107" s="88">
        <f>全车数据表!A108</f>
        <v>106</v>
      </c>
      <c r="B107" s="88" t="str">
        <f>全车数据表!B108</f>
        <v>Dodge Viper GTS</v>
      </c>
      <c r="C107" s="89" t="str">
        <f>全车数据表!E108</f>
        <v>vipergts</v>
      </c>
      <c r="D107" s="88" t="str">
        <f>IF(全车数据表!D108="","",全车数据表!D108)</f>
        <v>Dodge</v>
      </c>
      <c r="E107" s="89" t="str">
        <f>全车数据表!H108</f>
        <v>1.5</v>
      </c>
      <c r="F107" s="89" t="str">
        <f>全车数据表!C108</f>
        <v>紫蛇</v>
      </c>
      <c r="G107" s="89" t="str">
        <f>全车数据表!F108</f>
        <v>B</v>
      </c>
      <c r="H107" s="88">
        <f>LEN(全车数据表!G108)</f>
        <v>4</v>
      </c>
      <c r="I107" s="88" t="str">
        <f>VLOOKUP(全车数据表!P108,辅助计算!A:B,2,FALSE)</f>
        <v>rare</v>
      </c>
      <c r="J107" s="88">
        <f>全车数据表!Q108</f>
        <v>40</v>
      </c>
      <c r="K107" s="88">
        <f>全车数据表!R108</f>
        <v>18</v>
      </c>
      <c r="L107" s="88">
        <f>全车数据表!S108</f>
        <v>24</v>
      </c>
      <c r="M107" s="88">
        <f>全车数据表!T108</f>
        <v>36</v>
      </c>
      <c r="N107" s="88">
        <f>全车数据表!U108</f>
        <v>0</v>
      </c>
      <c r="O107" s="88">
        <f>全车数据表!V108</f>
        <v>0</v>
      </c>
      <c r="P107" s="88">
        <f>全车数据表!J108</f>
        <v>3295</v>
      </c>
      <c r="Q107" s="88">
        <f>全车数据表!K108</f>
        <v>353.4</v>
      </c>
      <c r="R107" s="88">
        <f>全车数据表!L108</f>
        <v>80.33</v>
      </c>
      <c r="S107" s="88">
        <f>全车数据表!M108</f>
        <v>45.29</v>
      </c>
      <c r="T107" s="88">
        <f>全车数据表!N108</f>
        <v>67.55</v>
      </c>
      <c r="U107" s="88">
        <f>全车数据表!O108</f>
        <v>7.0659999999999998</v>
      </c>
      <c r="V107" s="88">
        <f>全车数据表!AL108</f>
        <v>3560000</v>
      </c>
      <c r="W107" s="88">
        <f>全车数据表!AM108</f>
        <v>20000</v>
      </c>
      <c r="X107" s="88">
        <f>全车数据表!AU108</f>
        <v>2080000</v>
      </c>
      <c r="Y107" s="88">
        <f>全车数据表!AV108</f>
        <v>5640000</v>
      </c>
      <c r="Z107" s="88">
        <f>全车数据表!AN108</f>
        <v>6</v>
      </c>
      <c r="AA107" s="88">
        <f>全车数据表!AP108</f>
        <v>4</v>
      </c>
      <c r="AB107" s="88">
        <f>全车数据表!AR108</f>
        <v>2</v>
      </c>
      <c r="AC107" s="88">
        <f>全车数据表!AW108</f>
        <v>368</v>
      </c>
      <c r="AD107" s="88">
        <f>全车数据表!AX108</f>
        <v>0</v>
      </c>
      <c r="AE107" s="88">
        <f>全车数据表!AY108</f>
        <v>484</v>
      </c>
      <c r="AF107" s="88" t="str">
        <f>IF(全车数据表!BA108="","",全车数据表!BA108)</f>
        <v>寻车</v>
      </c>
      <c r="AG107" s="88" t="str">
        <f>IF(全车数据表!BB108="","",全车数据表!BB108)</f>
        <v/>
      </c>
      <c r="AH107" s="88" t="str">
        <f>IF(全车数据表!BC108="","",全车数据表!BC108)</f>
        <v/>
      </c>
      <c r="AI107" s="88" t="str">
        <f>IF(全车数据表!BD108="","",全车数据表!BD108)</f>
        <v/>
      </c>
      <c r="AJ107" s="88" t="str">
        <f>IF(全车数据表!BE108="","",全车数据表!BE108)</f>
        <v/>
      </c>
      <c r="AK107" s="88" t="str">
        <f>IF(全车数据表!BF108="","",全车数据表!BF108)</f>
        <v/>
      </c>
      <c r="AL107" s="88">
        <f>IF(全车数据表!BG108="","",全车数据表!BG108)</f>
        <v>1</v>
      </c>
      <c r="AM107" s="88" t="str">
        <f>IF(全车数据表!BH108="","",全车数据表!BH108)</f>
        <v/>
      </c>
      <c r="AN107" s="88" t="str">
        <f>IF(全车数据表!BI108="","",全车数据表!BI108)</f>
        <v/>
      </c>
      <c r="AO107" s="88" t="str">
        <f>IF(全车数据表!BJ108="","",全车数据表!BJ108)</f>
        <v/>
      </c>
      <c r="AP107" s="88" t="str">
        <f>IF(全车数据表!BK108="","",全车数据表!BK108)</f>
        <v/>
      </c>
      <c r="AQ107" s="88" t="str">
        <f>IF(全车数据表!BL108="","",全车数据表!BL108)</f>
        <v/>
      </c>
      <c r="AR107" s="88" t="str">
        <f>IF(全车数据表!BM108="","",全车数据表!BM108)</f>
        <v/>
      </c>
      <c r="AS107" s="88" t="str">
        <f>IF(全车数据表!BN108="","",全车数据表!BN108)</f>
        <v/>
      </c>
      <c r="AT107" s="88" t="str">
        <f>IF(全车数据表!BO108="","",全车数据表!BO108)</f>
        <v/>
      </c>
      <c r="AU107" s="88" t="str">
        <f>IF(全车数据表!BP108="","",全车数据表!BP108)</f>
        <v/>
      </c>
      <c r="AV107" s="88" t="str">
        <f>IF(全车数据表!BQ108="","",全车数据表!BQ108)</f>
        <v/>
      </c>
      <c r="AW107" s="88" t="str">
        <f>IF(全车数据表!BR108="","",全车数据表!BR108)</f>
        <v/>
      </c>
      <c r="AX107" s="88" t="str">
        <f>IF(全车数据表!BS108="","",全车数据表!BS108)</f>
        <v/>
      </c>
      <c r="AY107" s="88" t="str">
        <f>IF(全车数据表!BT108="","",全车数据表!BT108)</f>
        <v/>
      </c>
      <c r="AZ107" s="88">
        <f>IF(全车数据表!BU108="","",全车数据表!BU108)</f>
        <v>1</v>
      </c>
      <c r="BA107" s="88" t="str">
        <f>IF(全车数据表!BV108="","",全车数据表!BV108)</f>
        <v>蝰蛇 紫蛇 道奇 A蛇 B蛇</v>
      </c>
      <c r="BB107" s="91" t="str">
        <f>IF(全车数据表!AZ108="","",全车数据表!AZ108)</f>
        <v/>
      </c>
    </row>
    <row r="108" spans="1:54">
      <c r="A108" s="88">
        <f>全车数据表!A109</f>
        <v>107</v>
      </c>
      <c r="B108" s="88" t="str">
        <f>全车数据表!B109</f>
        <v>Bentley Continental GT Speed</v>
      </c>
      <c r="C108" s="89" t="str">
        <f>全车数据表!E109</f>
        <v>continentalgt</v>
      </c>
      <c r="D108" s="88" t="str">
        <f>IF(全车数据表!D109="","",全车数据表!D109)</f>
        <v>Bentley</v>
      </c>
      <c r="E108" s="89" t="str">
        <f>全车数据表!H109</f>
        <v>3.6</v>
      </c>
      <c r="F108" s="89" t="str">
        <f>全车数据表!C109</f>
        <v>欧陆</v>
      </c>
      <c r="G108" s="89" t="str">
        <f>全车数据表!F109</f>
        <v>B</v>
      </c>
      <c r="H108" s="88">
        <f>LEN(全车数据表!G109)</f>
        <v>4</v>
      </c>
      <c r="I108" s="88" t="str">
        <f>VLOOKUP(全车数据表!P109,辅助计算!A:B,2,FALSE)</f>
        <v>rare</v>
      </c>
      <c r="J108" s="88">
        <f>全车数据表!Q109</f>
        <v>40</v>
      </c>
      <c r="K108" s="88">
        <f>全车数据表!R109</f>
        <v>35</v>
      </c>
      <c r="L108" s="88">
        <f>全车数据表!S109</f>
        <v>42</v>
      </c>
      <c r="M108" s="88">
        <f>全车数据表!T109</f>
        <v>58</v>
      </c>
      <c r="N108" s="88">
        <f>全车数据表!U109</f>
        <v>0</v>
      </c>
      <c r="O108" s="88">
        <f>全车数据表!V109</f>
        <v>0</v>
      </c>
      <c r="P108" s="88">
        <f>全车数据表!J109</f>
        <v>3330</v>
      </c>
      <c r="Q108" s="88">
        <f>全车数据表!K109</f>
        <v>348.1</v>
      </c>
      <c r="R108" s="88">
        <f>全车数据表!L109</f>
        <v>76.45</v>
      </c>
      <c r="S108" s="88">
        <f>全车数据表!M109</f>
        <v>74.06</v>
      </c>
      <c r="T108" s="88">
        <f>全车数据表!N109</f>
        <v>59.19</v>
      </c>
      <c r="U108" s="88">
        <f>全车数据表!O109</f>
        <v>0</v>
      </c>
      <c r="V108" s="88">
        <f>全车数据表!AL109</f>
        <v>0</v>
      </c>
      <c r="W108" s="88">
        <f>全车数据表!AM109</f>
        <v>20000</v>
      </c>
      <c r="X108" s="88">
        <f>全车数据表!AU109</f>
        <v>2080000</v>
      </c>
      <c r="Y108" s="88">
        <f>全车数据表!AV109</f>
        <v>0</v>
      </c>
      <c r="Z108" s="88">
        <f>全车数据表!AN109</f>
        <v>6</v>
      </c>
      <c r="AA108" s="88">
        <f>全车数据表!AP109</f>
        <v>4</v>
      </c>
      <c r="AB108" s="88">
        <f>全车数据表!AR109</f>
        <v>2</v>
      </c>
      <c r="AC108" s="88">
        <f>全车数据表!AW109</f>
        <v>362</v>
      </c>
      <c r="AD108" s="88">
        <f>全车数据表!AX109</f>
        <v>0</v>
      </c>
      <c r="AE108" s="88">
        <f>全车数据表!AY109</f>
        <v>475</v>
      </c>
      <c r="AF108" s="88" t="str">
        <f>IF(全车数据表!BA109="","",全车数据表!BA109)</f>
        <v>通行证</v>
      </c>
      <c r="AG108" s="88" t="str">
        <f>IF(全车数据表!BB109="","",全车数据表!BB109)</f>
        <v/>
      </c>
      <c r="AH108" s="88" t="str">
        <f>IF(全车数据表!BC109="","",全车数据表!BC109)</f>
        <v/>
      </c>
      <c r="AI108" s="88" t="str">
        <f>IF(全车数据表!BD109="","",全车数据表!BD109)</f>
        <v/>
      </c>
      <c r="AJ108" s="88">
        <f>IF(全车数据表!BE109="","",全车数据表!BE109)</f>
        <v>1</v>
      </c>
      <c r="AK108" s="88" t="str">
        <f>IF(全车数据表!BF109="","",全车数据表!BF109)</f>
        <v/>
      </c>
      <c r="AL108" s="88" t="str">
        <f>IF(全车数据表!BG109="","",全车数据表!BG109)</f>
        <v/>
      </c>
      <c r="AM108" s="88">
        <f>IF(全车数据表!BH109="","",全车数据表!BH109)</f>
        <v>1</v>
      </c>
      <c r="AN108" s="88" t="str">
        <f>IF(全车数据表!BI109="","",全车数据表!BI109)</f>
        <v/>
      </c>
      <c r="AO108" s="88" t="str">
        <f>IF(全车数据表!BJ109="","",全车数据表!BJ109)</f>
        <v/>
      </c>
      <c r="AP108" s="88" t="str">
        <f>IF(全车数据表!BK109="","",全车数据表!BK109)</f>
        <v/>
      </c>
      <c r="AQ108" s="88" t="str">
        <f>IF(全车数据表!BL109="","",全车数据表!BL109)</f>
        <v/>
      </c>
      <c r="AR108" s="88" t="str">
        <f>IF(全车数据表!BM109="","",全车数据表!BM109)</f>
        <v/>
      </c>
      <c r="AS108" s="88" t="str">
        <f>IF(全车数据表!BN109="","",全车数据表!BN109)</f>
        <v/>
      </c>
      <c r="AT108" s="88" t="str">
        <f>IF(全车数据表!BO109="","",全车数据表!BO109)</f>
        <v/>
      </c>
      <c r="AU108" s="88">
        <f>IF(全车数据表!BP109="","",全车数据表!BP109)</f>
        <v>1</v>
      </c>
      <c r="AV108" s="88" t="str">
        <f>IF(全车数据表!BQ109="","",全车数据表!BQ109)</f>
        <v/>
      </c>
      <c r="AW108" s="88" t="str">
        <f>IF(全车数据表!BR109="","",全车数据表!BR109)</f>
        <v/>
      </c>
      <c r="AX108" s="88" t="str">
        <f>IF(全车数据表!BS109="","",全车数据表!BS109)</f>
        <v/>
      </c>
      <c r="AY108" s="88" t="str">
        <f>IF(全车数据表!BT109="","",全车数据表!BT109)</f>
        <v/>
      </c>
      <c r="AZ108" s="88">
        <f>IF(全车数据表!BU109="","",全车数据表!BU109)</f>
        <v>1</v>
      </c>
      <c r="BA108" s="88" t="str">
        <f>IF(全车数据表!BV109="","",全车数据表!BV109)</f>
        <v>宾利 欧陆</v>
      </c>
      <c r="BB108" s="91" t="str">
        <f>IF(全车数据表!AZ109="","",全车数据表!AZ109)</f>
        <v/>
      </c>
    </row>
    <row r="109" spans="1:54">
      <c r="A109" s="88">
        <f>全车数据表!A110</f>
        <v>108</v>
      </c>
      <c r="B109" s="88" t="str">
        <f>全车数据表!B110</f>
        <v>Ferrari 488 GTB</v>
      </c>
      <c r="C109" s="89" t="str">
        <f>全车数据表!E110</f>
        <v>488</v>
      </c>
      <c r="D109" s="88" t="str">
        <f>IF(全车数据表!D110="","",全车数据表!D110)</f>
        <v>Ferrari</v>
      </c>
      <c r="E109" s="89" t="str">
        <f>全车数据表!H110</f>
        <v>1.6</v>
      </c>
      <c r="F109" s="89" t="str">
        <f>全车数据表!C110</f>
        <v>488</v>
      </c>
      <c r="G109" s="89" t="str">
        <f>全车数据表!F110</f>
        <v>B</v>
      </c>
      <c r="H109" s="88">
        <f>LEN(全车数据表!G110)</f>
        <v>4</v>
      </c>
      <c r="I109" s="88" t="str">
        <f>VLOOKUP(全车数据表!P110,辅助计算!A:B,2,FALSE)</f>
        <v>rare</v>
      </c>
      <c r="J109" s="88">
        <f>全车数据表!Q110</f>
        <v>40</v>
      </c>
      <c r="K109" s="88">
        <f>全车数据表!R110</f>
        <v>35</v>
      </c>
      <c r="L109" s="88">
        <f>全车数据表!S110</f>
        <v>42</v>
      </c>
      <c r="M109" s="88">
        <f>全车数据表!T110</f>
        <v>58</v>
      </c>
      <c r="N109" s="88">
        <f>全车数据表!U110</f>
        <v>0</v>
      </c>
      <c r="O109" s="88">
        <f>全车数据表!V110</f>
        <v>0</v>
      </c>
      <c r="P109" s="88">
        <f>全车数据表!J110</f>
        <v>3334</v>
      </c>
      <c r="Q109" s="88">
        <f>全车数据表!K110</f>
        <v>347.6</v>
      </c>
      <c r="R109" s="88">
        <f>全车数据表!L110</f>
        <v>80.239999999999995</v>
      </c>
      <c r="S109" s="88">
        <f>全车数据表!M110</f>
        <v>48.38</v>
      </c>
      <c r="T109" s="88">
        <f>全车数据表!N110</f>
        <v>65.84</v>
      </c>
      <c r="U109" s="88">
        <f>全车数据表!O110</f>
        <v>6.5</v>
      </c>
      <c r="V109" s="88">
        <f>全车数据表!AL110</f>
        <v>3560000</v>
      </c>
      <c r="W109" s="88">
        <f>全车数据表!AM110</f>
        <v>20000</v>
      </c>
      <c r="X109" s="88">
        <f>全车数据表!AU110</f>
        <v>2080000</v>
      </c>
      <c r="Y109" s="88">
        <f>全车数据表!AV110</f>
        <v>5640000</v>
      </c>
      <c r="Z109" s="88">
        <f>全车数据表!AN110</f>
        <v>6</v>
      </c>
      <c r="AA109" s="88">
        <f>全车数据表!AP110</f>
        <v>4</v>
      </c>
      <c r="AB109" s="88">
        <f>全车数据表!AR110</f>
        <v>2</v>
      </c>
      <c r="AC109" s="88">
        <f>全车数据表!AW110</f>
        <v>362</v>
      </c>
      <c r="AD109" s="88">
        <f>全车数据表!AX110</f>
        <v>0</v>
      </c>
      <c r="AE109" s="88">
        <f>全车数据表!AY110</f>
        <v>474</v>
      </c>
      <c r="AF109" s="88" t="str">
        <f>IF(全车数据表!BA110="","",全车数据表!BA110)</f>
        <v>寻车</v>
      </c>
      <c r="AG109" s="88" t="str">
        <f>IF(全车数据表!BB110="","",全车数据表!BB110)</f>
        <v/>
      </c>
      <c r="AH109" s="88" t="str">
        <f>IF(全车数据表!BC110="","",全车数据表!BC110)</f>
        <v/>
      </c>
      <c r="AI109" s="88" t="str">
        <f>IF(全车数据表!BD110="","",全车数据表!BD110)</f>
        <v/>
      </c>
      <c r="AJ109" s="88" t="str">
        <f>IF(全车数据表!BE110="","",全车数据表!BE110)</f>
        <v/>
      </c>
      <c r="AK109" s="88" t="str">
        <f>IF(全车数据表!BF110="","",全车数据表!BF110)</f>
        <v/>
      </c>
      <c r="AL109" s="88">
        <f>IF(全车数据表!BG110="","",全车数据表!BG110)</f>
        <v>1</v>
      </c>
      <c r="AM109" s="88" t="str">
        <f>IF(全车数据表!BH110="","",全车数据表!BH110)</f>
        <v/>
      </c>
      <c r="AN109" s="88" t="str">
        <f>IF(全车数据表!BI110="","",全车数据表!BI110)</f>
        <v/>
      </c>
      <c r="AO109" s="88">
        <f>IF(全车数据表!BJ110="","",全车数据表!BJ110)</f>
        <v>1</v>
      </c>
      <c r="AP109" s="88" t="str">
        <f>IF(全车数据表!BK110="","",全车数据表!BK110)</f>
        <v/>
      </c>
      <c r="AQ109" s="88" t="str">
        <f>IF(全车数据表!BL110="","",全车数据表!BL110)</f>
        <v/>
      </c>
      <c r="AR109" s="88" t="str">
        <f>IF(全车数据表!BM110="","",全车数据表!BM110)</f>
        <v/>
      </c>
      <c r="AS109" s="88" t="str">
        <f>IF(全车数据表!BN110="","",全车数据表!BN110)</f>
        <v/>
      </c>
      <c r="AT109" s="88" t="str">
        <f>IF(全车数据表!BO110="","",全车数据表!BO110)</f>
        <v/>
      </c>
      <c r="AU109" s="88" t="str">
        <f>IF(全车数据表!BP110="","",全车数据表!BP110)</f>
        <v/>
      </c>
      <c r="AV109" s="88" t="str">
        <f>IF(全车数据表!BQ110="","",全车数据表!BQ110)</f>
        <v/>
      </c>
      <c r="AW109" s="88" t="str">
        <f>IF(全车数据表!BR110="","",全车数据表!BR110)</f>
        <v/>
      </c>
      <c r="AX109" s="88" t="str">
        <f>IF(全车数据表!BS110="","",全车数据表!BS110)</f>
        <v/>
      </c>
      <c r="AY109" s="88" t="str">
        <f>IF(全车数据表!BT110="","",全车数据表!BT110)</f>
        <v/>
      </c>
      <c r="AZ109" s="88">
        <f>IF(全车数据表!BU110="","",全车数据表!BU110)</f>
        <v>1</v>
      </c>
      <c r="BA109" s="88" t="str">
        <f>IF(全车数据表!BV110="","",全车数据表!BV110)</f>
        <v>法拉利</v>
      </c>
      <c r="BB109" s="91">
        <f>IF(全车数据表!AZ110="","",全车数据表!AZ110)</f>
        <v>1</v>
      </c>
    </row>
    <row r="110" spans="1:54">
      <c r="A110" s="88">
        <f>全车数据表!A111</f>
        <v>109</v>
      </c>
      <c r="B110" s="88" t="str">
        <f>全车数据表!B111</f>
        <v>Bentley Mulliner Bacalar</v>
      </c>
      <c r="C110" s="89" t="str">
        <f>全车数据表!E111</f>
        <v>bacalar</v>
      </c>
      <c r="D110" s="88" t="str">
        <f>IF(全车数据表!D111="","",全车数据表!D111)</f>
        <v>Bentley</v>
      </c>
      <c r="E110" s="89" t="str">
        <f>全车数据表!H111</f>
        <v>2.5</v>
      </c>
      <c r="F110" s="89" t="str">
        <f>全车数据表!C111</f>
        <v>Bacalar</v>
      </c>
      <c r="G110" s="89" t="str">
        <f>全车数据表!F111</f>
        <v>B</v>
      </c>
      <c r="H110" s="88">
        <f>LEN(全车数据表!G111)</f>
        <v>5</v>
      </c>
      <c r="I110" s="88" t="str">
        <f>VLOOKUP(全车数据表!P111,辅助计算!A:B,2,FALSE)</f>
        <v>rare</v>
      </c>
      <c r="J110" s="88">
        <f>全车数据表!Q111</f>
        <v>40</v>
      </c>
      <c r="K110" s="88">
        <f>全车数据表!R111</f>
        <v>12</v>
      </c>
      <c r="L110" s="88">
        <f>全车数据表!S111</f>
        <v>15</v>
      </c>
      <c r="M110" s="88">
        <f>全车数据表!T111</f>
        <v>21</v>
      </c>
      <c r="N110" s="88">
        <f>全车数据表!U111</f>
        <v>32</v>
      </c>
      <c r="O110" s="88">
        <f>全车数据表!V111</f>
        <v>0</v>
      </c>
      <c r="P110" s="88">
        <f>全车数据表!J111</f>
        <v>3340</v>
      </c>
      <c r="Q110" s="88">
        <f>全车数据表!K111</f>
        <v>329.6</v>
      </c>
      <c r="R110" s="88">
        <f>全车数据表!L111</f>
        <v>77.37</v>
      </c>
      <c r="S110" s="88">
        <f>全车数据表!M111</f>
        <v>67.2</v>
      </c>
      <c r="T110" s="88">
        <f>全车数据表!N111</f>
        <v>55.81</v>
      </c>
      <c r="U110" s="88">
        <f>全车数据表!O111</f>
        <v>0</v>
      </c>
      <c r="V110" s="88">
        <f>全车数据表!AL111</f>
        <v>3628000</v>
      </c>
      <c r="W110" s="88">
        <f>全车数据表!AM111</f>
        <v>20000</v>
      </c>
      <c r="X110" s="88">
        <f>全车数据表!AU111</f>
        <v>2400000</v>
      </c>
      <c r="Y110" s="88">
        <f>全车数据表!AV111</f>
        <v>6028000</v>
      </c>
      <c r="Z110" s="88">
        <f>全车数据表!AN111</f>
        <v>8</v>
      </c>
      <c r="AA110" s="88">
        <f>全车数据表!AP111</f>
        <v>5</v>
      </c>
      <c r="AB110" s="88">
        <f>全车数据表!AR111</f>
        <v>2</v>
      </c>
      <c r="AC110" s="88">
        <f>全车数据表!AW111</f>
        <v>343</v>
      </c>
      <c r="AD110" s="88">
        <f>全车数据表!AX111</f>
        <v>0</v>
      </c>
      <c r="AE110" s="88">
        <f>全车数据表!AY111</f>
        <v>442</v>
      </c>
      <c r="AF110" s="88" t="str">
        <f>IF(全车数据表!BA111="","",全车数据表!BA111)</f>
        <v>通行证</v>
      </c>
      <c r="AG110" s="88" t="str">
        <f>IF(全车数据表!BB111="","",全车数据表!BB111)</f>
        <v/>
      </c>
      <c r="AH110" s="88" t="str">
        <f>IF(全车数据表!BC111="","",全车数据表!BC111)</f>
        <v/>
      </c>
      <c r="AI110" s="88" t="str">
        <f>IF(全车数据表!BD111="","",全车数据表!BD111)</f>
        <v/>
      </c>
      <c r="AJ110" s="88" t="str">
        <f>IF(全车数据表!BE111="","",全车数据表!BE111)</f>
        <v/>
      </c>
      <c r="AK110" s="88" t="str">
        <f>IF(全车数据表!BF111="","",全车数据表!BF111)</f>
        <v/>
      </c>
      <c r="AL110" s="88" t="str">
        <f>IF(全车数据表!BG111="","",全车数据表!BG111)</f>
        <v/>
      </c>
      <c r="AM110" s="88">
        <f>IF(全车数据表!BH111="","",全车数据表!BH111)</f>
        <v>1</v>
      </c>
      <c r="AN110" s="88" t="str">
        <f>IF(全车数据表!BI111="","",全车数据表!BI111)</f>
        <v/>
      </c>
      <c r="AO110" s="88">
        <f>IF(全车数据表!BJ111="","",全车数据表!BJ111)</f>
        <v>1</v>
      </c>
      <c r="AP110" s="88" t="str">
        <f>IF(全车数据表!BK111="","",全车数据表!BK111)</f>
        <v/>
      </c>
      <c r="AQ110" s="88" t="str">
        <f>IF(全车数据表!BL111="","",全车数据表!BL111)</f>
        <v/>
      </c>
      <c r="AR110" s="88" t="str">
        <f>IF(全车数据表!BM111="","",全车数据表!BM111)</f>
        <v/>
      </c>
      <c r="AS110" s="88" t="str">
        <f>IF(全车数据表!BN111="","",全车数据表!BN111)</f>
        <v/>
      </c>
      <c r="AT110" s="88" t="str">
        <f>IF(全车数据表!BO111="","",全车数据表!BO111)</f>
        <v/>
      </c>
      <c r="AU110" s="88">
        <f>IF(全车数据表!BP111="","",全车数据表!BP111)</f>
        <v>1</v>
      </c>
      <c r="AV110" s="88" t="str">
        <f>IF(全车数据表!BQ111="","",全车数据表!BQ111)</f>
        <v/>
      </c>
      <c r="AW110" s="88" t="str">
        <f>IF(全车数据表!BR111="","",全车数据表!BR111)</f>
        <v/>
      </c>
      <c r="AX110" s="88" t="str">
        <f>IF(全车数据表!BS111="","",全车数据表!BS111)</f>
        <v>无顶</v>
      </c>
      <c r="AY110" s="88" t="str">
        <f>IF(全车数据表!BT111="","",全车数据表!BT111)</f>
        <v/>
      </c>
      <c r="AZ110" s="88">
        <f>IF(全车数据表!BU111="","",全车数据表!BU111)</f>
        <v>1</v>
      </c>
      <c r="BA110" s="88" t="str">
        <f>IF(全车数据表!BV111="","",全车数据表!BV111)</f>
        <v>宾利</v>
      </c>
      <c r="BB110" s="91" t="str">
        <f>IF(全车数据表!AZ111="","",全车数据表!AZ111)</f>
        <v/>
      </c>
    </row>
    <row r="111" spans="1:54">
      <c r="A111" s="88">
        <f>全车数据表!A112</f>
        <v>110</v>
      </c>
      <c r="B111" s="88" t="str">
        <f>全车数据表!B112</f>
        <v>Ferrari F40</v>
      </c>
      <c r="C111" s="89" t="str">
        <f>全车数据表!E112</f>
        <v>f40</v>
      </c>
      <c r="D111" s="88" t="str">
        <f>IF(全车数据表!D112="","",全车数据表!D112)</f>
        <v>Ferrari</v>
      </c>
      <c r="E111" s="89" t="str">
        <f>全车数据表!H112</f>
        <v>2.6</v>
      </c>
      <c r="F111" s="89" t="str">
        <f>全车数据表!C112</f>
        <v>F40</v>
      </c>
      <c r="G111" s="89" t="str">
        <f>全车数据表!F112</f>
        <v>B</v>
      </c>
      <c r="H111" s="88">
        <f>LEN(全车数据表!G112)</f>
        <v>5</v>
      </c>
      <c r="I111" s="88" t="str">
        <f>VLOOKUP(全车数据表!P112,辅助计算!A:B,2,FALSE)</f>
        <v>rare</v>
      </c>
      <c r="J111" s="88">
        <f>全车数据表!Q112</f>
        <v>40</v>
      </c>
      <c r="K111" s="88">
        <f>全车数据表!R112</f>
        <v>12</v>
      </c>
      <c r="L111" s="88">
        <f>全车数据表!S112</f>
        <v>15</v>
      </c>
      <c r="M111" s="88">
        <f>全车数据表!T112</f>
        <v>21</v>
      </c>
      <c r="N111" s="88">
        <f>全车数据表!U112</f>
        <v>32</v>
      </c>
      <c r="O111" s="88">
        <f>全车数据表!V112</f>
        <v>0</v>
      </c>
      <c r="P111" s="88">
        <f>全车数据表!J112</f>
        <v>3343</v>
      </c>
      <c r="Q111" s="88">
        <f>全车数据表!K112</f>
        <v>334.1</v>
      </c>
      <c r="R111" s="88">
        <f>全车数据表!L112</f>
        <v>72.87</v>
      </c>
      <c r="S111" s="88">
        <f>全车数据表!M112</f>
        <v>69.3</v>
      </c>
      <c r="T111" s="88">
        <f>全车数据表!N112</f>
        <v>63.45</v>
      </c>
      <c r="U111" s="88">
        <f>全车数据表!O112</f>
        <v>0</v>
      </c>
      <c r="V111" s="88">
        <f>全车数据表!AL112</f>
        <v>3628000</v>
      </c>
      <c r="W111" s="88">
        <f>全车数据表!AM112</f>
        <v>20000</v>
      </c>
      <c r="X111" s="88">
        <f>全车数据表!AU112</f>
        <v>2400000</v>
      </c>
      <c r="Y111" s="88">
        <f>全车数据表!AV112</f>
        <v>6028000</v>
      </c>
      <c r="Z111" s="88">
        <f>全车数据表!AN112</f>
        <v>8</v>
      </c>
      <c r="AA111" s="88">
        <f>全车数据表!AP112</f>
        <v>5</v>
      </c>
      <c r="AB111" s="88">
        <f>全车数据表!AR112</f>
        <v>2</v>
      </c>
      <c r="AC111" s="88">
        <f>全车数据表!AW112</f>
        <v>348</v>
      </c>
      <c r="AD111" s="88">
        <f>全车数据表!AX112</f>
        <v>0</v>
      </c>
      <c r="AE111" s="88">
        <f>全车数据表!AY112</f>
        <v>450</v>
      </c>
      <c r="AF111" s="88" t="str">
        <f>IF(全车数据表!BA112="","",全车数据表!BA112)</f>
        <v>寻车</v>
      </c>
      <c r="AG111" s="88" t="str">
        <f>IF(全车数据表!BB112="","",全车数据表!BB112)</f>
        <v/>
      </c>
      <c r="AH111" s="88" t="str">
        <f>IF(全车数据表!BC112="","",全车数据表!BC112)</f>
        <v/>
      </c>
      <c r="AI111" s="88" t="str">
        <f>IF(全车数据表!BD112="","",全车数据表!BD112)</f>
        <v/>
      </c>
      <c r="AJ111" s="88" t="str">
        <f>IF(全车数据表!BE112="","",全车数据表!BE112)</f>
        <v/>
      </c>
      <c r="AK111" s="88" t="str">
        <f>IF(全车数据表!BF112="","",全车数据表!BF112)</f>
        <v/>
      </c>
      <c r="AL111" s="88">
        <f>IF(全车数据表!BG112="","",全车数据表!BG112)</f>
        <v>1</v>
      </c>
      <c r="AM111" s="88" t="str">
        <f>IF(全车数据表!BH112="","",全车数据表!BH112)</f>
        <v/>
      </c>
      <c r="AN111" s="88" t="str">
        <f>IF(全车数据表!BI112="","",全车数据表!BI112)</f>
        <v/>
      </c>
      <c r="AO111" s="88">
        <f>IF(全车数据表!BJ112="","",全车数据表!BJ112)</f>
        <v>1</v>
      </c>
      <c r="AP111" s="88" t="str">
        <f>IF(全车数据表!BK112="","",全车数据表!BK112)</f>
        <v/>
      </c>
      <c r="AQ111" s="88" t="str">
        <f>IF(全车数据表!BL112="","",全车数据表!BL112)</f>
        <v/>
      </c>
      <c r="AR111" s="88" t="str">
        <f>IF(全车数据表!BM112="","",全车数据表!BM112)</f>
        <v/>
      </c>
      <c r="AS111" s="88" t="str">
        <f>IF(全车数据表!BN112="","",全车数据表!BN112)</f>
        <v/>
      </c>
      <c r="AT111" s="88" t="str">
        <f>IF(全车数据表!BO112="","",全车数据表!BO112)</f>
        <v/>
      </c>
      <c r="AU111" s="88" t="str">
        <f>IF(全车数据表!BP112="","",全车数据表!BP112)</f>
        <v/>
      </c>
      <c r="AV111" s="88" t="str">
        <f>IF(全车数据表!BQ112="","",全车数据表!BQ112)</f>
        <v/>
      </c>
      <c r="AW111" s="88" t="str">
        <f>IF(全车数据表!BR112="","",全车数据表!BR112)</f>
        <v/>
      </c>
      <c r="AX111" s="88" t="str">
        <f>IF(全车数据表!BS112="","",全车数据表!BS112)</f>
        <v/>
      </c>
      <c r="AY111" s="88" t="str">
        <f>IF(全车数据表!BT112="","",全车数据表!BT112)</f>
        <v/>
      </c>
      <c r="AZ111" s="88" t="str">
        <f>IF(全车数据表!BU112="","",全车数据表!BU112)</f>
        <v/>
      </c>
      <c r="BA111" s="88" t="str">
        <f>IF(全车数据表!BV112="","",全车数据表!BV112)</f>
        <v>法拉利</v>
      </c>
      <c r="BB111" s="91" t="str">
        <f>IF(全车数据表!AZ112="","",全车数据表!AZ112)</f>
        <v/>
      </c>
    </row>
    <row r="112" spans="1:54">
      <c r="A112" s="88">
        <f>全车数据表!A113</f>
        <v>111</v>
      </c>
      <c r="B112" s="88" t="str">
        <f>全车数据表!B113</f>
        <v>ATS Automobili Corsa RRTurbo🔑</v>
      </c>
      <c r="C112" s="89" t="str">
        <f>全车数据表!E113</f>
        <v>rrturbo</v>
      </c>
      <c r="D112" s="88" t="str">
        <f>IF(全车数据表!D113="","",全车数据表!D113)</f>
        <v>ATS Automobili</v>
      </c>
      <c r="E112" s="89" t="str">
        <f>全车数据表!H113</f>
        <v>2.9</v>
      </c>
      <c r="F112" s="89" t="str">
        <f>全车数据表!C113</f>
        <v>RRTurbo</v>
      </c>
      <c r="G112" s="89" t="str">
        <f>全车数据表!F113</f>
        <v>B</v>
      </c>
      <c r="H112" s="88">
        <f>LEN(全车数据表!G113)</f>
        <v>4</v>
      </c>
      <c r="I112" s="88" t="str">
        <f>VLOOKUP(全车数据表!P113,辅助计算!A:B,2,FALSE)</f>
        <v>rare</v>
      </c>
      <c r="J112" s="88" t="str">
        <f>全车数据表!Q113</f>
        <v>🔑</v>
      </c>
      <c r="K112" s="88">
        <f>全车数据表!R113</f>
        <v>38</v>
      </c>
      <c r="L112" s="88">
        <f>全车数据表!S113</f>
        <v>48</v>
      </c>
      <c r="M112" s="88">
        <f>全车数据表!T113</f>
        <v>58</v>
      </c>
      <c r="N112" s="88">
        <f>全车数据表!U113</f>
        <v>0</v>
      </c>
      <c r="O112" s="88">
        <f>全车数据表!V113</f>
        <v>0</v>
      </c>
      <c r="P112" s="88">
        <f>全车数据表!J113</f>
        <v>3389</v>
      </c>
      <c r="Q112" s="88">
        <f>全车数据表!K113</f>
        <v>322.3</v>
      </c>
      <c r="R112" s="88">
        <f>全车数据表!L113</f>
        <v>87.54</v>
      </c>
      <c r="S112" s="88">
        <f>全车数据表!M113</f>
        <v>68.39</v>
      </c>
      <c r="T112" s="88">
        <f>全车数据表!N113</f>
        <v>45.94</v>
      </c>
      <c r="U112" s="88">
        <f>全车数据表!O113</f>
        <v>0</v>
      </c>
      <c r="V112" s="88">
        <f>全车数据表!AL113</f>
        <v>3627000</v>
      </c>
      <c r="W112" s="88">
        <f>全车数据表!AM113</f>
        <v>20000</v>
      </c>
      <c r="X112" s="88">
        <f>全车数据表!AU113</f>
        <v>2080000</v>
      </c>
      <c r="Y112" s="88">
        <f>全车数据表!AV113</f>
        <v>5707000</v>
      </c>
      <c r="Z112" s="88">
        <f>全车数据表!AN113</f>
        <v>6</v>
      </c>
      <c r="AA112" s="88">
        <f>全车数据表!AP113</f>
        <v>4</v>
      </c>
      <c r="AB112" s="88">
        <f>全车数据表!AR113</f>
        <v>2</v>
      </c>
      <c r="AC112" s="88">
        <f>全车数据表!AW113</f>
        <v>336</v>
      </c>
      <c r="AD112" s="88">
        <f>全车数据表!AX113</f>
        <v>0</v>
      </c>
      <c r="AE112" s="88">
        <f>全车数据表!AY113</f>
        <v>430</v>
      </c>
      <c r="AF112" s="88" t="str">
        <f>IF(全车数据表!BA113="","",全车数据表!BA113)</f>
        <v>惊艳亮相</v>
      </c>
      <c r="AG112" s="88" t="str">
        <f>IF(全车数据表!BB113="","",全车数据表!BB113)</f>
        <v/>
      </c>
      <c r="AH112" s="88" t="str">
        <f>IF(全车数据表!BC113="","",全车数据表!BC113)</f>
        <v/>
      </c>
      <c r="AI112" s="88" t="str">
        <f>IF(全车数据表!BD113="","",全车数据表!BD113)</f>
        <v/>
      </c>
      <c r="AJ112" s="88" t="str">
        <f>IF(全车数据表!BE113="","",全车数据表!BE113)</f>
        <v/>
      </c>
      <c r="AK112" s="88" t="str">
        <f>IF(全车数据表!BF113="","",全车数据表!BF113)</f>
        <v/>
      </c>
      <c r="AL112" s="88" t="str">
        <f>IF(全车数据表!BG113="","",全车数据表!BG113)</f>
        <v/>
      </c>
      <c r="AM112" s="88" t="str">
        <f>IF(全车数据表!BH113="","",全车数据表!BH113)</f>
        <v/>
      </c>
      <c r="AN112" s="88">
        <f>IF(全车数据表!BI113="","",全车数据表!BI113)</f>
        <v>1</v>
      </c>
      <c r="AO112" s="88" t="str">
        <f>IF(全车数据表!BJ113="","",全车数据表!BJ113)</f>
        <v/>
      </c>
      <c r="AP112" s="88" t="str">
        <f>IF(全车数据表!BK113="","",全车数据表!BK113)</f>
        <v/>
      </c>
      <c r="AQ112" s="88" t="str">
        <f>IF(全车数据表!BL113="","",全车数据表!BL113)</f>
        <v/>
      </c>
      <c r="AR112" s="88" t="str">
        <f>IF(全车数据表!BM113="","",全车数据表!BM113)</f>
        <v/>
      </c>
      <c r="AS112" s="88" t="str">
        <f>IF(全车数据表!BN113="","",全车数据表!BN113)</f>
        <v/>
      </c>
      <c r="AT112" s="88">
        <f>IF(全车数据表!BO113="","",全车数据表!BO113)</f>
        <v>1</v>
      </c>
      <c r="AU112" s="88" t="str">
        <f>IF(全车数据表!BP113="","",全车数据表!BP113)</f>
        <v/>
      </c>
      <c r="AV112" s="88" t="str">
        <f>IF(全车数据表!BQ113="","",全车数据表!BQ113)</f>
        <v>1款</v>
      </c>
      <c r="AW112" s="88" t="str">
        <f>IF(全车数据表!BR113="","",全车数据表!BR113)</f>
        <v/>
      </c>
      <c r="AX112" s="88" t="str">
        <f>IF(全车数据表!BS113="","",全车数据表!BS113)</f>
        <v/>
      </c>
      <c r="AY112" s="88" t="str">
        <f>IF(全车数据表!BT113="","",全车数据表!BT113)</f>
        <v/>
      </c>
      <c r="AZ112" s="88" t="str">
        <f>IF(全车数据表!BU113="","",全车数据表!BU113)</f>
        <v/>
      </c>
      <c r="BA112" s="88" t="str">
        <f>IF(全车数据表!BV113="","",全车数据表!BV113)</f>
        <v/>
      </c>
      <c r="BB112" s="91" t="str">
        <f>IF(全车数据表!AZ113="","",全车数据表!AZ113)</f>
        <v/>
      </c>
    </row>
    <row r="113" spans="1:54">
      <c r="A113" s="88">
        <f>全车数据表!A114</f>
        <v>112</v>
      </c>
      <c r="B113" s="88" t="str">
        <f>全车数据表!B114</f>
        <v>Mercedes-Benz SLR McLaren</v>
      </c>
      <c r="C113" s="89" t="str">
        <f>全车数据表!E114</f>
        <v>slr</v>
      </c>
      <c r="D113" s="88" t="str">
        <f>IF(全车数据表!D114="","",全车数据表!D114)</f>
        <v>Mercedes-Benz</v>
      </c>
      <c r="E113" s="89" t="str">
        <f>全车数据表!H114</f>
        <v>1.7</v>
      </c>
      <c r="F113" s="89" t="str">
        <f>全车数据表!C114</f>
        <v>SLR</v>
      </c>
      <c r="G113" s="89" t="str">
        <f>全车数据表!F114</f>
        <v>B</v>
      </c>
      <c r="H113" s="88">
        <f>LEN(全车数据表!G114)</f>
        <v>5</v>
      </c>
      <c r="I113" s="88" t="str">
        <f>VLOOKUP(全车数据表!P114,辅助计算!A:B,2,FALSE)</f>
        <v>rare</v>
      </c>
      <c r="J113" s="88">
        <f>全车数据表!Q114</f>
        <v>40</v>
      </c>
      <c r="K113" s="88">
        <f>全车数据表!R114</f>
        <v>12</v>
      </c>
      <c r="L113" s="88">
        <f>全车数据表!S114</f>
        <v>15</v>
      </c>
      <c r="M113" s="88">
        <f>全车数据表!T114</f>
        <v>21</v>
      </c>
      <c r="N113" s="88">
        <f>全车数据表!U114</f>
        <v>32</v>
      </c>
      <c r="O113" s="88">
        <f>全车数据表!V114</f>
        <v>0</v>
      </c>
      <c r="P113" s="88">
        <f>全车数据表!J114</f>
        <v>3389</v>
      </c>
      <c r="Q113" s="88">
        <f>全车数据表!K114</f>
        <v>352.9</v>
      </c>
      <c r="R113" s="88">
        <f>全车数据表!L114</f>
        <v>78.180000000000007</v>
      </c>
      <c r="S113" s="88">
        <f>全车数据表!M114</f>
        <v>66.59</v>
      </c>
      <c r="T113" s="88">
        <f>全车数据表!N114</f>
        <v>79.56</v>
      </c>
      <c r="U113" s="88">
        <f>全车数据表!O114</f>
        <v>9.8170000000000002</v>
      </c>
      <c r="V113" s="88">
        <f>全车数据表!AL114</f>
        <v>3628000</v>
      </c>
      <c r="W113" s="88">
        <f>全车数据表!AM114</f>
        <v>20000</v>
      </c>
      <c r="X113" s="88">
        <f>全车数据表!AU114</f>
        <v>2400000</v>
      </c>
      <c r="Y113" s="88">
        <f>全车数据表!AV114</f>
        <v>6028000</v>
      </c>
      <c r="Z113" s="88">
        <f>全车数据表!AN114</f>
        <v>8</v>
      </c>
      <c r="AA113" s="88">
        <f>全车数据表!AP114</f>
        <v>5</v>
      </c>
      <c r="AB113" s="88">
        <f>全车数据表!AR114</f>
        <v>2</v>
      </c>
      <c r="AC113" s="88">
        <f>全车数据表!AW114</f>
        <v>367</v>
      </c>
      <c r="AD113" s="88">
        <f>全车数据表!AX114</f>
        <v>0</v>
      </c>
      <c r="AE113" s="88">
        <f>全车数据表!AY114</f>
        <v>483</v>
      </c>
      <c r="AF113" s="88" t="str">
        <f>IF(全车数据表!BA114="","",全车数据表!BA114)</f>
        <v>旧版寻车</v>
      </c>
      <c r="AG113" s="88" t="str">
        <f>IF(全车数据表!BB114="","",全车数据表!BB114)</f>
        <v/>
      </c>
      <c r="AH113" s="88" t="str">
        <f>IF(全车数据表!BC114="","",全车数据表!BC114)</f>
        <v/>
      </c>
      <c r="AI113" s="88" t="str">
        <f>IF(全车数据表!BD114="","",全车数据表!BD114)</f>
        <v/>
      </c>
      <c r="AJ113" s="88" t="str">
        <f>IF(全车数据表!BE114="","",全车数据表!BE114)</f>
        <v/>
      </c>
      <c r="AK113" s="88" t="str">
        <f>IF(全车数据表!BF114="","",全车数据表!BF114)</f>
        <v/>
      </c>
      <c r="AL113" s="88" t="str">
        <f>IF(全车数据表!BG114="","",全车数据表!BG114)</f>
        <v/>
      </c>
      <c r="AM113" s="88" t="str">
        <f>IF(全车数据表!BH114="","",全车数据表!BH114)</f>
        <v/>
      </c>
      <c r="AN113" s="88" t="str">
        <f>IF(全车数据表!BI114="","",全车数据表!BI114)</f>
        <v/>
      </c>
      <c r="AO113" s="88" t="str">
        <f>IF(全车数据表!BJ114="","",全车数据表!BJ114)</f>
        <v/>
      </c>
      <c r="AP113" s="88" t="str">
        <f>IF(全车数据表!BK114="","",全车数据表!BK114)</f>
        <v/>
      </c>
      <c r="AQ113" s="88" t="str">
        <f>IF(全车数据表!BL114="","",全车数据表!BL114)</f>
        <v/>
      </c>
      <c r="AR113" s="88" t="str">
        <f>IF(全车数据表!BM114="","",全车数据表!BM114)</f>
        <v/>
      </c>
      <c r="AS113" s="88" t="str">
        <f>IF(全车数据表!BN114="","",全车数据表!BN114)</f>
        <v/>
      </c>
      <c r="AT113" s="88" t="str">
        <f>IF(全车数据表!BO114="","",全车数据表!BO114)</f>
        <v/>
      </c>
      <c r="AU113" s="88">
        <f>IF(全车数据表!BP114="","",全车数据表!BP114)</f>
        <v>1</v>
      </c>
      <c r="AV113" s="88" t="str">
        <f>IF(全车数据表!BQ114="","",全车数据表!BQ114)</f>
        <v>2款</v>
      </c>
      <c r="AW113" s="88" t="str">
        <f>IF(全车数据表!BR114="","",全车数据表!BR114)</f>
        <v/>
      </c>
      <c r="AX113" s="88" t="str">
        <f>IF(全车数据表!BS114="","",全车数据表!BS114)</f>
        <v>可开合</v>
      </c>
      <c r="AY113" s="88" t="str">
        <f>IF(全车数据表!BT114="","",全车数据表!BT114)</f>
        <v/>
      </c>
      <c r="AZ113" s="88" t="str">
        <f>IF(全车数据表!BU114="","",全车数据表!BU114)</f>
        <v/>
      </c>
      <c r="BA113" s="88" t="str">
        <f>IF(全车数据表!BV114="","",全车数据表!BV114)</f>
        <v>奔驰</v>
      </c>
      <c r="BB113" s="91" t="str">
        <f>IF(全车数据表!AZ114="","",全车数据表!AZ114)</f>
        <v/>
      </c>
    </row>
    <row r="114" spans="1:54">
      <c r="A114" s="88">
        <f>全车数据表!A115</f>
        <v>113</v>
      </c>
      <c r="B114" s="88" t="str">
        <f>全车数据表!B115</f>
        <v>Kepler Motion</v>
      </c>
      <c r="C114" s="89" t="str">
        <f>全车数据表!E115</f>
        <v>motion</v>
      </c>
      <c r="D114" s="88" t="str">
        <f>IF(全车数据表!D115="","",全车数据表!D115)</f>
        <v>Kepler</v>
      </c>
      <c r="E114" s="89" t="str">
        <f>全车数据表!H115</f>
        <v>4.1</v>
      </c>
      <c r="F114" s="89" t="str">
        <f>全车数据表!C115</f>
        <v>开普勒</v>
      </c>
      <c r="G114" s="89" t="str">
        <f>全车数据表!F115</f>
        <v>B</v>
      </c>
      <c r="H114" s="88">
        <f>LEN(全车数据表!G115)</f>
        <v>5</v>
      </c>
      <c r="I114" s="88" t="str">
        <f>VLOOKUP(全车数据表!P115,辅助计算!A:B,2,FALSE)</f>
        <v>epic</v>
      </c>
      <c r="J114" s="88">
        <f>全车数据表!Q115</f>
        <v>40</v>
      </c>
      <c r="K114" s="88">
        <f>全车数据表!R115</f>
        <v>30</v>
      </c>
      <c r="L114" s="88">
        <f>全车数据表!S115</f>
        <v>36</v>
      </c>
      <c r="M114" s="88">
        <f>全车数据表!T115</f>
        <v>40</v>
      </c>
      <c r="N114" s="88">
        <f>全车数据表!U115</f>
        <v>43</v>
      </c>
      <c r="O114" s="88">
        <f>全车数据表!V115</f>
        <v>0</v>
      </c>
      <c r="P114" s="88">
        <f>全车数据表!J115</f>
        <v>3393</v>
      </c>
      <c r="Q114" s="88">
        <f>全车数据表!K115</f>
        <v>338.7</v>
      </c>
      <c r="R114" s="88">
        <f>全车数据表!L115</f>
        <v>86.54</v>
      </c>
      <c r="S114" s="88">
        <f>全车数据表!M115</f>
        <v>48.81</v>
      </c>
      <c r="T114" s="88">
        <f>全车数据表!N115</f>
        <v>61.41</v>
      </c>
      <c r="U114" s="88">
        <f>全车数据表!O115</f>
        <v>0</v>
      </c>
      <c r="V114" s="88">
        <f>全车数据表!AL115</f>
        <v>4804000</v>
      </c>
      <c r="W114" s="88">
        <f>全车数据表!AM115</f>
        <v>24000</v>
      </c>
      <c r="X114" s="88">
        <f>全车数据表!AU115</f>
        <v>2880000</v>
      </c>
      <c r="Y114" s="88">
        <f>全车数据表!AV115</f>
        <v>0</v>
      </c>
      <c r="Z114" s="88">
        <f>全车数据表!AN115</f>
        <v>8</v>
      </c>
      <c r="AA114" s="88">
        <f>全车数据表!AP115</f>
        <v>5</v>
      </c>
      <c r="AB114" s="88">
        <f>全车数据表!AR115</f>
        <v>2</v>
      </c>
      <c r="AC114" s="88">
        <f>全车数据表!AW115</f>
        <v>352</v>
      </c>
      <c r="AD114" s="88">
        <f>全车数据表!AX115</f>
        <v>0</v>
      </c>
      <c r="AE114" s="88">
        <f>全车数据表!AY115</f>
        <v>458</v>
      </c>
      <c r="AF114" s="88" t="str">
        <f>IF(全车数据表!BA115="","",全车数据表!BA115)</f>
        <v>通行证</v>
      </c>
      <c r="AG114" s="88" t="str">
        <f>IF(全车数据表!BB115="","",全车数据表!BB115)</f>
        <v/>
      </c>
      <c r="AH114" s="88" t="str">
        <f>IF(全车数据表!BC115="","",全车数据表!BC115)</f>
        <v/>
      </c>
      <c r="AI114" s="88" t="str">
        <f>IF(全车数据表!BD115="","",全车数据表!BD115)</f>
        <v/>
      </c>
      <c r="AJ114" s="88" t="str">
        <f>IF(全车数据表!BE115="","",全车数据表!BE115)</f>
        <v/>
      </c>
      <c r="AK114" s="88" t="str">
        <f>IF(全车数据表!BF115="","",全车数据表!BF115)</f>
        <v/>
      </c>
      <c r="AL114" s="88" t="str">
        <f>IF(全车数据表!BG115="","",全车数据表!BG115)</f>
        <v/>
      </c>
      <c r="AM114" s="88">
        <f>IF(全车数据表!BH115="","",全车数据表!BH115)</f>
        <v>1</v>
      </c>
      <c r="AN114" s="88" t="str">
        <f>IF(全车数据表!BI115="","",全车数据表!BI115)</f>
        <v/>
      </c>
      <c r="AO114" s="88" t="str">
        <f>IF(全车数据表!BJ115="","",全车数据表!BJ115)</f>
        <v/>
      </c>
      <c r="AP114" s="88" t="str">
        <f>IF(全车数据表!BK115="","",全车数据表!BK115)</f>
        <v/>
      </c>
      <c r="AQ114" s="88" t="str">
        <f>IF(全车数据表!BL115="","",全车数据表!BL115)</f>
        <v/>
      </c>
      <c r="AR114" s="88" t="str">
        <f>IF(全车数据表!BM115="","",全车数据表!BM115)</f>
        <v/>
      </c>
      <c r="AS114" s="88" t="str">
        <f>IF(全车数据表!BN115="","",全车数据表!BN115)</f>
        <v/>
      </c>
      <c r="AT114" s="88" t="str">
        <f>IF(全车数据表!BO115="","",全车数据表!BO115)</f>
        <v/>
      </c>
      <c r="AU114" s="88" t="str">
        <f>IF(全车数据表!BP115="","",全车数据表!BP115)</f>
        <v/>
      </c>
      <c r="AV114" s="88" t="str">
        <f>IF(全车数据表!BQ115="","",全车数据表!BQ115)</f>
        <v/>
      </c>
      <c r="AW114" s="88" t="str">
        <f>IF(全车数据表!BR115="","",全车数据表!BR115)</f>
        <v/>
      </c>
      <c r="AX114" s="88" t="str">
        <f>IF(全车数据表!BS115="","",全车数据表!BS115)</f>
        <v/>
      </c>
      <c r="AY114" s="88" t="str">
        <f>IF(全车数据表!BT115="","",全车数据表!BT115)</f>
        <v/>
      </c>
      <c r="AZ114" s="88" t="str">
        <f>IF(全车数据表!BU115="","",全车数据表!BU115)</f>
        <v/>
      </c>
      <c r="BA114" s="88" t="str">
        <f>IF(全车数据表!BV115="","",全车数据表!BV115)</f>
        <v/>
      </c>
      <c r="BB114" s="91" t="str">
        <f>IF(全车数据表!AZ115="","",全车数据表!AZ115)</f>
        <v/>
      </c>
    </row>
    <row r="115" spans="1:54">
      <c r="A115" s="88">
        <f>全车数据表!A116</f>
        <v>114</v>
      </c>
      <c r="B115" s="88" t="str">
        <f>全车数据表!B116</f>
        <v>Mazda Furai</v>
      </c>
      <c r="C115" s="89" t="str">
        <f>全车数据表!E116</f>
        <v>furai</v>
      </c>
      <c r="D115" s="88" t="str">
        <f>IF(全车数据表!D116="","",全车数据表!D116)</f>
        <v>Mazda</v>
      </c>
      <c r="E115" s="89" t="str">
        <f>全车数据表!H116</f>
        <v>2.1</v>
      </c>
      <c r="F115" s="89" t="str">
        <f>全车数据表!C116</f>
        <v>风籁</v>
      </c>
      <c r="G115" s="89" t="str">
        <f>全车数据表!F116</f>
        <v>B</v>
      </c>
      <c r="H115" s="88">
        <f>LEN(全车数据表!G116)</f>
        <v>5</v>
      </c>
      <c r="I115" s="88" t="str">
        <f>VLOOKUP(全车数据表!P116,辅助计算!A:B,2,FALSE)</f>
        <v>rare</v>
      </c>
      <c r="J115" s="88">
        <f>全车数据表!Q116</f>
        <v>40</v>
      </c>
      <c r="K115" s="88">
        <f>全车数据表!R116</f>
        <v>12</v>
      </c>
      <c r="L115" s="88">
        <f>全车数据表!S116</f>
        <v>15</v>
      </c>
      <c r="M115" s="88">
        <f>全车数据表!T116</f>
        <v>21</v>
      </c>
      <c r="N115" s="88">
        <f>全车数据表!U116</f>
        <v>32</v>
      </c>
      <c r="O115" s="88">
        <f>全车数据表!V116</f>
        <v>0</v>
      </c>
      <c r="P115" s="88">
        <f>全车数据表!J116</f>
        <v>3408</v>
      </c>
      <c r="Q115" s="88">
        <f>全车数据表!K116</f>
        <v>305.5</v>
      </c>
      <c r="R115" s="88">
        <f>全车数据表!L116</f>
        <v>80.95</v>
      </c>
      <c r="S115" s="88">
        <f>全车数据表!M116</f>
        <v>57.23</v>
      </c>
      <c r="T115" s="88">
        <f>全车数据表!N116</f>
        <v>49.67</v>
      </c>
      <c r="U115" s="88">
        <f>全车数据表!O116</f>
        <v>5.5</v>
      </c>
      <c r="V115" s="88">
        <f>全车数据表!AL116</f>
        <v>4648400</v>
      </c>
      <c r="W115" s="88">
        <f>全车数据表!AM116</f>
        <v>22500</v>
      </c>
      <c r="X115" s="88">
        <f>全车数据表!AU116</f>
        <v>2700000</v>
      </c>
      <c r="Y115" s="88">
        <f>全车数据表!AV116</f>
        <v>7348400</v>
      </c>
      <c r="Z115" s="88">
        <f>全车数据表!AN116</f>
        <v>8</v>
      </c>
      <c r="AA115" s="88">
        <f>全车数据表!AP116</f>
        <v>5</v>
      </c>
      <c r="AB115" s="88">
        <f>全车数据表!AR116</f>
        <v>2</v>
      </c>
      <c r="AC115" s="88">
        <f>全车数据表!AW116</f>
        <v>318</v>
      </c>
      <c r="AD115" s="88">
        <f>全车数据表!AX116</f>
        <v>0</v>
      </c>
      <c r="AE115" s="88">
        <f>全车数据表!AY116</f>
        <v>406</v>
      </c>
      <c r="AF115" s="88" t="str">
        <f>IF(全车数据表!BA116="","",全车数据表!BA116)</f>
        <v>寻车</v>
      </c>
      <c r="AG115" s="88" t="str">
        <f>IF(全车数据表!BB116="","",全车数据表!BB116)</f>
        <v/>
      </c>
      <c r="AH115" s="88" t="str">
        <f>IF(全车数据表!BC116="","",全车数据表!BC116)</f>
        <v/>
      </c>
      <c r="AI115" s="88" t="str">
        <f>IF(全车数据表!BD116="","",全车数据表!BD116)</f>
        <v/>
      </c>
      <c r="AJ115" s="88" t="str">
        <f>IF(全车数据表!BE116="","",全车数据表!BE116)</f>
        <v/>
      </c>
      <c r="AK115" s="88" t="str">
        <f>IF(全车数据表!BF116="","",全车数据表!BF116)</f>
        <v/>
      </c>
      <c r="AL115" s="88">
        <f>IF(全车数据表!BG116="","",全车数据表!BG116)</f>
        <v>1</v>
      </c>
      <c r="AM115" s="88" t="str">
        <f>IF(全车数据表!BH116="","",全车数据表!BH116)</f>
        <v/>
      </c>
      <c r="AN115" s="88" t="str">
        <f>IF(全车数据表!BI116="","",全车数据表!BI116)</f>
        <v/>
      </c>
      <c r="AO115" s="88" t="str">
        <f>IF(全车数据表!BJ116="","",全车数据表!BJ116)</f>
        <v/>
      </c>
      <c r="AP115" s="88" t="str">
        <f>IF(全车数据表!BK116="","",全车数据表!BK116)</f>
        <v/>
      </c>
      <c r="AQ115" s="88" t="str">
        <f>IF(全车数据表!BL116="","",全车数据表!BL116)</f>
        <v/>
      </c>
      <c r="AR115" s="88" t="str">
        <f>IF(全车数据表!BM116="","",全车数据表!BM116)</f>
        <v/>
      </c>
      <c r="AS115" s="88" t="str">
        <f>IF(全车数据表!BN116="","",全车数据表!BN116)</f>
        <v/>
      </c>
      <c r="AT115" s="88" t="str">
        <f>IF(全车数据表!BO116="","",全车数据表!BO116)</f>
        <v/>
      </c>
      <c r="AU115" s="88" t="str">
        <f>IF(全车数据表!BP116="","",全车数据表!BP116)</f>
        <v/>
      </c>
      <c r="AV115" s="88" t="str">
        <f>IF(全车数据表!BQ116="","",全车数据表!BQ116)</f>
        <v/>
      </c>
      <c r="AW115" s="88" t="str">
        <f>IF(全车数据表!BR116="","",全车数据表!BR116)</f>
        <v/>
      </c>
      <c r="AX115" s="88" t="str">
        <f>IF(全车数据表!BS116="","",全车数据表!BS116)</f>
        <v/>
      </c>
      <c r="AY115" s="88" t="str">
        <f>IF(全车数据表!BT116="","",全车数据表!BT116)</f>
        <v/>
      </c>
      <c r="AZ115" s="88" t="str">
        <f>IF(全车数据表!BU116="","",全车数据表!BU116)</f>
        <v/>
      </c>
      <c r="BA115" s="88" t="str">
        <f>IF(全车数据表!BV116="","",全车数据表!BV116)</f>
        <v>马自达 风籁 B霸</v>
      </c>
      <c r="BB115" s="91">
        <f>IF(全车数据表!AZ116="","",全车数据表!AZ116)</f>
        <v>8</v>
      </c>
    </row>
    <row r="116" spans="1:54">
      <c r="A116" s="88">
        <f>全车数据表!A117</f>
        <v>115</v>
      </c>
      <c r="B116" s="88" t="str">
        <f>全车数据表!B117</f>
        <v>Porsche 718 Cayman GT4 ClubSport🔑</v>
      </c>
      <c r="C116" s="89" t="str">
        <f>全车数据表!E117</f>
        <v>718gt4</v>
      </c>
      <c r="D116" s="88" t="str">
        <f>IF(全车数据表!D117="","",全车数据表!D117)</f>
        <v>Porsche</v>
      </c>
      <c r="E116" s="89" t="str">
        <f>全车数据表!H117</f>
        <v>2.3</v>
      </c>
      <c r="F116" s="89" t="str">
        <f>全车数据表!C117</f>
        <v>718GT4</v>
      </c>
      <c r="G116" s="89" t="str">
        <f>全车数据表!F117</f>
        <v>B</v>
      </c>
      <c r="H116" s="88">
        <f>LEN(全车数据表!G117)</f>
        <v>5</v>
      </c>
      <c r="I116" s="88" t="str">
        <f>VLOOKUP(全车数据表!P117,辅助计算!A:B,2,FALSE)</f>
        <v>rare</v>
      </c>
      <c r="J116" s="88" t="str">
        <f>全车数据表!Q117</f>
        <v>🔑</v>
      </c>
      <c r="K116" s="88">
        <f>全车数据表!R117</f>
        <v>25</v>
      </c>
      <c r="L116" s="88">
        <f>全车数据表!S117</f>
        <v>32</v>
      </c>
      <c r="M116" s="88">
        <f>全车数据表!T117</f>
        <v>36</v>
      </c>
      <c r="N116" s="88">
        <f>全车数据表!U117</f>
        <v>40</v>
      </c>
      <c r="O116" s="88">
        <f>全车数据表!V117</f>
        <v>0</v>
      </c>
      <c r="P116" s="88">
        <f>全车数据表!J117</f>
        <v>3415</v>
      </c>
      <c r="Q116" s="88">
        <f>全车数据表!K117</f>
        <v>314.7</v>
      </c>
      <c r="R116" s="88">
        <f>全车数据表!L117</f>
        <v>73.44</v>
      </c>
      <c r="S116" s="88">
        <f>全车数据表!M117</f>
        <v>87.23</v>
      </c>
      <c r="T116" s="88">
        <f>全车数据表!N117</f>
        <v>70.53</v>
      </c>
      <c r="U116" s="88">
        <f>全车数据表!O117</f>
        <v>0</v>
      </c>
      <c r="V116" s="88">
        <f>全车数据表!AL117</f>
        <v>4648400</v>
      </c>
      <c r="W116" s="88">
        <f>全车数据表!AM117</f>
        <v>22500</v>
      </c>
      <c r="X116" s="88">
        <f>全车数据表!AU117</f>
        <v>2700000</v>
      </c>
      <c r="Y116" s="88">
        <f>全车数据表!AV117</f>
        <v>7348400</v>
      </c>
      <c r="Z116" s="88">
        <f>全车数据表!AN117</f>
        <v>8</v>
      </c>
      <c r="AA116" s="88">
        <f>全车数据表!AP117</f>
        <v>5</v>
      </c>
      <c r="AB116" s="88">
        <f>全车数据表!AR117</f>
        <v>2</v>
      </c>
      <c r="AC116" s="88">
        <f>全车数据表!AW117</f>
        <v>328</v>
      </c>
      <c r="AD116" s="88">
        <f>全车数据表!AX117</f>
        <v>0</v>
      </c>
      <c r="AE116" s="88">
        <f>全车数据表!AY117</f>
        <v>418</v>
      </c>
      <c r="AF116" s="88" t="str">
        <f>IF(全车数据表!BA117="","",全车数据表!BA117)</f>
        <v>大奖赛</v>
      </c>
      <c r="AG116" s="88" t="str">
        <f>IF(全车数据表!BB117="","",全车数据表!BB117)</f>
        <v/>
      </c>
      <c r="AH116" s="88" t="str">
        <f>IF(全车数据表!BC117="","",全车数据表!BC117)</f>
        <v/>
      </c>
      <c r="AI116" s="88" t="str">
        <f>IF(全车数据表!BD117="","",全车数据表!BD117)</f>
        <v/>
      </c>
      <c r="AJ116" s="88" t="str">
        <f>IF(全车数据表!BE117="","",全车数据表!BE117)</f>
        <v/>
      </c>
      <c r="AK116" s="88" t="str">
        <f>IF(全车数据表!BF117="","",全车数据表!BF117)</f>
        <v/>
      </c>
      <c r="AL116" s="88" t="str">
        <f>IF(全车数据表!BG117="","",全车数据表!BG117)</f>
        <v/>
      </c>
      <c r="AM116" s="88" t="str">
        <f>IF(全车数据表!BH117="","",全车数据表!BH117)</f>
        <v/>
      </c>
      <c r="AN116" s="88">
        <f>IF(全车数据表!BI117="","",全车数据表!BI117)</f>
        <v>1</v>
      </c>
      <c r="AO116" s="88" t="str">
        <f>IF(全车数据表!BJ117="","",全车数据表!BJ117)</f>
        <v/>
      </c>
      <c r="AP116" s="88" t="str">
        <f>IF(全车数据表!BK117="","",全车数据表!BK117)</f>
        <v/>
      </c>
      <c r="AQ116" s="88" t="str">
        <f>IF(全车数据表!BL117="","",全车数据表!BL117)</f>
        <v/>
      </c>
      <c r="AR116" s="88">
        <f>IF(全车数据表!BM117="","",全车数据表!BM117)</f>
        <v>1</v>
      </c>
      <c r="AS116" s="88" t="str">
        <f>IF(全车数据表!BN117="","",全车数据表!BN117)</f>
        <v/>
      </c>
      <c r="AT116" s="88">
        <f>IF(全车数据表!BO117="","",全车数据表!BO117)</f>
        <v>1</v>
      </c>
      <c r="AU116" s="88">
        <f>IF(全车数据表!BP117="","",全车数据表!BP117)</f>
        <v>1</v>
      </c>
      <c r="AV116" s="88" t="str">
        <f>IF(全车数据表!BQ117="","",全车数据表!BQ117)</f>
        <v/>
      </c>
      <c r="AW116" s="88" t="str">
        <f>IF(全车数据表!BR117="","",全车数据表!BR117)</f>
        <v/>
      </c>
      <c r="AX116" s="88" t="str">
        <f>IF(全车数据表!BS117="","",全车数据表!BS117)</f>
        <v/>
      </c>
      <c r="AY116" s="88" t="str">
        <f>IF(全车数据表!BT117="","",全车数据表!BT117)</f>
        <v/>
      </c>
      <c r="AZ116" s="88" t="str">
        <f>IF(全车数据表!BU117="","",全车数据表!BU117)</f>
        <v/>
      </c>
      <c r="BA116" s="88" t="str">
        <f>IF(全车数据表!BV117="","",全车数据表!BV117)</f>
        <v>保时捷</v>
      </c>
      <c r="BB116" s="91" t="str">
        <f>IF(全车数据表!AZ117="","",全车数据表!AZ117)</f>
        <v/>
      </c>
    </row>
    <row r="117" spans="1:54">
      <c r="A117" s="88">
        <f>全车数据表!A118</f>
        <v>116</v>
      </c>
      <c r="B117" s="88" t="str">
        <f>全车数据表!B118</f>
        <v>Aston Martin DBS SuperLeggera</v>
      </c>
      <c r="C117" s="89" t="str">
        <f>全车数据表!E118</f>
        <v>dbs</v>
      </c>
      <c r="D117" s="88" t="str">
        <f>IF(全车数据表!D118="","",全车数据表!D118)</f>
        <v>Aston Martin</v>
      </c>
      <c r="E117" s="89" t="str">
        <f>全车数据表!H118</f>
        <v>2.2</v>
      </c>
      <c r="F117" s="89" t="str">
        <f>全车数据表!C118</f>
        <v>DBS</v>
      </c>
      <c r="G117" s="89" t="str">
        <f>全车数据表!F118</f>
        <v>B</v>
      </c>
      <c r="H117" s="88">
        <f>LEN(全车数据表!G118)</f>
        <v>5</v>
      </c>
      <c r="I117" s="88" t="str">
        <f>VLOOKUP(全车数据表!P118,辅助计算!A:B,2,FALSE)</f>
        <v>rare</v>
      </c>
      <c r="J117" s="88">
        <f>全车数据表!Q118</f>
        <v>40</v>
      </c>
      <c r="K117" s="88">
        <f>全车数据表!R118</f>
        <v>12</v>
      </c>
      <c r="L117" s="88">
        <f>全车数据表!S118</f>
        <v>15</v>
      </c>
      <c r="M117" s="88">
        <f>全车数据表!T118</f>
        <v>21</v>
      </c>
      <c r="N117" s="88">
        <f>全车数据表!U118</f>
        <v>32</v>
      </c>
      <c r="O117" s="88">
        <f>全车数据表!V118</f>
        <v>0</v>
      </c>
      <c r="P117" s="88">
        <f>全车数据表!J118</f>
        <v>3423</v>
      </c>
      <c r="Q117" s="88">
        <f>全车数据表!K118</f>
        <v>355.4</v>
      </c>
      <c r="R117" s="88">
        <f>全车数据表!L118</f>
        <v>79.16</v>
      </c>
      <c r="S117" s="88">
        <f>全车数据表!M118</f>
        <v>70.739999999999995</v>
      </c>
      <c r="T117" s="88">
        <f>全车数据表!N118</f>
        <v>73.88</v>
      </c>
      <c r="U117" s="88">
        <f>全车数据表!O118</f>
        <v>8</v>
      </c>
      <c r="V117" s="88">
        <f>全车数据表!AL118</f>
        <v>4648400</v>
      </c>
      <c r="W117" s="88">
        <f>全车数据表!AM118</f>
        <v>22500</v>
      </c>
      <c r="X117" s="88">
        <f>全车数据表!AU118</f>
        <v>2700000</v>
      </c>
      <c r="Y117" s="88">
        <f>全车数据表!AV118</f>
        <v>7348400</v>
      </c>
      <c r="Z117" s="88">
        <f>全车数据表!AN118</f>
        <v>8</v>
      </c>
      <c r="AA117" s="88">
        <f>全车数据表!AP118</f>
        <v>5</v>
      </c>
      <c r="AB117" s="88">
        <f>全车数据表!AR118</f>
        <v>2</v>
      </c>
      <c r="AC117" s="88">
        <f>全车数据表!AW118</f>
        <v>370</v>
      </c>
      <c r="AD117" s="88">
        <f>全车数据表!AX118</f>
        <v>0</v>
      </c>
      <c r="AE117" s="88">
        <f>全车数据表!AY118</f>
        <v>487</v>
      </c>
      <c r="AF117" s="88" t="str">
        <f>IF(全车数据表!BA118="","",全车数据表!BA118)</f>
        <v>寻车</v>
      </c>
      <c r="AG117" s="88" t="str">
        <f>IF(全车数据表!BB118="","",全车数据表!BB118)</f>
        <v/>
      </c>
      <c r="AH117" s="88" t="str">
        <f>IF(全车数据表!BC118="","",全车数据表!BC118)</f>
        <v/>
      </c>
      <c r="AI117" s="88" t="str">
        <f>IF(全车数据表!BD118="","",全车数据表!BD118)</f>
        <v/>
      </c>
      <c r="AJ117" s="88" t="str">
        <f>IF(全车数据表!BE118="","",全车数据表!BE118)</f>
        <v/>
      </c>
      <c r="AK117" s="88" t="str">
        <f>IF(全车数据表!BF118="","",全车数据表!BF118)</f>
        <v/>
      </c>
      <c r="AL117" s="88">
        <f>IF(全车数据表!BG118="","",全车数据表!BG118)</f>
        <v>1</v>
      </c>
      <c r="AM117" s="88" t="str">
        <f>IF(全车数据表!BH118="","",全车数据表!BH118)</f>
        <v/>
      </c>
      <c r="AN117" s="88" t="str">
        <f>IF(全车数据表!BI118="","",全车数据表!BI118)</f>
        <v/>
      </c>
      <c r="AO117" s="88" t="str">
        <f>IF(全车数据表!BJ118="","",全车数据表!BJ118)</f>
        <v/>
      </c>
      <c r="AP117" s="88" t="str">
        <f>IF(全车数据表!BK118="","",全车数据表!BK118)</f>
        <v/>
      </c>
      <c r="AQ117" s="88" t="str">
        <f>IF(全车数据表!BL118="","",全车数据表!BL118)</f>
        <v/>
      </c>
      <c r="AR117" s="88" t="str">
        <f>IF(全车数据表!BM118="","",全车数据表!BM118)</f>
        <v/>
      </c>
      <c r="AS117" s="88" t="str">
        <f>IF(全车数据表!BN118="","",全车数据表!BN118)</f>
        <v/>
      </c>
      <c r="AT117" s="88" t="str">
        <f>IF(全车数据表!BO118="","",全车数据表!BO118)</f>
        <v/>
      </c>
      <c r="AU117" s="88" t="str">
        <f>IF(全车数据表!BP118="","",全车数据表!BP118)</f>
        <v/>
      </c>
      <c r="AV117" s="88" t="str">
        <f>IF(全车数据表!BQ118="","",全车数据表!BQ118)</f>
        <v>1款</v>
      </c>
      <c r="AW117" s="88" t="str">
        <f>IF(全车数据表!BR118="","",全车数据表!BR118)</f>
        <v/>
      </c>
      <c r="AX117" s="88" t="str">
        <f>IF(全车数据表!BS118="","",全车数据表!BS118)</f>
        <v/>
      </c>
      <c r="AY117" s="88" t="str">
        <f>IF(全车数据表!BT118="","",全车数据表!BT118)</f>
        <v/>
      </c>
      <c r="AZ117" s="88" t="str">
        <f>IF(全车数据表!BU118="","",全车数据表!BU118)</f>
        <v/>
      </c>
      <c r="BA117" s="88" t="str">
        <f>IF(全车数据表!BV118="","",全车数据表!BV118)</f>
        <v>大鼻屎 阿斯顿马丁</v>
      </c>
      <c r="BB117" s="91" t="str">
        <f>IF(全车数据表!AZ118="","",全车数据表!AZ118)</f>
        <v/>
      </c>
    </row>
    <row r="118" spans="1:54">
      <c r="A118" s="88">
        <f>全车数据表!A119</f>
        <v>117</v>
      </c>
      <c r="B118" s="88" t="str">
        <f>全车数据表!B119</f>
        <v>McLaren GT🔑</v>
      </c>
      <c r="C118" s="89" t="str">
        <f>全车数据表!E119</f>
        <v>mclarengt</v>
      </c>
      <c r="D118" s="88" t="str">
        <f>IF(全车数据表!D119="","",全车数据表!D119)</f>
        <v>McLaren</v>
      </c>
      <c r="E118" s="89" t="str">
        <f>全车数据表!H119</f>
        <v>3.4</v>
      </c>
      <c r="F118" s="89" t="str">
        <f>全车数据表!C119</f>
        <v>迈凯伦GT</v>
      </c>
      <c r="G118" s="89" t="str">
        <f>全车数据表!F119</f>
        <v>B</v>
      </c>
      <c r="H118" s="88">
        <f>LEN(全车数据表!G119)</f>
        <v>5</v>
      </c>
      <c r="I118" s="88" t="str">
        <f>VLOOKUP(全车数据表!P119,辅助计算!A:B,2,FALSE)</f>
        <v>epic</v>
      </c>
      <c r="J118" s="88" t="str">
        <f>全车数据表!Q119</f>
        <v>🔑</v>
      </c>
      <c r="K118" s="88">
        <f>全车数据表!R119</f>
        <v>35</v>
      </c>
      <c r="L118" s="88">
        <f>全车数据表!S119</f>
        <v>40</v>
      </c>
      <c r="M118" s="88">
        <f>全车数据表!T119</f>
        <v>52</v>
      </c>
      <c r="N118" s="88">
        <f>全车数据表!U119</f>
        <v>70</v>
      </c>
      <c r="O118" s="88">
        <f>全车数据表!V119</f>
        <v>0</v>
      </c>
      <c r="P118" s="88">
        <f>全车数据表!J119</f>
        <v>3432</v>
      </c>
      <c r="Q118" s="88">
        <f>全车数据表!K119</f>
        <v>339.2</v>
      </c>
      <c r="R118" s="88">
        <f>全车数据表!L119</f>
        <v>80.97</v>
      </c>
      <c r="S118" s="88">
        <f>全车数据表!M119</f>
        <v>69.06</v>
      </c>
      <c r="T118" s="88">
        <f>全车数据表!N119</f>
        <v>57.25</v>
      </c>
      <c r="U118" s="88">
        <f>全车数据表!O119</f>
        <v>0</v>
      </c>
      <c r="V118" s="88">
        <f>全车数据表!AL119</f>
        <v>0</v>
      </c>
      <c r="W118" s="88">
        <f>全车数据表!AM119</f>
        <v>15000</v>
      </c>
      <c r="X118" s="88">
        <f>全车数据表!AU119</f>
        <v>1800000</v>
      </c>
      <c r="Y118" s="88">
        <f>全车数据表!AV119</f>
        <v>0</v>
      </c>
      <c r="Z118" s="88">
        <f>全车数据表!AN119</f>
        <v>8</v>
      </c>
      <c r="AA118" s="88">
        <f>全车数据表!AP119</f>
        <v>5</v>
      </c>
      <c r="AB118" s="88">
        <f>全车数据表!AR119</f>
        <v>2</v>
      </c>
      <c r="AC118" s="88">
        <f>全车数据表!AW119</f>
        <v>353</v>
      </c>
      <c r="AD118" s="88">
        <f>全车数据表!AX119</f>
        <v>0</v>
      </c>
      <c r="AE118" s="88">
        <f>全车数据表!AY119</f>
        <v>459</v>
      </c>
      <c r="AF118" s="88" t="str">
        <f>IF(全车数据表!BA119="","",全车数据表!BA119)</f>
        <v>大奖赛</v>
      </c>
      <c r="AG118" s="88" t="str">
        <f>IF(全车数据表!BB119="","",全车数据表!BB119)</f>
        <v/>
      </c>
      <c r="AH118" s="88" t="str">
        <f>IF(全车数据表!BC119="","",全车数据表!BC119)</f>
        <v/>
      </c>
      <c r="AI118" s="88" t="str">
        <f>IF(全车数据表!BD119="","",全车数据表!BD119)</f>
        <v/>
      </c>
      <c r="AJ118" s="88" t="str">
        <f>IF(全车数据表!BE119="","",全车数据表!BE119)</f>
        <v/>
      </c>
      <c r="AK118" s="88" t="str">
        <f>IF(全车数据表!BF119="","",全车数据表!BF119)</f>
        <v/>
      </c>
      <c r="AL118" s="88" t="str">
        <f>IF(全车数据表!BG119="","",全车数据表!BG119)</f>
        <v/>
      </c>
      <c r="AM118" s="88" t="str">
        <f>IF(全车数据表!BH119="","",全车数据表!BH119)</f>
        <v/>
      </c>
      <c r="AN118" s="88" t="str">
        <f>IF(全车数据表!BI119="","",全车数据表!BI119)</f>
        <v/>
      </c>
      <c r="AO118" s="88" t="str">
        <f>IF(全车数据表!BJ119="","",全车数据表!BJ119)</f>
        <v/>
      </c>
      <c r="AP118" s="88" t="str">
        <f>IF(全车数据表!BK119="","",全车数据表!BK119)</f>
        <v/>
      </c>
      <c r="AQ118" s="88" t="str">
        <f>IF(全车数据表!BL119="","",全车数据表!BL119)</f>
        <v/>
      </c>
      <c r="AR118" s="88">
        <f>IF(全车数据表!BM119="","",全车数据表!BM119)</f>
        <v>1</v>
      </c>
      <c r="AS118" s="88" t="str">
        <f>IF(全车数据表!BN119="","",全车数据表!BN119)</f>
        <v/>
      </c>
      <c r="AT118" s="88">
        <f>IF(全车数据表!BO119="","",全车数据表!BO119)</f>
        <v>1</v>
      </c>
      <c r="AU118" s="88" t="str">
        <f>IF(全车数据表!BP119="","",全车数据表!BP119)</f>
        <v/>
      </c>
      <c r="AV118" s="88" t="str">
        <f>IF(全车数据表!BQ119="","",全车数据表!BQ119)</f>
        <v>3款大奖赛贴纸</v>
      </c>
      <c r="AW118" s="88" t="str">
        <f>IF(全车数据表!BR119="","",全车数据表!BR119)</f>
        <v/>
      </c>
      <c r="AX118" s="88" t="str">
        <f>IF(全车数据表!BS119="","",全车数据表!BS119)</f>
        <v/>
      </c>
      <c r="AY118" s="88" t="str">
        <f>IF(全车数据表!BT119="","",全车数据表!BT119)</f>
        <v/>
      </c>
      <c r="AZ118" s="88" t="str">
        <f>IF(全车数据表!BU119="","",全车数据表!BU119)</f>
        <v/>
      </c>
      <c r="BA118" s="88" t="str">
        <f>IF(全车数据表!BV119="","",全车数据表!BV119)</f>
        <v>迈凯伦</v>
      </c>
      <c r="BB118" s="91" t="str">
        <f>IF(全车数据表!AZ119="","",全车数据表!AZ119)</f>
        <v/>
      </c>
    </row>
    <row r="119" spans="1:54">
      <c r="A119" s="88">
        <f>全车数据表!A120</f>
        <v>118</v>
      </c>
      <c r="B119" s="88" t="str">
        <f>全车数据表!B120</f>
        <v>Ferrari 599XX EVO🔑</v>
      </c>
      <c r="C119" s="89" t="str">
        <f>全车数据表!E120</f>
        <v>xxe</v>
      </c>
      <c r="D119" s="88" t="str">
        <f>IF(全车数据表!D120="","",全车数据表!D120)</f>
        <v>Ferrari</v>
      </c>
      <c r="E119" s="89" t="str">
        <f>全车数据表!H120</f>
        <v>2.6</v>
      </c>
      <c r="F119" s="89" t="str">
        <f>全车数据表!C120</f>
        <v>XXE</v>
      </c>
      <c r="G119" s="89" t="str">
        <f>全车数据表!F120</f>
        <v>B</v>
      </c>
      <c r="H119" s="88">
        <f>LEN(全车数据表!G120)</f>
        <v>5</v>
      </c>
      <c r="I119" s="88" t="str">
        <f>VLOOKUP(全车数据表!P120,辅助计算!A:B,2,FALSE)</f>
        <v>rare</v>
      </c>
      <c r="J119" s="88" t="str">
        <f>全车数据表!Q120</f>
        <v>🔑</v>
      </c>
      <c r="K119" s="88">
        <f>全车数据表!R120</f>
        <v>30</v>
      </c>
      <c r="L119" s="88">
        <f>全车数据表!S120</f>
        <v>40</v>
      </c>
      <c r="M119" s="88">
        <f>全车数据表!T120</f>
        <v>50</v>
      </c>
      <c r="N119" s="88">
        <f>全车数据表!U120</f>
        <v>60</v>
      </c>
      <c r="O119" s="88">
        <f>全车数据表!V120</f>
        <v>0</v>
      </c>
      <c r="P119" s="88">
        <f>全车数据表!J120</f>
        <v>3433</v>
      </c>
      <c r="Q119" s="88">
        <f>全车数据表!K120</f>
        <v>310.10000000000002</v>
      </c>
      <c r="R119" s="88">
        <f>全车数据表!L120</f>
        <v>80.97</v>
      </c>
      <c r="S119" s="88">
        <f>全车数据表!M120</f>
        <v>83.61</v>
      </c>
      <c r="T119" s="88">
        <f>全车数据表!N120</f>
        <v>70.81</v>
      </c>
      <c r="U119" s="88">
        <f>全车数据表!O120</f>
        <v>0</v>
      </c>
      <c r="V119" s="88">
        <f>全车数据表!AL120</f>
        <v>4648400</v>
      </c>
      <c r="W119" s="88">
        <f>全车数据表!AM120</f>
        <v>22500</v>
      </c>
      <c r="X119" s="88">
        <f>全车数据表!AU120</f>
        <v>2700000</v>
      </c>
      <c r="Y119" s="88">
        <f>全车数据表!AV120</f>
        <v>7348400</v>
      </c>
      <c r="Z119" s="88">
        <f>全车数据表!AN120</f>
        <v>8</v>
      </c>
      <c r="AA119" s="88">
        <f>全车数据表!AP120</f>
        <v>5</v>
      </c>
      <c r="AB119" s="88">
        <f>全车数据表!AR120</f>
        <v>2</v>
      </c>
      <c r="AC119" s="88">
        <f>全车数据表!AW120</f>
        <v>323</v>
      </c>
      <c r="AD119" s="88">
        <f>全车数据表!AX120</f>
        <v>0</v>
      </c>
      <c r="AE119" s="88">
        <f>全车数据表!AY120</f>
        <v>412</v>
      </c>
      <c r="AF119" s="88" t="str">
        <f>IF(全车数据表!BA120="","",全车数据表!BA120)</f>
        <v>大奖赛</v>
      </c>
      <c r="AG119" s="88" t="str">
        <f>IF(全车数据表!BB120="","",全车数据表!BB120)</f>
        <v/>
      </c>
      <c r="AH119" s="88" t="str">
        <f>IF(全车数据表!BC120="","",全车数据表!BC120)</f>
        <v/>
      </c>
      <c r="AI119" s="88" t="str">
        <f>IF(全车数据表!BD120="","",全车数据表!BD120)</f>
        <v/>
      </c>
      <c r="AJ119" s="88" t="str">
        <f>IF(全车数据表!BE120="","",全车数据表!BE120)</f>
        <v/>
      </c>
      <c r="AK119" s="88" t="str">
        <f>IF(全车数据表!BF120="","",全车数据表!BF120)</f>
        <v/>
      </c>
      <c r="AL119" s="88" t="str">
        <f>IF(全车数据表!BG120="","",全车数据表!BG120)</f>
        <v/>
      </c>
      <c r="AM119" s="88" t="str">
        <f>IF(全车数据表!BH120="","",全车数据表!BH120)</f>
        <v/>
      </c>
      <c r="AN119" s="88">
        <f>IF(全车数据表!BI120="","",全车数据表!BI120)</f>
        <v>1</v>
      </c>
      <c r="AO119" s="88" t="str">
        <f>IF(全车数据表!BJ120="","",全车数据表!BJ120)</f>
        <v/>
      </c>
      <c r="AP119" s="88" t="str">
        <f>IF(全车数据表!BK120="","",全车数据表!BK120)</f>
        <v/>
      </c>
      <c r="AQ119" s="88" t="str">
        <f>IF(全车数据表!BL120="","",全车数据表!BL120)</f>
        <v/>
      </c>
      <c r="AR119" s="88">
        <f>IF(全车数据表!BM120="","",全车数据表!BM120)</f>
        <v>1</v>
      </c>
      <c r="AS119" s="88" t="str">
        <f>IF(全车数据表!BN120="","",全车数据表!BN120)</f>
        <v/>
      </c>
      <c r="AT119" s="88">
        <f>IF(全车数据表!BO120="","",全车数据表!BO120)</f>
        <v>1</v>
      </c>
      <c r="AU119" s="88">
        <f>IF(全车数据表!BP120="","",全车数据表!BP120)</f>
        <v>1</v>
      </c>
      <c r="AV119" s="88" t="str">
        <f>IF(全车数据表!BQ120="","",全车数据表!BQ120)</f>
        <v/>
      </c>
      <c r="AW119" s="88" t="str">
        <f>IF(全车数据表!BR120="","",全车数据表!BR120)</f>
        <v/>
      </c>
      <c r="AX119" s="88" t="str">
        <f>IF(全车数据表!BS120="","",全车数据表!BS120)</f>
        <v/>
      </c>
      <c r="AY119" s="88" t="str">
        <f>IF(全车数据表!BT120="","",全车数据表!BT120)</f>
        <v/>
      </c>
      <c r="AZ119" s="88" t="str">
        <f>IF(全车数据表!BU120="","",全车数据表!BU120)</f>
        <v/>
      </c>
      <c r="BA119" s="88" t="str">
        <f>IF(全车数据表!BV120="","",全车数据表!BV120)</f>
        <v>法拉利</v>
      </c>
      <c r="BB119" s="91" t="str">
        <f>IF(全车数据表!AZ120="","",全车数据表!AZ120)</f>
        <v/>
      </c>
    </row>
    <row r="120" spans="1:54">
      <c r="A120" s="88">
        <f>全车数据表!A121</f>
        <v>119</v>
      </c>
      <c r="B120" s="88" t="str">
        <f>全车数据表!B121</f>
        <v>Drako GTE</v>
      </c>
      <c r="C120" s="89" t="str">
        <f>全车数据表!E121</f>
        <v>drakogte</v>
      </c>
      <c r="D120" s="88" t="str">
        <f>IF(全车数据表!D121="","",全车数据表!D121)</f>
        <v>Drako</v>
      </c>
      <c r="E120" s="89" t="str">
        <f>全车数据表!H121</f>
        <v>3.1</v>
      </c>
      <c r="F120" s="89" t="str">
        <f>全车数据表!C121</f>
        <v>德拉科GTE</v>
      </c>
      <c r="G120" s="89" t="str">
        <f>全车数据表!F121</f>
        <v>B</v>
      </c>
      <c r="H120" s="88">
        <f>LEN(全车数据表!G121)</f>
        <v>5</v>
      </c>
      <c r="I120" s="88" t="str">
        <f>VLOOKUP(全车数据表!P121,辅助计算!A:B,2,FALSE)</f>
        <v>rare</v>
      </c>
      <c r="J120" s="88">
        <f>全车数据表!Q121</f>
        <v>40</v>
      </c>
      <c r="K120" s="88">
        <f>全车数据表!R121</f>
        <v>30</v>
      </c>
      <c r="L120" s="88">
        <f>全车数据表!S121</f>
        <v>36</v>
      </c>
      <c r="M120" s="88">
        <f>全车数据表!T121</f>
        <v>39</v>
      </c>
      <c r="N120" s="88">
        <f>全车数据表!U121</f>
        <v>43</v>
      </c>
      <c r="O120" s="88">
        <f>全车数据表!V121</f>
        <v>0</v>
      </c>
      <c r="P120" s="88">
        <f>全车数据表!J121</f>
        <v>3434</v>
      </c>
      <c r="Q120" s="88">
        <f>全车数据表!K121</f>
        <v>346.3</v>
      </c>
      <c r="R120" s="88">
        <f>全车数据表!L121</f>
        <v>81.97</v>
      </c>
      <c r="S120" s="88">
        <f>全车数据表!M121</f>
        <v>47.38</v>
      </c>
      <c r="T120" s="88">
        <f>全车数据表!N121</f>
        <v>61.36</v>
      </c>
      <c r="U120" s="88">
        <f>全车数据表!O121</f>
        <v>0</v>
      </c>
      <c r="V120" s="88">
        <f>全车数据表!AL121</f>
        <v>4648400</v>
      </c>
      <c r="W120" s="88">
        <f>全车数据表!AM121</f>
        <v>22500</v>
      </c>
      <c r="X120" s="88">
        <f>全车数据表!AU121</f>
        <v>2700000</v>
      </c>
      <c r="Y120" s="88">
        <f>全车数据表!AV121</f>
        <v>7348400</v>
      </c>
      <c r="Z120" s="88">
        <f>全车数据表!AN121</f>
        <v>8</v>
      </c>
      <c r="AA120" s="88">
        <f>全车数据表!AP121</f>
        <v>5</v>
      </c>
      <c r="AB120" s="88">
        <f>全车数据表!AR121</f>
        <v>2</v>
      </c>
      <c r="AC120" s="88">
        <f>全车数据表!AW121</f>
        <v>360</v>
      </c>
      <c r="AD120" s="88">
        <f>全车数据表!AX121</f>
        <v>0</v>
      </c>
      <c r="AE120" s="88">
        <f>全车数据表!AY121</f>
        <v>471</v>
      </c>
      <c r="AF120" s="88" t="str">
        <f>IF(全车数据表!BA121="","",全车数据表!BA121)</f>
        <v>寻车</v>
      </c>
      <c r="AG120" s="88" t="str">
        <f>IF(全车数据表!BB121="","",全车数据表!BB121)</f>
        <v/>
      </c>
      <c r="AH120" s="88" t="str">
        <f>IF(全车数据表!BC121="","",全车数据表!BC121)</f>
        <v/>
      </c>
      <c r="AI120" s="88" t="str">
        <f>IF(全车数据表!BD121="","",全车数据表!BD121)</f>
        <v/>
      </c>
      <c r="AJ120" s="88" t="str">
        <f>IF(全车数据表!BE121="","",全车数据表!BE121)</f>
        <v/>
      </c>
      <c r="AK120" s="88" t="str">
        <f>IF(全车数据表!BF121="","",全车数据表!BF121)</f>
        <v/>
      </c>
      <c r="AL120" s="88">
        <f>IF(全车数据表!BG121="","",全车数据表!BG121)</f>
        <v>1</v>
      </c>
      <c r="AM120" s="88" t="str">
        <f>IF(全车数据表!BH121="","",全车数据表!BH121)</f>
        <v/>
      </c>
      <c r="AN120" s="88" t="str">
        <f>IF(全车数据表!BI121="","",全车数据表!BI121)</f>
        <v/>
      </c>
      <c r="AO120" s="88">
        <f>IF(全车数据表!BJ121="","",全车数据表!BJ121)</f>
        <v>1</v>
      </c>
      <c r="AP120" s="88" t="str">
        <f>IF(全车数据表!BK121="","",全车数据表!BK121)</f>
        <v/>
      </c>
      <c r="AQ120" s="88" t="str">
        <f>IF(全车数据表!BL121="","",全车数据表!BL121)</f>
        <v/>
      </c>
      <c r="AR120" s="88" t="str">
        <f>IF(全车数据表!BM121="","",全车数据表!BM121)</f>
        <v/>
      </c>
      <c r="AS120" s="88" t="str">
        <f>IF(全车数据表!BN121="","",全车数据表!BN121)</f>
        <v/>
      </c>
      <c r="AT120" s="88" t="str">
        <f>IF(全车数据表!BO121="","",全车数据表!BO121)</f>
        <v/>
      </c>
      <c r="AU120" s="88" t="str">
        <f>IF(全车数据表!BP121="","",全车数据表!BP121)</f>
        <v/>
      </c>
      <c r="AV120" s="88" t="str">
        <f>IF(全车数据表!BQ121="","",全车数据表!BQ121)</f>
        <v>1款</v>
      </c>
      <c r="AW120" s="88" t="str">
        <f>IF(全车数据表!BR121="","",全车数据表!BR121)</f>
        <v/>
      </c>
      <c r="AX120" s="88" t="str">
        <f>IF(全车数据表!BS121="","",全车数据表!BS121)</f>
        <v/>
      </c>
      <c r="AY120" s="88" t="str">
        <f>IF(全车数据表!BT121="","",全车数据表!BT121)</f>
        <v/>
      </c>
      <c r="AZ120" s="88" t="str">
        <f>IF(全车数据表!BU121="","",全车数据表!BU121)</f>
        <v/>
      </c>
      <c r="BA120" s="88" t="str">
        <f>IF(全车数据表!BV121="","",全车数据表!BV121)</f>
        <v/>
      </c>
      <c r="BB120" s="91" t="str">
        <f>IF(全车数据表!AZ121="","",全车数据表!AZ121)</f>
        <v/>
      </c>
    </row>
    <row r="121" spans="1:54">
      <c r="A121" s="88">
        <f>全车数据表!A122</f>
        <v>120</v>
      </c>
      <c r="B121" s="88" t="str">
        <f>全车数据表!B122</f>
        <v>Brabham BT62🔑</v>
      </c>
      <c r="C121" s="89" t="str">
        <f>全车数据表!E122</f>
        <v>bt62</v>
      </c>
      <c r="D121" s="88" t="str">
        <f>IF(全车数据表!D122="","",全车数据表!D122)</f>
        <v>Brabham</v>
      </c>
      <c r="E121" s="89" t="str">
        <f>全车数据表!H122</f>
        <v>3.5</v>
      </c>
      <c r="F121" s="89" t="str">
        <f>全车数据表!C122</f>
        <v>BT62</v>
      </c>
      <c r="G121" s="89" t="str">
        <f>全车数据表!F122</f>
        <v>B</v>
      </c>
      <c r="H121" s="88">
        <f>LEN(全车数据表!G122)</f>
        <v>5</v>
      </c>
      <c r="I121" s="88" t="str">
        <f>VLOOKUP(全车数据表!P122,辅助计算!A:B,2,FALSE)</f>
        <v>epic</v>
      </c>
      <c r="J121" s="88" t="str">
        <f>全车数据表!Q122</f>
        <v>🔑</v>
      </c>
      <c r="K121" s="88">
        <f>全车数据表!R122</f>
        <v>35</v>
      </c>
      <c r="L121" s="88">
        <f>全车数据表!S122</f>
        <v>40</v>
      </c>
      <c r="M121" s="88">
        <f>全车数据表!T122</f>
        <v>52</v>
      </c>
      <c r="N121" s="88">
        <f>全车数据表!U122</f>
        <v>70</v>
      </c>
      <c r="O121" s="88">
        <f>全车数据表!V122</f>
        <v>0</v>
      </c>
      <c r="P121" s="88">
        <f>全车数据表!J122</f>
        <v>3489</v>
      </c>
      <c r="Q121" s="88">
        <f>全车数据表!K122</f>
        <v>322.39999999999998</v>
      </c>
      <c r="R121" s="88">
        <f>全车数据表!L122</f>
        <v>83.88</v>
      </c>
      <c r="S121" s="88">
        <f>全车数据表!M122</f>
        <v>76.06</v>
      </c>
      <c r="T121" s="88">
        <f>全车数据表!N122</f>
        <v>75.650000000000006</v>
      </c>
      <c r="U121" s="88">
        <f>全车数据表!O122</f>
        <v>0</v>
      </c>
      <c r="V121" s="88">
        <f>全车数据表!AL122</f>
        <v>4648400</v>
      </c>
      <c r="W121" s="88">
        <f>全车数据表!AM122</f>
        <v>22500</v>
      </c>
      <c r="X121" s="88">
        <f>全车数据表!AU122</f>
        <v>2700000</v>
      </c>
      <c r="Y121" s="88">
        <f>全车数据表!AV122</f>
        <v>7348400</v>
      </c>
      <c r="Z121" s="88">
        <f>全车数据表!AN122</f>
        <v>8</v>
      </c>
      <c r="AA121" s="88">
        <f>全车数据表!AP122</f>
        <v>5</v>
      </c>
      <c r="AB121" s="88">
        <f>全车数据表!AR122</f>
        <v>2</v>
      </c>
      <c r="AC121" s="88">
        <f>全车数据表!AW122</f>
        <v>336</v>
      </c>
      <c r="AD121" s="88">
        <f>全车数据表!AX122</f>
        <v>0</v>
      </c>
      <c r="AE121" s="88">
        <f>全车数据表!AY122</f>
        <v>430</v>
      </c>
      <c r="AF121" s="88" t="str">
        <f>IF(全车数据表!BA122="","",全车数据表!BA122)</f>
        <v>大奖赛</v>
      </c>
      <c r="AG121" s="88" t="str">
        <f>IF(全车数据表!BB122="","",全车数据表!BB122)</f>
        <v/>
      </c>
      <c r="AH121" s="88" t="str">
        <f>IF(全车数据表!BC122="","",全车数据表!BC122)</f>
        <v/>
      </c>
      <c r="AI121" s="88" t="str">
        <f>IF(全车数据表!BD122="","",全车数据表!BD122)</f>
        <v/>
      </c>
      <c r="AJ121" s="88" t="str">
        <f>IF(全车数据表!BE122="","",全车数据表!BE122)</f>
        <v/>
      </c>
      <c r="AK121" s="88" t="str">
        <f>IF(全车数据表!BF122="","",全车数据表!BF122)</f>
        <v/>
      </c>
      <c r="AL121" s="88" t="str">
        <f>IF(全车数据表!BG122="","",全车数据表!BG122)</f>
        <v/>
      </c>
      <c r="AM121" s="88" t="str">
        <f>IF(全车数据表!BH122="","",全车数据表!BH122)</f>
        <v/>
      </c>
      <c r="AN121" s="88" t="str">
        <f>IF(全车数据表!BI122="","",全车数据表!BI122)</f>
        <v/>
      </c>
      <c r="AO121" s="88" t="str">
        <f>IF(全车数据表!BJ122="","",全车数据表!BJ122)</f>
        <v/>
      </c>
      <c r="AP121" s="88" t="str">
        <f>IF(全车数据表!BK122="","",全车数据表!BK122)</f>
        <v/>
      </c>
      <c r="AQ121" s="88" t="str">
        <f>IF(全车数据表!BL122="","",全车数据表!BL122)</f>
        <v/>
      </c>
      <c r="AR121" s="88">
        <f>IF(全车数据表!BM122="","",全车数据表!BM122)</f>
        <v>1</v>
      </c>
      <c r="AS121" s="88" t="str">
        <f>IF(全车数据表!BN122="","",全车数据表!BN122)</f>
        <v/>
      </c>
      <c r="AT121" s="88">
        <f>IF(全车数据表!BO122="","",全车数据表!BO122)</f>
        <v>1</v>
      </c>
      <c r="AU121" s="88">
        <f>IF(全车数据表!BP122="","",全车数据表!BP122)</f>
        <v>1</v>
      </c>
      <c r="AV121" s="88" t="str">
        <f>IF(全车数据表!BQ122="","",全车数据表!BQ122)</f>
        <v/>
      </c>
      <c r="AW121" s="88" t="str">
        <f>IF(全车数据表!BR122="","",全车数据表!BR122)</f>
        <v/>
      </c>
      <c r="AX121" s="88" t="str">
        <f>IF(全车数据表!BS122="","",全车数据表!BS122)</f>
        <v/>
      </c>
      <c r="AY121" s="88" t="str">
        <f>IF(全车数据表!BT122="","",全车数据表!BT122)</f>
        <v/>
      </c>
      <c r="AZ121" s="88" t="str">
        <f>IF(全车数据表!BU122="","",全车数据表!BU122)</f>
        <v/>
      </c>
      <c r="BA121" s="88" t="str">
        <f>IF(全车数据表!BV122="","",全车数据表!BV122)</f>
        <v/>
      </c>
      <c r="BB121" s="91" t="str">
        <f>IF(全车数据表!AZ122="","",全车数据表!AZ122)</f>
        <v/>
      </c>
    </row>
    <row r="122" spans="1:54">
      <c r="A122" s="88">
        <f>全车数据表!A123</f>
        <v>121</v>
      </c>
      <c r="B122" s="88" t="str">
        <f>全车数据表!B123</f>
        <v>Porsche 911 Turbo 50 Years</v>
      </c>
      <c r="C122" s="89" t="str">
        <f>全车数据表!E123</f>
        <v>911turbo</v>
      </c>
      <c r="D122" s="88" t="str">
        <f>IF(全车数据表!D123="","",全车数据表!D123)</f>
        <v>Porsche</v>
      </c>
      <c r="E122" s="89" t="str">
        <f>全车数据表!H123</f>
        <v>5.3</v>
      </c>
      <c r="F122" s="89" t="str">
        <f>全车数据表!C123</f>
        <v>911 Turbo</v>
      </c>
      <c r="G122" s="89" t="str">
        <f>全车数据表!F123</f>
        <v>B</v>
      </c>
      <c r="H122" s="88">
        <f>LEN(全车数据表!G123)</f>
        <v>4</v>
      </c>
      <c r="I122" s="88" t="str">
        <f>VLOOKUP(全车数据表!P123,辅助计算!A:B,2,FALSE)</f>
        <v>rare</v>
      </c>
      <c r="J122" s="88">
        <f>全车数据表!Q123</f>
        <v>40</v>
      </c>
      <c r="K122" s="88">
        <f>全车数据表!R123</f>
        <v>35</v>
      </c>
      <c r="L122" s="88">
        <f>全车数据表!S123</f>
        <v>42</v>
      </c>
      <c r="M122" s="88">
        <f>全车数据表!T123</f>
        <v>58</v>
      </c>
      <c r="N122" s="88">
        <f>全车数据表!U123</f>
        <v>0</v>
      </c>
      <c r="O122" s="88">
        <f>全车数据表!V123</f>
        <v>0</v>
      </c>
      <c r="P122" s="88">
        <f>全车数据表!J123</f>
        <v>3495</v>
      </c>
      <c r="Q122" s="88">
        <f>全车数据表!K123</f>
        <v>343.5</v>
      </c>
      <c r="R122" s="88">
        <f>全车数据表!L123</f>
        <v>82.94</v>
      </c>
      <c r="S122" s="88">
        <f>全车数据表!M123</f>
        <v>53.72</v>
      </c>
      <c r="T122" s="88">
        <f>全车数据表!N123</f>
        <v>59.39</v>
      </c>
      <c r="U122" s="88">
        <f>全车数据表!O123</f>
        <v>0</v>
      </c>
      <c r="V122" s="88">
        <f>全车数据表!AL123</f>
        <v>0</v>
      </c>
      <c r="W122" s="88">
        <f>全车数据表!AM123</f>
        <v>0</v>
      </c>
      <c r="X122" s="88">
        <f>全车数据表!AU123</f>
        <v>0</v>
      </c>
      <c r="Y122" s="88">
        <f>全车数据表!AV123</f>
        <v>0</v>
      </c>
      <c r="Z122" s="88">
        <f>全车数据表!AN123</f>
        <v>0</v>
      </c>
      <c r="AA122" s="88">
        <f>全车数据表!AP123</f>
        <v>0</v>
      </c>
      <c r="AB122" s="88">
        <f>全车数据表!AR123</f>
        <v>0</v>
      </c>
      <c r="AC122" s="88">
        <f>全车数据表!AW123</f>
        <v>0</v>
      </c>
      <c r="AD122" s="88">
        <f>全车数据表!AX123</f>
        <v>0</v>
      </c>
      <c r="AE122" s="88">
        <f>全车数据表!AY123</f>
        <v>0</v>
      </c>
      <c r="AF122" s="88" t="str">
        <f>IF(全车数据表!BA123="","",全车数据表!BA123)</f>
        <v>寻车赛事</v>
      </c>
      <c r="AG122" s="88" t="str">
        <f>IF(全车数据表!BB123="","",全车数据表!BB123)</f>
        <v/>
      </c>
      <c r="AH122" s="88" t="str">
        <f>IF(全车数据表!BC123="","",全车数据表!BC123)</f>
        <v/>
      </c>
      <c r="AI122" s="88" t="str">
        <f>IF(全车数据表!BD123="","",全车数据表!BD123)</f>
        <v/>
      </c>
      <c r="AJ122" s="88" t="str">
        <f>IF(全车数据表!BE123="","",全车数据表!BE123)</f>
        <v/>
      </c>
      <c r="AK122" s="88" t="str">
        <f>IF(全车数据表!BF123="","",全车数据表!BF123)</f>
        <v/>
      </c>
      <c r="AL122" s="88" t="str">
        <f>IF(全车数据表!BG123="","",全车数据表!BG123)</f>
        <v/>
      </c>
      <c r="AM122" s="88" t="str">
        <f>IF(全车数据表!BH123="","",全车数据表!BH123)</f>
        <v/>
      </c>
      <c r="AN122" s="88" t="str">
        <f>IF(全车数据表!BI123="","",全车数据表!BI123)</f>
        <v/>
      </c>
      <c r="AO122" s="88" t="str">
        <f>IF(全车数据表!BJ123="","",全车数据表!BJ123)</f>
        <v/>
      </c>
      <c r="AP122" s="88" t="str">
        <f>IF(全车数据表!BK123="","",全车数据表!BK123)</f>
        <v/>
      </c>
      <c r="AQ122" s="88" t="str">
        <f>IF(全车数据表!BL123="","",全车数据表!BL123)</f>
        <v/>
      </c>
      <c r="AR122" s="88" t="str">
        <f>IF(全车数据表!BM123="","",全车数据表!BM123)</f>
        <v/>
      </c>
      <c r="AS122" s="88" t="str">
        <f>IF(全车数据表!BN123="","",全车数据表!BN123)</f>
        <v/>
      </c>
      <c r="AT122" s="88" t="str">
        <f>IF(全车数据表!BO123="","",全车数据表!BO123)</f>
        <v/>
      </c>
      <c r="AU122" s="88" t="str">
        <f>IF(全车数据表!BP123="","",全车数据表!BP123)</f>
        <v/>
      </c>
      <c r="AV122" s="88" t="str">
        <f>IF(全车数据表!BQ123="","",全车数据表!BQ123)</f>
        <v/>
      </c>
      <c r="AW122" s="88" t="str">
        <f>IF(全车数据表!BR123="","",全车数据表!BR123)</f>
        <v/>
      </c>
      <c r="AX122" s="88" t="str">
        <f>IF(全车数据表!BS123="","",全车数据表!BS123)</f>
        <v/>
      </c>
      <c r="AY122" s="88" t="str">
        <f>IF(全车数据表!BT123="","",全车数据表!BT123)</f>
        <v/>
      </c>
      <c r="AZ122" s="88" t="str">
        <f>IF(全车数据表!BU123="","",全车数据表!BU123)</f>
        <v/>
      </c>
      <c r="BA122" s="88" t="str">
        <f>IF(全车数据表!BV123="","",全车数据表!BV123)</f>
        <v>保时捷 992</v>
      </c>
      <c r="BB122" s="91" t="str">
        <f>IF(全车数据表!AZ123="","",全车数据表!AZ123)</f>
        <v/>
      </c>
    </row>
    <row r="123" spans="1:54">
      <c r="A123" s="88">
        <f>全车数据表!A124</f>
        <v>122</v>
      </c>
      <c r="B123" s="88" t="str">
        <f>全车数据表!B124</f>
        <v>McLaren Elva</v>
      </c>
      <c r="C123" s="89" t="str">
        <f>全车数据表!E124</f>
        <v>elva</v>
      </c>
      <c r="D123" s="88" t="str">
        <f>IF(全车数据表!D124="","",全车数据表!D124)</f>
        <v>McLaren</v>
      </c>
      <c r="E123" s="89" t="str">
        <f>全车数据表!H124</f>
        <v>3.2</v>
      </c>
      <c r="F123" s="89" t="str">
        <f>全车数据表!C124</f>
        <v>Elva</v>
      </c>
      <c r="G123" s="89" t="str">
        <f>全车数据表!F124</f>
        <v>B</v>
      </c>
      <c r="H123" s="88">
        <f>LEN(全车数据表!G124)</f>
        <v>5</v>
      </c>
      <c r="I123" s="88" t="str">
        <f>VLOOKUP(全车数据表!P124,辅助计算!A:B,2,FALSE)</f>
        <v>epic</v>
      </c>
      <c r="J123" s="88">
        <f>全车数据表!Q124</f>
        <v>40</v>
      </c>
      <c r="K123" s="88">
        <f>全车数据表!R124</f>
        <v>30</v>
      </c>
      <c r="L123" s="88">
        <f>全车数据表!S124</f>
        <v>36</v>
      </c>
      <c r="M123" s="88">
        <f>全车数据表!T124</f>
        <v>40</v>
      </c>
      <c r="N123" s="88">
        <f>全车数据表!U124</f>
        <v>43</v>
      </c>
      <c r="O123" s="88">
        <f>全车数据表!V124</f>
        <v>0</v>
      </c>
      <c r="P123" s="88">
        <f>全车数据表!J124</f>
        <v>3530</v>
      </c>
      <c r="Q123" s="88">
        <f>全车数据表!K124</f>
        <v>339.2</v>
      </c>
      <c r="R123" s="88">
        <f>全车数据表!L124</f>
        <v>81.3</v>
      </c>
      <c r="S123" s="88">
        <f>全车数据表!M124</f>
        <v>75.510000000000005</v>
      </c>
      <c r="T123" s="88">
        <f>全车数据表!N124</f>
        <v>65.91</v>
      </c>
      <c r="U123" s="88">
        <f>全车数据表!O124</f>
        <v>0</v>
      </c>
      <c r="V123" s="88">
        <f>全车数据表!AL124</f>
        <v>4648400</v>
      </c>
      <c r="W123" s="88">
        <f>全车数据表!AM124</f>
        <v>22500</v>
      </c>
      <c r="X123" s="88">
        <f>全车数据表!AU124</f>
        <v>2700000</v>
      </c>
      <c r="Y123" s="88">
        <f>全车数据表!AV124</f>
        <v>7348400</v>
      </c>
      <c r="Z123" s="88">
        <f>全车数据表!AN124</f>
        <v>8</v>
      </c>
      <c r="AA123" s="88">
        <f>全车数据表!AP124</f>
        <v>5</v>
      </c>
      <c r="AB123" s="88">
        <f>全车数据表!AR124</f>
        <v>2</v>
      </c>
      <c r="AC123" s="88">
        <f>全车数据表!AW124</f>
        <v>353</v>
      </c>
      <c r="AD123" s="88">
        <f>全车数据表!AX124</f>
        <v>0</v>
      </c>
      <c r="AE123" s="88">
        <f>全车数据表!AY124</f>
        <v>459</v>
      </c>
      <c r="AF123" s="88" t="str">
        <f>IF(全车数据表!BA124="","",全车数据表!BA124)</f>
        <v>通行证</v>
      </c>
      <c r="AG123" s="88" t="str">
        <f>IF(全车数据表!BB124="","",全车数据表!BB124)</f>
        <v/>
      </c>
      <c r="AH123" s="88" t="str">
        <f>IF(全车数据表!BC124="","",全车数据表!BC124)</f>
        <v/>
      </c>
      <c r="AI123" s="88" t="str">
        <f>IF(全车数据表!BD124="","",全车数据表!BD124)</f>
        <v/>
      </c>
      <c r="AJ123" s="88" t="str">
        <f>IF(全车数据表!BE124="","",全车数据表!BE124)</f>
        <v/>
      </c>
      <c r="AK123" s="88" t="str">
        <f>IF(全车数据表!BF124="","",全车数据表!BF124)</f>
        <v/>
      </c>
      <c r="AL123" s="88" t="str">
        <f>IF(全车数据表!BG124="","",全车数据表!BG124)</f>
        <v/>
      </c>
      <c r="AM123" s="88">
        <f>IF(全车数据表!BH124="","",全车数据表!BH124)</f>
        <v>1</v>
      </c>
      <c r="AN123" s="88" t="str">
        <f>IF(全车数据表!BI124="","",全车数据表!BI124)</f>
        <v/>
      </c>
      <c r="AO123" s="88" t="str">
        <f>IF(全车数据表!BJ124="","",全车数据表!BJ124)</f>
        <v/>
      </c>
      <c r="AP123" s="88" t="str">
        <f>IF(全车数据表!BK124="","",全车数据表!BK124)</f>
        <v/>
      </c>
      <c r="AQ123" s="88" t="str">
        <f>IF(全车数据表!BL124="","",全车数据表!BL124)</f>
        <v/>
      </c>
      <c r="AR123" s="88" t="str">
        <f>IF(全车数据表!BM124="","",全车数据表!BM124)</f>
        <v/>
      </c>
      <c r="AS123" s="88" t="str">
        <f>IF(全车数据表!BN124="","",全车数据表!BN124)</f>
        <v/>
      </c>
      <c r="AT123" s="88" t="str">
        <f>IF(全车数据表!BO124="","",全车数据表!BO124)</f>
        <v/>
      </c>
      <c r="AU123" s="88">
        <f>IF(全车数据表!BP124="","",全车数据表!BP124)</f>
        <v>1</v>
      </c>
      <c r="AV123" s="88" t="str">
        <f>IF(全车数据表!BQ124="","",全车数据表!BQ124)</f>
        <v/>
      </c>
      <c r="AW123" s="88" t="str">
        <f>IF(全车数据表!BR124="","",全车数据表!BR124)</f>
        <v/>
      </c>
      <c r="AX123" s="88" t="str">
        <f>IF(全车数据表!BS124="","",全车数据表!BS124)</f>
        <v>无顶</v>
      </c>
      <c r="AY123" s="88" t="str">
        <f>IF(全车数据表!BT124="","",全车数据表!BT124)</f>
        <v/>
      </c>
      <c r="AZ123" s="88" t="str">
        <f>IF(全车数据表!BU124="","",全车数据表!BU124)</f>
        <v/>
      </c>
      <c r="BA123" s="88" t="str">
        <f>IF(全车数据表!BV124="","",全车数据表!BV124)</f>
        <v>迈凯伦</v>
      </c>
      <c r="BB123" s="91" t="str">
        <f>IF(全车数据表!AZ124="","",全车数据表!AZ124)</f>
        <v/>
      </c>
    </row>
    <row r="124" spans="1:54">
      <c r="A124" s="88">
        <f>全车数据表!A125</f>
        <v>123</v>
      </c>
      <c r="B124" s="88" t="str">
        <f>全车数据表!B125</f>
        <v>Renault R.S. 01🔑</v>
      </c>
      <c r="C124" s="89" t="str">
        <f>全车数据表!E125</f>
        <v>rs01</v>
      </c>
      <c r="D124" s="88" t="str">
        <f>IF(全车数据表!D125="","",全车数据表!D125)</f>
        <v>Renault</v>
      </c>
      <c r="E124" s="89" t="str">
        <f>全车数据表!H125</f>
        <v>3.0</v>
      </c>
      <c r="F124" s="89" t="str">
        <f>全车数据表!C125</f>
        <v>雷诺RS</v>
      </c>
      <c r="G124" s="89" t="str">
        <f>全车数据表!F125</f>
        <v>B</v>
      </c>
      <c r="H124" s="88">
        <f>LEN(全车数据表!G125)</f>
        <v>5</v>
      </c>
      <c r="I124" s="88" t="str">
        <f>VLOOKUP(全车数据表!P125,辅助计算!A:B,2,FALSE)</f>
        <v>rare</v>
      </c>
      <c r="J124" s="88" t="str">
        <f>全车数据表!Q125</f>
        <v>🔑</v>
      </c>
      <c r="K124" s="88">
        <f>全车数据表!R125</f>
        <v>30</v>
      </c>
      <c r="L124" s="88">
        <f>全车数据表!S125</f>
        <v>40</v>
      </c>
      <c r="M124" s="88">
        <f>全车数据表!T125</f>
        <v>50</v>
      </c>
      <c r="N124" s="88">
        <f>全车数据表!U125</f>
        <v>60</v>
      </c>
      <c r="O124" s="88">
        <f>全车数据表!V125</f>
        <v>0</v>
      </c>
      <c r="P124" s="88">
        <f>全车数据表!J125</f>
        <v>3571</v>
      </c>
      <c r="Q124" s="88">
        <f>全车数据表!K125</f>
        <v>321</v>
      </c>
      <c r="R124" s="88">
        <f>全车数据表!L125</f>
        <v>83.67</v>
      </c>
      <c r="S124" s="88">
        <f>全车数据表!M125</f>
        <v>61.35</v>
      </c>
      <c r="T124" s="88">
        <f>全车数据表!N125</f>
        <v>71.97</v>
      </c>
      <c r="U124" s="88">
        <f>全车数据表!O125</f>
        <v>0</v>
      </c>
      <c r="V124" s="88">
        <f>全车数据表!AL125</f>
        <v>4648400</v>
      </c>
      <c r="W124" s="88">
        <f>全车数据表!AM125</f>
        <v>22500</v>
      </c>
      <c r="X124" s="88">
        <f>全车数据表!AU125</f>
        <v>2700000</v>
      </c>
      <c r="Y124" s="88">
        <f>全车数据表!AV125</f>
        <v>7348400</v>
      </c>
      <c r="Z124" s="88">
        <f>全车数据表!AN125</f>
        <v>8</v>
      </c>
      <c r="AA124" s="88">
        <f>全车数据表!AP125</f>
        <v>5</v>
      </c>
      <c r="AB124" s="88">
        <f>全车数据表!AR125</f>
        <v>2</v>
      </c>
      <c r="AC124" s="88">
        <f>全车数据表!AW125</f>
        <v>334</v>
      </c>
      <c r="AD124" s="88">
        <f>全车数据表!AX125</f>
        <v>0</v>
      </c>
      <c r="AE124" s="88">
        <f>全车数据表!AY125</f>
        <v>428</v>
      </c>
      <c r="AF124" s="88" t="str">
        <f>IF(全车数据表!BA125="","",全车数据表!BA125)</f>
        <v>大奖赛</v>
      </c>
      <c r="AG124" s="88" t="str">
        <f>IF(全车数据表!BB125="","",全车数据表!BB125)</f>
        <v/>
      </c>
      <c r="AH124" s="88" t="str">
        <f>IF(全车数据表!BC125="","",全车数据表!BC125)</f>
        <v/>
      </c>
      <c r="AI124" s="88" t="str">
        <f>IF(全车数据表!BD125="","",全车数据表!BD125)</f>
        <v/>
      </c>
      <c r="AJ124" s="88" t="str">
        <f>IF(全车数据表!BE125="","",全车数据表!BE125)</f>
        <v/>
      </c>
      <c r="AK124" s="88" t="str">
        <f>IF(全车数据表!BF125="","",全车数据表!BF125)</f>
        <v/>
      </c>
      <c r="AL124" s="88" t="str">
        <f>IF(全车数据表!BG125="","",全车数据表!BG125)</f>
        <v/>
      </c>
      <c r="AM124" s="88" t="str">
        <f>IF(全车数据表!BH125="","",全车数据表!BH125)</f>
        <v/>
      </c>
      <c r="AN124" s="88" t="str">
        <f>IF(全车数据表!BI125="","",全车数据表!BI125)</f>
        <v/>
      </c>
      <c r="AO124" s="88" t="str">
        <f>IF(全车数据表!BJ125="","",全车数据表!BJ125)</f>
        <v/>
      </c>
      <c r="AP124" s="88" t="str">
        <f>IF(全车数据表!BK125="","",全车数据表!BK125)</f>
        <v/>
      </c>
      <c r="AQ124" s="88" t="str">
        <f>IF(全车数据表!BL125="","",全车数据表!BL125)</f>
        <v/>
      </c>
      <c r="AR124" s="88">
        <f>IF(全车数据表!BM125="","",全车数据表!BM125)</f>
        <v>1</v>
      </c>
      <c r="AS124" s="88" t="str">
        <f>IF(全车数据表!BN125="","",全车数据表!BN125)</f>
        <v/>
      </c>
      <c r="AT124" s="88">
        <f>IF(全车数据表!BO125="","",全车数据表!BO125)</f>
        <v>1</v>
      </c>
      <c r="AU124" s="88">
        <f>IF(全车数据表!BP125="","",全车数据表!BP125)</f>
        <v>1</v>
      </c>
      <c r="AV124" s="88" t="str">
        <f>IF(全车数据表!BQ125="","",全车数据表!BQ125)</f>
        <v/>
      </c>
      <c r="AW124" s="88" t="str">
        <f>IF(全车数据表!BR125="","",全车数据表!BR125)</f>
        <v/>
      </c>
      <c r="AX124" s="88" t="str">
        <f>IF(全车数据表!BS125="","",全车数据表!BS125)</f>
        <v/>
      </c>
      <c r="AY124" s="88" t="str">
        <f>IF(全车数据表!BT125="","",全车数据表!BT125)</f>
        <v/>
      </c>
      <c r="AZ124" s="88" t="str">
        <f>IF(全车数据表!BU125="","",全车数据表!BU125)</f>
        <v/>
      </c>
      <c r="BA124" s="88" t="str">
        <f>IF(全车数据表!BV125="","",全车数据表!BV125)</f>
        <v>雷诺</v>
      </c>
      <c r="BB124" s="91" t="str">
        <f>IF(全车数据表!AZ125="","",全车数据表!AZ125)</f>
        <v/>
      </c>
    </row>
    <row r="125" spans="1:54">
      <c r="A125" s="88">
        <f>全车数据表!A126</f>
        <v>124</v>
      </c>
      <c r="B125" s="88" t="str">
        <f>全车数据表!B126</f>
        <v>Aston Martin DB12</v>
      </c>
      <c r="C125" s="89" t="str">
        <f>全车数据表!E126</f>
        <v>db12</v>
      </c>
      <c r="D125" s="88" t="str">
        <f>IF(全车数据表!D126="","",全车数据表!D126)</f>
        <v>Aston Martin</v>
      </c>
      <c r="E125" s="89" t="str">
        <f>全车数据表!H126</f>
        <v>4.9</v>
      </c>
      <c r="F125" s="89" t="str">
        <f>全车数据表!C126</f>
        <v>DB12</v>
      </c>
      <c r="G125" s="89" t="str">
        <f>全车数据表!F126</f>
        <v>B</v>
      </c>
      <c r="H125" s="88">
        <f>LEN(全车数据表!G126)</f>
        <v>5</v>
      </c>
      <c r="I125" s="88" t="str">
        <f>VLOOKUP(全车数据表!P126,辅助计算!A:B,2,FALSE)</f>
        <v>epic</v>
      </c>
      <c r="J125" s="88">
        <f>全车数据表!Q126</f>
        <v>40</v>
      </c>
      <c r="K125" s="88">
        <f>全车数据表!R126</f>
        <v>30</v>
      </c>
      <c r="L125" s="88">
        <f>全车数据表!S126</f>
        <v>36</v>
      </c>
      <c r="M125" s="88">
        <f>全车数据表!T126</f>
        <v>40</v>
      </c>
      <c r="N125" s="88">
        <f>全车数据表!U126</f>
        <v>43</v>
      </c>
      <c r="O125" s="88">
        <f>全车数据表!V126</f>
        <v>0</v>
      </c>
      <c r="P125" s="88">
        <f>全车数据表!J126</f>
        <v>3580</v>
      </c>
      <c r="Q125" s="88">
        <f>全车数据表!K126</f>
        <v>343.2</v>
      </c>
      <c r="R125" s="88">
        <f>全车数据表!L126</f>
        <v>74.11</v>
      </c>
      <c r="S125" s="88">
        <f>全车数据表!M126</f>
        <v>69.680000000000007</v>
      </c>
      <c r="T125" s="88">
        <f>全车数据表!N126</f>
        <v>77.89</v>
      </c>
      <c r="U125" s="88">
        <f>全车数据表!O126</f>
        <v>0</v>
      </c>
      <c r="V125" s="88">
        <f>全车数据表!AL126</f>
        <v>7552000</v>
      </c>
      <c r="W125" s="88">
        <f>全车数据表!AM126</f>
        <v>27000</v>
      </c>
      <c r="X125" s="88">
        <f>全车数据表!AU126</f>
        <v>3240000</v>
      </c>
      <c r="Y125" s="88">
        <f>全车数据表!AV126</f>
        <v>10792000</v>
      </c>
      <c r="Z125" s="88">
        <f>全车数据表!AN126</f>
        <v>8</v>
      </c>
      <c r="AA125" s="88">
        <f>全车数据表!AP126</f>
        <v>5</v>
      </c>
      <c r="AB125" s="88">
        <f>全车数据表!AR126</f>
        <v>2</v>
      </c>
      <c r="AC125" s="88">
        <f>全车数据表!AW126</f>
        <v>357</v>
      </c>
      <c r="AD125" s="88">
        <f>全车数据表!AX126</f>
        <v>0</v>
      </c>
      <c r="AE125" s="88">
        <f>全车数据表!AY126</f>
        <v>466</v>
      </c>
      <c r="AF125" s="88" t="str">
        <f>IF(全车数据表!BA126="","",全车数据表!BA126)</f>
        <v>通行证</v>
      </c>
      <c r="AG125" s="88" t="str">
        <f>IF(全车数据表!BB126="","",全车数据表!BB126)</f>
        <v/>
      </c>
      <c r="AH125" s="88" t="str">
        <f>IF(全车数据表!BC126="","",全车数据表!BC126)</f>
        <v/>
      </c>
      <c r="AI125" s="88" t="str">
        <f>IF(全车数据表!BD126="","",全车数据表!BD126)</f>
        <v/>
      </c>
      <c r="AJ125" s="88" t="str">
        <f>IF(全车数据表!BE126="","",全车数据表!BE126)</f>
        <v/>
      </c>
      <c r="AK125" s="88" t="str">
        <f>IF(全车数据表!BF126="","",全车数据表!BF126)</f>
        <v/>
      </c>
      <c r="AL125" s="88" t="str">
        <f>IF(全车数据表!BG126="","",全车数据表!BG126)</f>
        <v/>
      </c>
      <c r="AM125" s="88">
        <f>IF(全车数据表!BH126="","",全车数据表!BH126)</f>
        <v>1</v>
      </c>
      <c r="AN125" s="88" t="str">
        <f>IF(全车数据表!BI126="","",全车数据表!BI126)</f>
        <v/>
      </c>
      <c r="AO125" s="88" t="str">
        <f>IF(全车数据表!BJ126="","",全车数据表!BJ126)</f>
        <v/>
      </c>
      <c r="AP125" s="88" t="str">
        <f>IF(全车数据表!BK126="","",全车数据表!BK126)</f>
        <v/>
      </c>
      <c r="AQ125" s="88" t="str">
        <f>IF(全车数据表!BL126="","",全车数据表!BL126)</f>
        <v/>
      </c>
      <c r="AR125" s="88" t="str">
        <f>IF(全车数据表!BM126="","",全车数据表!BM126)</f>
        <v/>
      </c>
      <c r="AS125" s="88" t="str">
        <f>IF(全车数据表!BN126="","",全车数据表!BN126)</f>
        <v/>
      </c>
      <c r="AT125" s="88" t="str">
        <f>IF(全车数据表!BO126="","",全车数据表!BO126)</f>
        <v/>
      </c>
      <c r="AU125" s="88" t="str">
        <f>IF(全车数据表!BP126="","",全车数据表!BP126)</f>
        <v/>
      </c>
      <c r="AV125" s="88" t="str">
        <f>IF(全车数据表!BQ126="","",全车数据表!BQ126)</f>
        <v/>
      </c>
      <c r="AW125" s="88" t="str">
        <f>IF(全车数据表!BR126="","",全车数据表!BR126)</f>
        <v/>
      </c>
      <c r="AX125" s="88" t="str">
        <f>IF(全车数据表!BS126="","",全车数据表!BS126)</f>
        <v/>
      </c>
      <c r="AY125" s="88" t="str">
        <f>IF(全车数据表!BT126="","",全车数据表!BT126)</f>
        <v/>
      </c>
      <c r="AZ125" s="88" t="str">
        <f>IF(全车数据表!BU126="","",全车数据表!BU126)</f>
        <v/>
      </c>
      <c r="BA125" s="88" t="str">
        <f>IF(全车数据表!BV126="","",全车数据表!BV126)</f>
        <v>阿斯顿马丁</v>
      </c>
      <c r="BB125" s="91" t="str">
        <f>IF(全车数据表!AZ126="","",全车数据表!AZ126)</f>
        <v/>
      </c>
    </row>
    <row r="126" spans="1:54">
      <c r="A126" s="88">
        <f>全车数据表!A127</f>
        <v>125</v>
      </c>
      <c r="B126" s="88" t="str">
        <f>全车数据表!B127</f>
        <v>Acura NSX GT3 EVO🔑</v>
      </c>
      <c r="C126" s="89" t="str">
        <f>全车数据表!E127</f>
        <v>nsxgt3</v>
      </c>
      <c r="D126" s="88" t="str">
        <f>IF(全车数据表!D127="","",全车数据表!D127)</f>
        <v>Acura</v>
      </c>
      <c r="E126" s="89" t="str">
        <f>全车数据表!H127</f>
        <v>2.8</v>
      </c>
      <c r="F126" s="89" t="str">
        <f>全车数据表!C127</f>
        <v>NSX GT3</v>
      </c>
      <c r="G126" s="89" t="str">
        <f>全车数据表!F127</f>
        <v>B</v>
      </c>
      <c r="H126" s="88">
        <f>LEN(全车数据表!G127)</f>
        <v>5</v>
      </c>
      <c r="I126" s="88" t="str">
        <f>VLOOKUP(全车数据表!P127,辅助计算!A:B,2,FALSE)</f>
        <v>epic</v>
      </c>
      <c r="J126" s="88" t="str">
        <f>全车数据表!Q127</f>
        <v>🔑</v>
      </c>
      <c r="K126" s="88">
        <f>全车数据表!R127</f>
        <v>30</v>
      </c>
      <c r="L126" s="88">
        <f>全车数据表!S127</f>
        <v>40</v>
      </c>
      <c r="M126" s="88">
        <f>全车数据表!T127</f>
        <v>50</v>
      </c>
      <c r="N126" s="88">
        <f>全车数据表!U127</f>
        <v>60</v>
      </c>
      <c r="O126" s="88">
        <f>全车数据表!V127</f>
        <v>0</v>
      </c>
      <c r="P126" s="88">
        <f>全车数据表!J127</f>
        <v>3585</v>
      </c>
      <c r="Q126" s="88">
        <f>全车数据表!K127</f>
        <v>313.89999999999998</v>
      </c>
      <c r="R126" s="88">
        <f>全车数据表!L127</f>
        <v>74.31</v>
      </c>
      <c r="S126" s="88">
        <f>全车数据表!M127</f>
        <v>86.11</v>
      </c>
      <c r="T126" s="88">
        <f>全车数据表!N127</f>
        <v>73.78</v>
      </c>
      <c r="U126" s="88">
        <f>全车数据表!O127</f>
        <v>0</v>
      </c>
      <c r="V126" s="88">
        <f>全车数据表!AL127</f>
        <v>0</v>
      </c>
      <c r="W126" s="88">
        <f>全车数据表!AM127</f>
        <v>22500</v>
      </c>
      <c r="X126" s="88">
        <f>全车数据表!AU127</f>
        <v>2700000</v>
      </c>
      <c r="Y126" s="88">
        <f>全车数据表!AV127</f>
        <v>0</v>
      </c>
      <c r="Z126" s="88">
        <f>全车数据表!AN127</f>
        <v>8</v>
      </c>
      <c r="AA126" s="88">
        <f>全车数据表!AP127</f>
        <v>5</v>
      </c>
      <c r="AB126" s="88">
        <f>全车数据表!AR127</f>
        <v>2</v>
      </c>
      <c r="AC126" s="88">
        <f>全车数据表!AW127</f>
        <v>327</v>
      </c>
      <c r="AD126" s="88">
        <f>全车数据表!AX127</f>
        <v>345</v>
      </c>
      <c r="AE126" s="88">
        <f>全车数据表!AY127</f>
        <v>442</v>
      </c>
      <c r="AF126" s="88" t="str">
        <f>IF(全车数据表!BA127="","",全车数据表!BA127)</f>
        <v>大奖赛</v>
      </c>
      <c r="AG126" s="88" t="str">
        <f>IF(全车数据表!BB127="","",全车数据表!BB127)</f>
        <v/>
      </c>
      <c r="AH126" s="88" t="str">
        <f>IF(全车数据表!BC127="","",全车数据表!BC127)</f>
        <v/>
      </c>
      <c r="AI126" s="88" t="str">
        <f>IF(全车数据表!BD127="","",全车数据表!BD127)</f>
        <v/>
      </c>
      <c r="AJ126" s="88" t="str">
        <f>IF(全车数据表!BE127="","",全车数据表!BE127)</f>
        <v/>
      </c>
      <c r="AK126" s="88" t="str">
        <f>IF(全车数据表!BF127="","",全车数据表!BF127)</f>
        <v/>
      </c>
      <c r="AL126" s="88" t="str">
        <f>IF(全车数据表!BG127="","",全车数据表!BG127)</f>
        <v/>
      </c>
      <c r="AM126" s="88" t="str">
        <f>IF(全车数据表!BH127="","",全车数据表!BH127)</f>
        <v/>
      </c>
      <c r="AN126" s="88" t="str">
        <f>IF(全车数据表!BI127="","",全车数据表!BI127)</f>
        <v/>
      </c>
      <c r="AO126" s="88" t="str">
        <f>IF(全车数据表!BJ127="","",全车数据表!BJ127)</f>
        <v/>
      </c>
      <c r="AP126" s="88" t="str">
        <f>IF(全车数据表!BK127="","",全车数据表!BK127)</f>
        <v/>
      </c>
      <c r="AQ126" s="88" t="str">
        <f>IF(全车数据表!BL127="","",全车数据表!BL127)</f>
        <v/>
      </c>
      <c r="AR126" s="88">
        <f>IF(全车数据表!BM127="","",全车数据表!BM127)</f>
        <v>1</v>
      </c>
      <c r="AS126" s="88" t="str">
        <f>IF(全车数据表!BN127="","",全车数据表!BN127)</f>
        <v/>
      </c>
      <c r="AT126" s="88">
        <f>IF(全车数据表!BO127="","",全车数据表!BO127)</f>
        <v>1</v>
      </c>
      <c r="AU126" s="88">
        <f>IF(全车数据表!BP127="","",全车数据表!BP127)</f>
        <v>1</v>
      </c>
      <c r="AV126" s="88" t="str">
        <f>IF(全车数据表!BQ127="","",全车数据表!BQ127)</f>
        <v/>
      </c>
      <c r="AW126" s="88" t="str">
        <f>IF(全车数据表!BR127="","",全车数据表!BR127)</f>
        <v/>
      </c>
      <c r="AX126" s="88" t="str">
        <f>IF(全车数据表!BS127="","",全车数据表!BS127)</f>
        <v/>
      </c>
      <c r="AY126" s="88" t="str">
        <f>IF(全车数据表!BT127="","",全车数据表!BT127)</f>
        <v/>
      </c>
      <c r="AZ126" s="88" t="str">
        <f>IF(全车数据表!BU127="","",全车数据表!BU127)</f>
        <v/>
      </c>
      <c r="BA126" s="88" t="str">
        <f>IF(全车数据表!BV127="","",全车数据表!BV127)</f>
        <v>讴歌</v>
      </c>
      <c r="BB126" s="91" t="str">
        <f>IF(全车数据表!AZ127="","",全车数据表!AZ127)</f>
        <v/>
      </c>
    </row>
    <row r="127" spans="1:54">
      <c r="A127" s="88">
        <f>全车数据表!A128</f>
        <v>126</v>
      </c>
      <c r="B127" s="88" t="str">
        <f>全车数据表!B128</f>
        <v>Nissan R390 GT1🔑</v>
      </c>
      <c r="C127" s="89" t="str">
        <f>全车数据表!E128</f>
        <v>r390</v>
      </c>
      <c r="D127" s="88" t="str">
        <f>IF(全车数据表!D128="","",全车数据表!D128)</f>
        <v>Nissan</v>
      </c>
      <c r="E127" s="89" t="str">
        <f>全车数据表!H128</f>
        <v>3.8</v>
      </c>
      <c r="F127" s="89" t="str">
        <f>全车数据表!C128</f>
        <v>R390</v>
      </c>
      <c r="G127" s="89" t="str">
        <f>全车数据表!F128</f>
        <v>B</v>
      </c>
      <c r="H127" s="88">
        <f>LEN(全车数据表!G128)</f>
        <v>6</v>
      </c>
      <c r="I127" s="88" t="str">
        <f>VLOOKUP(全车数据表!P128,辅助计算!A:B,2,FALSE)</f>
        <v>epic</v>
      </c>
      <c r="J127" s="88" t="str">
        <f>全车数据表!Q128</f>
        <v>🔑</v>
      </c>
      <c r="K127" s="88">
        <f>全车数据表!R128</f>
        <v>35</v>
      </c>
      <c r="L127" s="88">
        <f>全车数据表!S128</f>
        <v>38</v>
      </c>
      <c r="M127" s="88">
        <f>全车数据表!T128</f>
        <v>42</v>
      </c>
      <c r="N127" s="88">
        <f>全车数据表!U128</f>
        <v>48</v>
      </c>
      <c r="O127" s="88">
        <f>全车数据表!V128</f>
        <v>52</v>
      </c>
      <c r="P127" s="88">
        <f>全车数据表!J128</f>
        <v>3627</v>
      </c>
      <c r="Q127" s="88">
        <f>全车数据表!K128</f>
        <v>373.5</v>
      </c>
      <c r="R127" s="88">
        <f>全车数据表!L128</f>
        <v>76.72</v>
      </c>
      <c r="S127" s="88">
        <f>全车数据表!M128</f>
        <v>52.63</v>
      </c>
      <c r="T127" s="88">
        <f>全车数据表!N128</f>
        <v>55.45</v>
      </c>
      <c r="U127" s="88">
        <f>全车数据表!O128</f>
        <v>5.15</v>
      </c>
      <c r="V127" s="88">
        <f>全车数据表!AL128</f>
        <v>6741200</v>
      </c>
      <c r="W127" s="88">
        <f>全车数据表!AM128</f>
        <v>45000</v>
      </c>
      <c r="X127" s="88">
        <f>全车数据表!AU128</f>
        <v>6480000</v>
      </c>
      <c r="Y127" s="88">
        <f>全车数据表!AV128</f>
        <v>13221200</v>
      </c>
      <c r="Z127" s="88">
        <f>全车数据表!AN128</f>
        <v>8</v>
      </c>
      <c r="AA127" s="88">
        <f>全车数据表!AP128</f>
        <v>5</v>
      </c>
      <c r="AB127" s="88">
        <f>全车数据表!AR128</f>
        <v>3</v>
      </c>
      <c r="AC127" s="88">
        <f>全车数据表!AW128</f>
        <v>388</v>
      </c>
      <c r="AD127" s="88">
        <f>全车数据表!AX128</f>
        <v>0</v>
      </c>
      <c r="AE127" s="88">
        <f>全车数据表!AY128</f>
        <v>519</v>
      </c>
      <c r="AF127" s="88" t="str">
        <f>IF(全车数据表!BA128="","",全车数据表!BA128)</f>
        <v>大奖赛</v>
      </c>
      <c r="AG127" s="88" t="str">
        <f>IF(全车数据表!BB128="","",全车数据表!BB128)</f>
        <v/>
      </c>
      <c r="AH127" s="88" t="str">
        <f>IF(全车数据表!BC128="","",全车数据表!BC128)</f>
        <v/>
      </c>
      <c r="AI127" s="88" t="str">
        <f>IF(全车数据表!BD128="","",全车数据表!BD128)</f>
        <v/>
      </c>
      <c r="AJ127" s="88" t="str">
        <f>IF(全车数据表!BE128="","",全车数据表!BE128)</f>
        <v/>
      </c>
      <c r="AK127" s="88" t="str">
        <f>IF(全车数据表!BF128="","",全车数据表!BF128)</f>
        <v/>
      </c>
      <c r="AL127" s="88" t="str">
        <f>IF(全车数据表!BG128="","",全车数据表!BG128)</f>
        <v/>
      </c>
      <c r="AM127" s="88" t="str">
        <f>IF(全车数据表!BH128="","",全车数据表!BH128)</f>
        <v/>
      </c>
      <c r="AN127" s="88" t="str">
        <f>IF(全车数据表!BI128="","",全车数据表!BI128)</f>
        <v/>
      </c>
      <c r="AO127" s="88" t="str">
        <f>IF(全车数据表!BJ128="","",全车数据表!BJ128)</f>
        <v/>
      </c>
      <c r="AP127" s="88" t="str">
        <f>IF(全车数据表!BK128="","",全车数据表!BK128)</f>
        <v/>
      </c>
      <c r="AQ127" s="88" t="str">
        <f>IF(全车数据表!BL128="","",全车数据表!BL128)</f>
        <v/>
      </c>
      <c r="AR127" s="88">
        <f>IF(全车数据表!BM128="","",全车数据表!BM128)</f>
        <v>1</v>
      </c>
      <c r="AS127" s="88" t="str">
        <f>IF(全车数据表!BN128="","",全车数据表!BN128)</f>
        <v/>
      </c>
      <c r="AT127" s="88">
        <f>IF(全车数据表!BO128="","",全车数据表!BO128)</f>
        <v>1</v>
      </c>
      <c r="AU127" s="88">
        <f>IF(全车数据表!BP128="","",全车数据表!BP128)</f>
        <v>1</v>
      </c>
      <c r="AV127" s="88" t="str">
        <f>IF(全车数据表!BQ128="","",全车数据表!BQ128)</f>
        <v>1款</v>
      </c>
      <c r="AW127" s="88" t="str">
        <f>IF(全车数据表!BR128="","",全车数据表!BR128)</f>
        <v/>
      </c>
      <c r="AX127" s="88" t="str">
        <f>IF(全车数据表!BS128="","",全车数据表!BS128)</f>
        <v/>
      </c>
      <c r="AY127" s="88" t="str">
        <f>IF(全车数据表!BT128="","",全车数据表!BT128)</f>
        <v/>
      </c>
      <c r="AZ127" s="88" t="str">
        <f>IF(全车数据表!BU128="","",全车数据表!BU128)</f>
        <v/>
      </c>
      <c r="BA127" s="88" t="str">
        <f>IF(全车数据表!BV128="","",全车数据表!BV128)</f>
        <v>日产</v>
      </c>
      <c r="BB127" s="91" t="str">
        <f>IF(全车数据表!AZ128="","",全车数据表!AZ128)</f>
        <v/>
      </c>
    </row>
    <row r="128" spans="1:54">
      <c r="A128" s="88">
        <f>全车数据表!A129</f>
        <v>127</v>
      </c>
      <c r="B128" s="88" t="str">
        <f>全车数据表!B129</f>
        <v>LEGO Technic Chevrolet Corvette Stingray</v>
      </c>
      <c r="C128" s="89" t="str">
        <f>全车数据表!E129</f>
        <v>legostingray</v>
      </c>
      <c r="D128" s="88" t="str">
        <f>IF(全车数据表!D129="","",全车数据表!D129)</f>
        <v>LEGO Technic</v>
      </c>
      <c r="E128" s="89" t="str">
        <f>全车数据表!H129</f>
        <v>5.0</v>
      </c>
      <c r="F128" s="89" t="str">
        <f>全车数据表!C129</f>
        <v>乐高C8R</v>
      </c>
      <c r="G128" s="89" t="str">
        <f>全车数据表!F129</f>
        <v>B</v>
      </c>
      <c r="H128" s="88">
        <f>LEN(全车数据表!G129)</f>
        <v>5</v>
      </c>
      <c r="I128" s="88" t="str">
        <f>VLOOKUP(全车数据表!P129,辅助计算!A:B,2,FALSE)</f>
        <v>epic</v>
      </c>
      <c r="J128" s="88">
        <f>全车数据表!Q129</f>
        <v>45</v>
      </c>
      <c r="K128" s="88">
        <f>全车数据表!R129</f>
        <v>17</v>
      </c>
      <c r="L128" s="88">
        <f>全车数据表!S129</f>
        <v>23</v>
      </c>
      <c r="M128" s="88">
        <f>全车数据表!T129</f>
        <v>32</v>
      </c>
      <c r="N128" s="88">
        <f>全车数据表!U129</f>
        <v>45</v>
      </c>
      <c r="O128" s="88">
        <f>全车数据表!V129</f>
        <v>0</v>
      </c>
      <c r="P128" s="88">
        <f>全车数据表!J129</f>
        <v>3647</v>
      </c>
      <c r="Q128" s="88">
        <f>全车数据表!K129</f>
        <v>327.7</v>
      </c>
      <c r="R128" s="88">
        <f>全车数据表!L129</f>
        <v>82.76</v>
      </c>
      <c r="S128" s="88">
        <f>全车数据表!M129</f>
        <v>80.66</v>
      </c>
      <c r="T128" s="88">
        <f>全车数据表!N129</f>
        <v>70.400000000000006</v>
      </c>
      <c r="U128" s="88">
        <f>全车数据表!O129</f>
        <v>0</v>
      </c>
      <c r="V128" s="88">
        <f>全车数据表!AL129</f>
        <v>7552000</v>
      </c>
      <c r="W128" s="88">
        <f>全车数据表!AM129</f>
        <v>30000</v>
      </c>
      <c r="X128" s="88">
        <f>全车数据表!AU129</f>
        <v>3600000</v>
      </c>
      <c r="Y128" s="88">
        <f>全车数据表!AV129</f>
        <v>11152000</v>
      </c>
      <c r="Z128" s="88">
        <f>全车数据表!AN129</f>
        <v>8</v>
      </c>
      <c r="AA128" s="88">
        <f>全车数据表!AP129</f>
        <v>5</v>
      </c>
      <c r="AB128" s="88">
        <f>全车数据表!AR129</f>
        <v>2</v>
      </c>
      <c r="AC128" s="88">
        <f>全车数据表!AW129</f>
        <v>343</v>
      </c>
      <c r="AD128" s="88">
        <f>全车数据表!AX129</f>
        <v>0</v>
      </c>
      <c r="AE128" s="88">
        <f>全车数据表!AY129</f>
        <v>443</v>
      </c>
      <c r="AF128" s="88" t="str">
        <f>IF(全车数据表!BA129="","",全车数据表!BA129)</f>
        <v>专属赛事</v>
      </c>
      <c r="AG128" s="88" t="str">
        <f>IF(全车数据表!BB129="","",全车数据表!BB129)</f>
        <v/>
      </c>
      <c r="AH128" s="88" t="str">
        <f>IF(全车数据表!BC129="","",全车数据表!BC129)</f>
        <v/>
      </c>
      <c r="AI128" s="88" t="str">
        <f>IF(全车数据表!BD129="","",全车数据表!BD129)</f>
        <v/>
      </c>
      <c r="AJ128" s="88" t="str">
        <f>IF(全车数据表!BE129="","",全车数据表!BE129)</f>
        <v/>
      </c>
      <c r="AK128" s="88" t="str">
        <f>IF(全车数据表!BF129="","",全车数据表!BF129)</f>
        <v/>
      </c>
      <c r="AL128" s="88" t="str">
        <f>IF(全车数据表!BG129="","",全车数据表!BG129)</f>
        <v/>
      </c>
      <c r="AM128" s="88" t="str">
        <f>IF(全车数据表!BH129="","",全车数据表!BH129)</f>
        <v/>
      </c>
      <c r="AN128" s="88" t="str">
        <f>IF(全车数据表!BI129="","",全车数据表!BI129)</f>
        <v/>
      </c>
      <c r="AO128" s="88" t="str">
        <f>IF(全车数据表!BJ129="","",全车数据表!BJ129)</f>
        <v/>
      </c>
      <c r="AP128" s="88" t="str">
        <f>IF(全车数据表!BK129="","",全车数据表!BK129)</f>
        <v/>
      </c>
      <c r="AQ128" s="88" t="str">
        <f>IF(全车数据表!BL129="","",全车数据表!BL129)</f>
        <v/>
      </c>
      <c r="AR128" s="88" t="str">
        <f>IF(全车数据表!BM129="","",全车数据表!BM129)</f>
        <v/>
      </c>
      <c r="AS128" s="88" t="str">
        <f>IF(全车数据表!BN129="","",全车数据表!BN129)</f>
        <v/>
      </c>
      <c r="AT128" s="88" t="str">
        <f>IF(全车数据表!BO129="","",全车数据表!BO129)</f>
        <v/>
      </c>
      <c r="AU128" s="88" t="str">
        <f>IF(全车数据表!BP129="","",全车数据表!BP129)</f>
        <v/>
      </c>
      <c r="AV128" s="88" t="str">
        <f>IF(全车数据表!BQ129="","",全车数据表!BQ129)</f>
        <v/>
      </c>
      <c r="AW128" s="88" t="str">
        <f>IF(全车数据表!BR129="","",全车数据表!BR129)</f>
        <v/>
      </c>
      <c r="AX128" s="88" t="str">
        <f>IF(全车数据表!BS129="","",全车数据表!BS129)</f>
        <v/>
      </c>
      <c r="AY128" s="88" t="str">
        <f>IF(全车数据表!BT129="","",全车数据表!BT129)</f>
        <v/>
      </c>
      <c r="AZ128" s="88" t="str">
        <f>IF(全车数据表!BU129="","",全车数据表!BU129)</f>
        <v/>
      </c>
      <c r="BA128" s="88" t="str">
        <f>IF(全车数据表!BV129="","",全车数据表!BV129)</f>
        <v>黄貂鱼 雪佛兰 克尔维特</v>
      </c>
      <c r="BB128" s="91" t="str">
        <f>IF(全车数据表!AZ129="","",全车数据表!AZ129)</f>
        <v/>
      </c>
    </row>
    <row r="129" spans="1:54">
      <c r="A129" s="88">
        <f>全车数据表!A130</f>
        <v>128</v>
      </c>
      <c r="B129" s="88" t="str">
        <f>全车数据表!B130</f>
        <v>McLaren 765LT</v>
      </c>
      <c r="C129" s="89" t="str">
        <f>全车数据表!E130</f>
        <v>765lt</v>
      </c>
      <c r="D129" s="88" t="str">
        <f>IF(全车数据表!D130="","",全车数据表!D130)</f>
        <v>McLaren</v>
      </c>
      <c r="E129" s="89" t="str">
        <f>全车数据表!H130</f>
        <v>3.6</v>
      </c>
      <c r="F129" s="89" t="str">
        <f>全车数据表!C130</f>
        <v>765LT</v>
      </c>
      <c r="G129" s="89" t="str">
        <f>全车数据表!F130</f>
        <v>B</v>
      </c>
      <c r="H129" s="88">
        <f>LEN(全车数据表!G130)</f>
        <v>5</v>
      </c>
      <c r="I129" s="88" t="str">
        <f>VLOOKUP(全车数据表!P130,辅助计算!A:B,2,FALSE)</f>
        <v>epic</v>
      </c>
      <c r="J129" s="88">
        <f>全车数据表!Q130</f>
        <v>40</v>
      </c>
      <c r="K129" s="88">
        <f>全车数据表!R130</f>
        <v>30</v>
      </c>
      <c r="L129" s="88">
        <f>全车数据表!S130</f>
        <v>36</v>
      </c>
      <c r="M129" s="88">
        <f>全车数据表!T130</f>
        <v>40</v>
      </c>
      <c r="N129" s="88">
        <f>全车数据表!U130</f>
        <v>43</v>
      </c>
      <c r="O129" s="88">
        <f>全车数据表!V130</f>
        <v>0</v>
      </c>
      <c r="P129" s="88">
        <f>全车数据表!J130</f>
        <v>3651</v>
      </c>
      <c r="Q129" s="88">
        <f>全车数据表!K130</f>
        <v>349.5</v>
      </c>
      <c r="R129" s="88">
        <f>全车数据表!L130</f>
        <v>80.5</v>
      </c>
      <c r="S129" s="88">
        <f>全车数据表!M130</f>
        <v>70.61</v>
      </c>
      <c r="T129" s="88">
        <f>全车数据表!N130</f>
        <v>62.26</v>
      </c>
      <c r="U129" s="88">
        <f>全车数据表!O130</f>
        <v>0</v>
      </c>
      <c r="V129" s="88">
        <f>全车数据表!AL130</f>
        <v>5950600</v>
      </c>
      <c r="W129" s="88">
        <f>全车数据表!AM130</f>
        <v>25000</v>
      </c>
      <c r="X129" s="88">
        <f>全车数据表!AU130</f>
        <v>3000000</v>
      </c>
      <c r="Y129" s="88">
        <f>全车数据表!AV130</f>
        <v>8950600</v>
      </c>
      <c r="Z129" s="88">
        <f>全车数据表!AN130</f>
        <v>8</v>
      </c>
      <c r="AA129" s="88">
        <f>全车数据表!AP130</f>
        <v>5</v>
      </c>
      <c r="AB129" s="88">
        <f>全车数据表!AR130</f>
        <v>2</v>
      </c>
      <c r="AC129" s="88">
        <f>全车数据表!AW130</f>
        <v>363</v>
      </c>
      <c r="AD129" s="88">
        <f>全车数据表!AX130</f>
        <v>0</v>
      </c>
      <c r="AE129" s="88">
        <f>全车数据表!AY130</f>
        <v>477</v>
      </c>
      <c r="AF129" s="88" t="str">
        <f>IF(全车数据表!BA130="","",全车数据表!BA130)</f>
        <v>通行证</v>
      </c>
      <c r="AG129" s="88" t="str">
        <f>IF(全车数据表!BB130="","",全车数据表!BB130)</f>
        <v/>
      </c>
      <c r="AH129" s="88" t="str">
        <f>IF(全车数据表!BC130="","",全车数据表!BC130)</f>
        <v/>
      </c>
      <c r="AI129" s="88" t="str">
        <f>IF(全车数据表!BD130="","",全车数据表!BD130)</f>
        <v/>
      </c>
      <c r="AJ129" s="88" t="str">
        <f>IF(全车数据表!BE130="","",全车数据表!BE130)</f>
        <v/>
      </c>
      <c r="AK129" s="88" t="str">
        <f>IF(全车数据表!BF130="","",全车数据表!BF130)</f>
        <v/>
      </c>
      <c r="AL129" s="88" t="str">
        <f>IF(全车数据表!BG130="","",全车数据表!BG130)</f>
        <v/>
      </c>
      <c r="AM129" s="88">
        <f>IF(全车数据表!BH130="","",全车数据表!BH130)</f>
        <v>1</v>
      </c>
      <c r="AN129" s="88" t="str">
        <f>IF(全车数据表!BI130="","",全车数据表!BI130)</f>
        <v/>
      </c>
      <c r="AO129" s="88" t="str">
        <f>IF(全车数据表!BJ130="","",全车数据表!BJ130)</f>
        <v/>
      </c>
      <c r="AP129" s="88" t="str">
        <f>IF(全车数据表!BK130="","",全车数据表!BK130)</f>
        <v/>
      </c>
      <c r="AQ129" s="88" t="str">
        <f>IF(全车数据表!BL130="","",全车数据表!BL130)</f>
        <v/>
      </c>
      <c r="AR129" s="88" t="str">
        <f>IF(全车数据表!BM130="","",全车数据表!BM130)</f>
        <v/>
      </c>
      <c r="AS129" s="88" t="str">
        <f>IF(全车数据表!BN130="","",全车数据表!BN130)</f>
        <v/>
      </c>
      <c r="AT129" s="88" t="str">
        <f>IF(全车数据表!BO130="","",全车数据表!BO130)</f>
        <v/>
      </c>
      <c r="AU129" s="88" t="str">
        <f>IF(全车数据表!BP130="","",全车数据表!BP130)</f>
        <v/>
      </c>
      <c r="AV129" s="88" t="str">
        <f>IF(全车数据表!BQ130="","",全车数据表!BQ130)</f>
        <v/>
      </c>
      <c r="AW129" s="88" t="str">
        <f>IF(全车数据表!BR130="","",全车数据表!BR130)</f>
        <v/>
      </c>
      <c r="AX129" s="88" t="str">
        <f>IF(全车数据表!BS130="","",全车数据表!BS130)</f>
        <v/>
      </c>
      <c r="AY129" s="88" t="str">
        <f>IF(全车数据表!BT130="","",全车数据表!BT130)</f>
        <v/>
      </c>
      <c r="AZ129" s="88" t="str">
        <f>IF(全车数据表!BU130="","",全车数据表!BU130)</f>
        <v/>
      </c>
      <c r="BA129" s="88" t="str">
        <f>IF(全车数据表!BV130="","",全车数据表!BV130)</f>
        <v>迈凯伦</v>
      </c>
      <c r="BB129" s="91" t="str">
        <f>IF(全车数据表!AZ130="","",全车数据表!AZ130)</f>
        <v/>
      </c>
    </row>
    <row r="130" spans="1:54">
      <c r="A130" s="88">
        <f>全车数据表!A131</f>
        <v>129</v>
      </c>
      <c r="B130" s="88" t="str">
        <f>全车数据表!B131</f>
        <v>BMW M4 GT3</v>
      </c>
      <c r="C130" s="89" t="str">
        <f>全车数据表!E131</f>
        <v>m4gt3</v>
      </c>
      <c r="D130" s="88" t="str">
        <f>IF(全车数据表!D131="","",全车数据表!D131)</f>
        <v>BMW</v>
      </c>
      <c r="E130" s="89" t="str">
        <f>全车数据表!H131</f>
        <v>4.2</v>
      </c>
      <c r="F130" s="89" t="str">
        <f>全车数据表!C131</f>
        <v>M4 GT3</v>
      </c>
      <c r="G130" s="89" t="str">
        <f>全车数据表!F131</f>
        <v>B</v>
      </c>
      <c r="H130" s="88">
        <f>LEN(全车数据表!G131)</f>
        <v>5</v>
      </c>
      <c r="I130" s="88" t="str">
        <f>VLOOKUP(全车数据表!P131,辅助计算!A:B,2,FALSE)</f>
        <v>epic</v>
      </c>
      <c r="J130" s="88">
        <f>全车数据表!Q131</f>
        <v>40</v>
      </c>
      <c r="K130" s="88">
        <f>全车数据表!R131</f>
        <v>42</v>
      </c>
      <c r="L130" s="88">
        <f>全车数据表!S131</f>
        <v>42</v>
      </c>
      <c r="M130" s="88">
        <f>全车数据表!T131</f>
        <v>45</v>
      </c>
      <c r="N130" s="88">
        <f>全车数据表!U131</f>
        <v>46</v>
      </c>
      <c r="O130" s="88">
        <f>全车数据表!V131</f>
        <v>0</v>
      </c>
      <c r="P130" s="88">
        <f>全车数据表!J131</f>
        <v>3665</v>
      </c>
      <c r="Q130" s="88">
        <f>全车数据表!K131</f>
        <v>346.9</v>
      </c>
      <c r="R130" s="88">
        <f>全车数据表!L131</f>
        <v>79.569999999999993</v>
      </c>
      <c r="S130" s="88">
        <f>全车数据表!M131</f>
        <v>69.5</v>
      </c>
      <c r="T130" s="88">
        <f>全车数据表!N131</f>
        <v>65.650000000000006</v>
      </c>
      <c r="U130" s="88">
        <f>全车数据表!O131</f>
        <v>0</v>
      </c>
      <c r="V130" s="88">
        <f>全车数据表!AL131</f>
        <v>7552000</v>
      </c>
      <c r="W130" s="88">
        <f>全车数据表!AM131</f>
        <v>40000</v>
      </c>
      <c r="X130" s="88">
        <f>全车数据表!AU131</f>
        <v>4800000</v>
      </c>
      <c r="Y130" s="88">
        <f>全车数据表!AV131</f>
        <v>12352000</v>
      </c>
      <c r="Z130" s="88">
        <f>全车数据表!AN131</f>
        <v>8</v>
      </c>
      <c r="AA130" s="88">
        <f>全车数据表!AP131</f>
        <v>5</v>
      </c>
      <c r="AB130" s="88">
        <f>全车数据表!AR131</f>
        <v>2</v>
      </c>
      <c r="AC130" s="88">
        <f>全车数据表!AW131</f>
        <v>0</v>
      </c>
      <c r="AD130" s="88">
        <f>全车数据表!AX131</f>
        <v>0</v>
      </c>
      <c r="AE130" s="88">
        <f>全车数据表!AY131</f>
        <v>0</v>
      </c>
      <c r="AF130" s="88" t="str">
        <f>IF(全车数据表!BA131="","",全车数据表!BA131)</f>
        <v>通行证</v>
      </c>
      <c r="AG130" s="88" t="str">
        <f>IF(全车数据表!BB131="","",全车数据表!BB131)</f>
        <v/>
      </c>
      <c r="AH130" s="88" t="str">
        <f>IF(全车数据表!BC131="","",全车数据表!BC131)</f>
        <v/>
      </c>
      <c r="AI130" s="88" t="str">
        <f>IF(全车数据表!BD131="","",全车数据表!BD131)</f>
        <v/>
      </c>
      <c r="AJ130" s="88" t="str">
        <f>IF(全车数据表!BE131="","",全车数据表!BE131)</f>
        <v/>
      </c>
      <c r="AK130" s="88" t="str">
        <f>IF(全车数据表!BF131="","",全车数据表!BF131)</f>
        <v/>
      </c>
      <c r="AL130" s="88" t="str">
        <f>IF(全车数据表!BG131="","",全车数据表!BG131)</f>
        <v/>
      </c>
      <c r="AM130" s="88">
        <f>IF(全车数据表!BH131="","",全车数据表!BH131)</f>
        <v>1</v>
      </c>
      <c r="AN130" s="88" t="str">
        <f>IF(全车数据表!BI131="","",全车数据表!BI131)</f>
        <v/>
      </c>
      <c r="AO130" s="88" t="str">
        <f>IF(全车数据表!BJ131="","",全车数据表!BJ131)</f>
        <v/>
      </c>
      <c r="AP130" s="88" t="str">
        <f>IF(全车数据表!BK131="","",全车数据表!BK131)</f>
        <v/>
      </c>
      <c r="AQ130" s="88" t="str">
        <f>IF(全车数据表!BL131="","",全车数据表!BL131)</f>
        <v/>
      </c>
      <c r="AR130" s="88" t="str">
        <f>IF(全车数据表!BM131="","",全车数据表!BM131)</f>
        <v/>
      </c>
      <c r="AS130" s="88" t="str">
        <f>IF(全车数据表!BN131="","",全车数据表!BN131)</f>
        <v/>
      </c>
      <c r="AT130" s="88" t="str">
        <f>IF(全车数据表!BO131="","",全车数据表!BO131)</f>
        <v/>
      </c>
      <c r="AU130" s="88" t="str">
        <f>IF(全车数据表!BP131="","",全车数据表!BP131)</f>
        <v/>
      </c>
      <c r="AV130" s="88" t="str">
        <f>IF(全车数据表!BQ131="","",全车数据表!BQ131)</f>
        <v/>
      </c>
      <c r="AW130" s="88" t="str">
        <f>IF(全车数据表!BR131="","",全车数据表!BR131)</f>
        <v/>
      </c>
      <c r="AX130" s="88" t="str">
        <f>IF(全车数据表!BS131="","",全车数据表!BS131)</f>
        <v/>
      </c>
      <c r="AY130" s="88" t="str">
        <f>IF(全车数据表!BT131="","",全车数据表!BT131)</f>
        <v/>
      </c>
      <c r="AZ130" s="88" t="str">
        <f>IF(全车数据表!BU131="","",全车数据表!BU131)</f>
        <v/>
      </c>
      <c r="BA130" s="88" t="str">
        <f>IF(全车数据表!BV131="","",全车数据表!BV131)</f>
        <v>宝马</v>
      </c>
      <c r="BB130" s="91" t="str">
        <f>IF(全车数据表!AZ131="","",全车数据表!AZ131)</f>
        <v/>
      </c>
    </row>
    <row r="131" spans="1:54">
      <c r="A131" s="88">
        <f>全车数据表!A132</f>
        <v>130</v>
      </c>
      <c r="B131" s="88" t="str">
        <f>全车数据表!B132</f>
        <v>Lamborghini Miura Concept🔑</v>
      </c>
      <c r="C131" s="89" t="str">
        <f>全车数据表!E132</f>
        <v>miura</v>
      </c>
      <c r="D131" s="88" t="str">
        <f>IF(全车数据表!D132="","",全车数据表!D132)</f>
        <v>Lamborghini</v>
      </c>
      <c r="E131" s="89" t="str">
        <f>全车数据表!H132</f>
        <v>3.7</v>
      </c>
      <c r="F131" s="89" t="str">
        <f>全车数据表!C132</f>
        <v>Miura</v>
      </c>
      <c r="G131" s="89" t="str">
        <f>全车数据表!F132</f>
        <v>B</v>
      </c>
      <c r="H131" s="88">
        <f>LEN(全车数据表!G132)</f>
        <v>5</v>
      </c>
      <c r="I131" s="88" t="str">
        <f>VLOOKUP(全车数据表!P132,辅助计算!A:B,2,FALSE)</f>
        <v>epic</v>
      </c>
      <c r="J131" s="88" t="str">
        <f>全车数据表!Q132</f>
        <v>🔑</v>
      </c>
      <c r="K131" s="88">
        <f>全车数据表!R132</f>
        <v>35</v>
      </c>
      <c r="L131" s="88">
        <f>全车数据表!S132</f>
        <v>40</v>
      </c>
      <c r="M131" s="88">
        <f>全车数据表!T132</f>
        <v>52</v>
      </c>
      <c r="N131" s="88">
        <f>全车数据表!U132</f>
        <v>70</v>
      </c>
      <c r="O131" s="88">
        <f>全车数据表!V132</f>
        <v>0</v>
      </c>
      <c r="P131" s="88">
        <f>全车数据表!J132</f>
        <v>3688</v>
      </c>
      <c r="Q131" s="88">
        <f>全车数据表!K132</f>
        <v>346.7</v>
      </c>
      <c r="R131" s="88">
        <f>全车数据表!L132</f>
        <v>73.39</v>
      </c>
      <c r="S131" s="88">
        <f>全车数据表!M132</f>
        <v>56.22</v>
      </c>
      <c r="T131" s="88">
        <f>全车数据表!N132</f>
        <v>60.53</v>
      </c>
      <c r="U131" s="88">
        <f>全车数据表!O132</f>
        <v>0</v>
      </c>
      <c r="V131" s="88">
        <f>全车数据表!AL132</f>
        <v>5950600</v>
      </c>
      <c r="W131" s="88">
        <f>全车数据表!AM132</f>
        <v>32500</v>
      </c>
      <c r="X131" s="88">
        <f>全车数据表!AU132</f>
        <v>3900000</v>
      </c>
      <c r="Y131" s="88">
        <f>全车数据表!AV132</f>
        <v>9850600</v>
      </c>
      <c r="Z131" s="88">
        <f>全车数据表!AN132</f>
        <v>8</v>
      </c>
      <c r="AA131" s="88">
        <f>全车数据表!AP132</f>
        <v>5</v>
      </c>
      <c r="AB131" s="88">
        <f>全车数据表!AR132</f>
        <v>2</v>
      </c>
      <c r="AC131" s="88">
        <f>全车数据表!AW132</f>
        <v>361</v>
      </c>
      <c r="AD131" s="88">
        <f>全车数据表!AX132</f>
        <v>0</v>
      </c>
      <c r="AE131" s="88">
        <f>全车数据表!AY132</f>
        <v>474</v>
      </c>
      <c r="AF131" s="88" t="str">
        <f>IF(全车数据表!BA132="","",全车数据表!BA132)</f>
        <v>大奖赛</v>
      </c>
      <c r="AG131" s="88" t="str">
        <f>IF(全车数据表!BB132="","",全车数据表!BB132)</f>
        <v/>
      </c>
      <c r="AH131" s="88" t="str">
        <f>IF(全车数据表!BC132="","",全车数据表!BC132)</f>
        <v/>
      </c>
      <c r="AI131" s="88" t="str">
        <f>IF(全车数据表!BD132="","",全车数据表!BD132)</f>
        <v/>
      </c>
      <c r="AJ131" s="88" t="str">
        <f>IF(全车数据表!BE132="","",全车数据表!BE132)</f>
        <v/>
      </c>
      <c r="AK131" s="88" t="str">
        <f>IF(全车数据表!BF132="","",全车数据表!BF132)</f>
        <v/>
      </c>
      <c r="AL131" s="88" t="str">
        <f>IF(全车数据表!BG132="","",全车数据表!BG132)</f>
        <v/>
      </c>
      <c r="AM131" s="88" t="str">
        <f>IF(全车数据表!BH132="","",全车数据表!BH132)</f>
        <v/>
      </c>
      <c r="AN131" s="88" t="str">
        <f>IF(全车数据表!BI132="","",全车数据表!BI132)</f>
        <v/>
      </c>
      <c r="AO131" s="88" t="str">
        <f>IF(全车数据表!BJ132="","",全车数据表!BJ132)</f>
        <v/>
      </c>
      <c r="AP131" s="88" t="str">
        <f>IF(全车数据表!BK132="","",全车数据表!BK132)</f>
        <v/>
      </c>
      <c r="AQ131" s="88" t="str">
        <f>IF(全车数据表!BL132="","",全车数据表!BL132)</f>
        <v/>
      </c>
      <c r="AR131" s="88">
        <f>IF(全车数据表!BM132="","",全车数据表!BM132)</f>
        <v>1</v>
      </c>
      <c r="AS131" s="88" t="str">
        <f>IF(全车数据表!BN132="","",全车数据表!BN132)</f>
        <v/>
      </c>
      <c r="AT131" s="88">
        <f>IF(全车数据表!BO132="","",全车数据表!BO132)</f>
        <v>1</v>
      </c>
      <c r="AU131" s="88">
        <f>IF(全车数据表!BP132="","",全车数据表!BP132)</f>
        <v>1</v>
      </c>
      <c r="AV131" s="88" t="str">
        <f>IF(全车数据表!BQ132="","",全车数据表!BQ132)</f>
        <v/>
      </c>
      <c r="AW131" s="88" t="str">
        <f>IF(全车数据表!BR132="","",全车数据表!BR132)</f>
        <v/>
      </c>
      <c r="AX131" s="88" t="str">
        <f>IF(全车数据表!BS132="","",全车数据表!BS132)</f>
        <v/>
      </c>
      <c r="AY131" s="88" t="str">
        <f>IF(全车数据表!BT132="","",全车数据表!BT132)</f>
        <v/>
      </c>
      <c r="AZ131" s="88" t="str">
        <f>IF(全车数据表!BU132="","",全车数据表!BU132)</f>
        <v/>
      </c>
      <c r="BA131" s="88" t="str">
        <f>IF(全车数据表!BV132="","",全车数据表!BV132)</f>
        <v>兰博基尼</v>
      </c>
      <c r="BB131" s="91" t="str">
        <f>IF(全车数据表!AZ132="","",全车数据表!AZ132)</f>
        <v/>
      </c>
    </row>
    <row r="132" spans="1:54">
      <c r="A132" s="88">
        <f>全车数据表!A133</f>
        <v>131</v>
      </c>
      <c r="B132" s="88" t="str">
        <f>全车数据表!B133</f>
        <v>Bugatti EB110🔑</v>
      </c>
      <c r="C132" s="89" t="str">
        <f>全车数据表!E133</f>
        <v>eb110</v>
      </c>
      <c r="D132" s="88" t="str">
        <f>IF(全车数据表!D133="","",全车数据表!D133)</f>
        <v>Bugatti</v>
      </c>
      <c r="E132" s="89" t="str">
        <f>全车数据表!H133</f>
        <v>3.6</v>
      </c>
      <c r="F132" s="89" t="str">
        <f>全车数据表!C133</f>
        <v>EB110</v>
      </c>
      <c r="G132" s="89" t="str">
        <f>全车数据表!F133</f>
        <v>B</v>
      </c>
      <c r="H132" s="88">
        <f>LEN(全车数据表!G133)</f>
        <v>5</v>
      </c>
      <c r="I132" s="88" t="str">
        <f>VLOOKUP(全车数据表!P133,辅助计算!A:B,2,FALSE)</f>
        <v>epic</v>
      </c>
      <c r="J132" s="88" t="str">
        <f>全车数据表!Q133</f>
        <v>🔑</v>
      </c>
      <c r="K132" s="88">
        <f>全车数据表!R133</f>
        <v>35</v>
      </c>
      <c r="L132" s="88">
        <f>全车数据表!S133</f>
        <v>40</v>
      </c>
      <c r="M132" s="88">
        <f>全车数据表!T133</f>
        <v>52</v>
      </c>
      <c r="N132" s="88">
        <f>全车数据表!U133</f>
        <v>70</v>
      </c>
      <c r="O132" s="88">
        <f>全车数据表!V133</f>
        <v>0</v>
      </c>
      <c r="P132" s="88">
        <f>全车数据表!J133</f>
        <v>3766</v>
      </c>
      <c r="Q132" s="88">
        <f>全车数据表!K133</f>
        <v>348.4</v>
      </c>
      <c r="R132" s="88">
        <f>全车数据表!L133</f>
        <v>74.11</v>
      </c>
      <c r="S132" s="88">
        <f>全车数据表!M133</f>
        <v>66.05</v>
      </c>
      <c r="T132" s="88">
        <f>全车数据表!N133</f>
        <v>58.11</v>
      </c>
      <c r="U132" s="88">
        <f>全车数据表!O133</f>
        <v>0</v>
      </c>
      <c r="V132" s="88">
        <f>全车数据表!AL133</f>
        <v>5950600</v>
      </c>
      <c r="W132" s="88">
        <f>全车数据表!AM133</f>
        <v>25000</v>
      </c>
      <c r="X132" s="88">
        <f>全车数据表!AU133</f>
        <v>3000000</v>
      </c>
      <c r="Y132" s="88">
        <f>全车数据表!AV133</f>
        <v>8950600</v>
      </c>
      <c r="Z132" s="88">
        <f>全车数据表!AN133</f>
        <v>8</v>
      </c>
      <c r="AA132" s="88">
        <f>全车数据表!AP133</f>
        <v>5</v>
      </c>
      <c r="AB132" s="88">
        <f>全车数据表!AR133</f>
        <v>2</v>
      </c>
      <c r="AC132" s="88">
        <f>全车数据表!AW133</f>
        <v>362</v>
      </c>
      <c r="AD132" s="88">
        <f>全车数据表!AX133</f>
        <v>0</v>
      </c>
      <c r="AE132" s="88">
        <f>全车数据表!AY133</f>
        <v>475</v>
      </c>
      <c r="AF132" s="88" t="str">
        <f>IF(全车数据表!BA133="","",全车数据表!BA133)</f>
        <v>大奖赛</v>
      </c>
      <c r="AG132" s="88" t="str">
        <f>IF(全车数据表!BB133="","",全车数据表!BB133)</f>
        <v/>
      </c>
      <c r="AH132" s="88" t="str">
        <f>IF(全车数据表!BC133="","",全车数据表!BC133)</f>
        <v/>
      </c>
      <c r="AI132" s="88" t="str">
        <f>IF(全车数据表!BD133="","",全车数据表!BD133)</f>
        <v/>
      </c>
      <c r="AJ132" s="88" t="str">
        <f>IF(全车数据表!BE133="","",全车数据表!BE133)</f>
        <v/>
      </c>
      <c r="AK132" s="88" t="str">
        <f>IF(全车数据表!BF133="","",全车数据表!BF133)</f>
        <v/>
      </c>
      <c r="AL132" s="88" t="str">
        <f>IF(全车数据表!BG133="","",全车数据表!BG133)</f>
        <v/>
      </c>
      <c r="AM132" s="88" t="str">
        <f>IF(全车数据表!BH133="","",全车数据表!BH133)</f>
        <v/>
      </c>
      <c r="AN132" s="88" t="str">
        <f>IF(全车数据表!BI133="","",全车数据表!BI133)</f>
        <v/>
      </c>
      <c r="AO132" s="88" t="str">
        <f>IF(全车数据表!BJ133="","",全车数据表!BJ133)</f>
        <v/>
      </c>
      <c r="AP132" s="88" t="str">
        <f>IF(全车数据表!BK133="","",全车数据表!BK133)</f>
        <v/>
      </c>
      <c r="AQ132" s="88" t="str">
        <f>IF(全车数据表!BL133="","",全车数据表!BL133)</f>
        <v/>
      </c>
      <c r="AR132" s="88">
        <f>IF(全车数据表!BM133="","",全车数据表!BM133)</f>
        <v>1</v>
      </c>
      <c r="AS132" s="88" t="str">
        <f>IF(全车数据表!BN133="","",全车数据表!BN133)</f>
        <v/>
      </c>
      <c r="AT132" s="88">
        <f>IF(全车数据表!BO133="","",全车数据表!BO133)</f>
        <v>1</v>
      </c>
      <c r="AU132" s="88">
        <f>IF(全车数据表!BP133="","",全车数据表!BP133)</f>
        <v>1</v>
      </c>
      <c r="AV132" s="88" t="str">
        <f>IF(全车数据表!BQ133="","",全车数据表!BQ133)</f>
        <v/>
      </c>
      <c r="AW132" s="88" t="str">
        <f>IF(全车数据表!BR133="","",全车数据表!BR133)</f>
        <v/>
      </c>
      <c r="AX132" s="88" t="str">
        <f>IF(全车数据表!BS133="","",全车数据表!BS133)</f>
        <v/>
      </c>
      <c r="AY132" s="88" t="str">
        <f>IF(全车数据表!BT133="","",全车数据表!BT133)</f>
        <v/>
      </c>
      <c r="AZ132" s="88" t="str">
        <f>IF(全车数据表!BU133="","",全车数据表!BU133)</f>
        <v/>
      </c>
      <c r="BA132" s="88" t="str">
        <f>IF(全车数据表!BV133="","",全车数据表!BV133)</f>
        <v>布加迪</v>
      </c>
      <c r="BB132" s="91" t="str">
        <f>IF(全车数据表!AZ133="","",全车数据表!AZ133)</f>
        <v/>
      </c>
    </row>
    <row r="133" spans="1:54">
      <c r="A133" s="88">
        <f>全车数据表!A134</f>
        <v>132</v>
      </c>
      <c r="B133" s="88" t="str">
        <f>全车数据表!B134</f>
        <v>Aston Martin One77</v>
      </c>
      <c r="C133" s="89" t="str">
        <f>全车数据表!E134</f>
        <v>one77</v>
      </c>
      <c r="D133" s="88" t="str">
        <f>IF(全车数据表!D134="","",全车数据表!D134)</f>
        <v>Aston Martin</v>
      </c>
      <c r="E133" s="89" t="str">
        <f>全车数据表!H134</f>
        <v>3.4</v>
      </c>
      <c r="F133" s="89" t="str">
        <f>全车数据表!C134</f>
        <v>One77</v>
      </c>
      <c r="G133" s="89" t="str">
        <f>全车数据表!F134</f>
        <v>B</v>
      </c>
      <c r="H133" s="88">
        <f>LEN(全车数据表!G134)</f>
        <v>5</v>
      </c>
      <c r="I133" s="88" t="str">
        <f>VLOOKUP(全车数据表!P134,辅助计算!A:B,2,FALSE)</f>
        <v>epic</v>
      </c>
      <c r="J133" s="88">
        <f>全车数据表!Q134</f>
        <v>40</v>
      </c>
      <c r="K133" s="88">
        <f>全车数据表!R134</f>
        <v>30</v>
      </c>
      <c r="L133" s="88">
        <f>全车数据表!S134</f>
        <v>36</v>
      </c>
      <c r="M133" s="88">
        <f>全车数据表!T134</f>
        <v>42</v>
      </c>
      <c r="N133" s="88">
        <f>全车数据表!U134</f>
        <v>52</v>
      </c>
      <c r="O133" s="88">
        <f>全车数据表!V134</f>
        <v>0</v>
      </c>
      <c r="P133" s="88">
        <f>全车数据表!J134</f>
        <v>3771</v>
      </c>
      <c r="Q133" s="88">
        <f>全车数据表!K134</f>
        <v>363.4</v>
      </c>
      <c r="R133" s="88">
        <f>全车数据表!L134</f>
        <v>79.319999999999993</v>
      </c>
      <c r="S133" s="88">
        <f>全车数据表!M134</f>
        <v>68.72</v>
      </c>
      <c r="T133" s="88">
        <f>全车数据表!N134</f>
        <v>56.56</v>
      </c>
      <c r="U133" s="88">
        <f>全车数据表!O134</f>
        <v>0</v>
      </c>
      <c r="V133" s="88">
        <f>全车数据表!AL134</f>
        <v>5950600</v>
      </c>
      <c r="W133" s="88">
        <f>全车数据表!AM134</f>
        <v>25000</v>
      </c>
      <c r="X133" s="88">
        <f>全车数据表!AU134</f>
        <v>3000000</v>
      </c>
      <c r="Y133" s="88">
        <f>全车数据表!AV134</f>
        <v>8950600</v>
      </c>
      <c r="Z133" s="88">
        <f>全车数据表!AN134</f>
        <v>8</v>
      </c>
      <c r="AA133" s="88">
        <f>全车数据表!AP134</f>
        <v>5</v>
      </c>
      <c r="AB133" s="88">
        <f>全车数据表!AR134</f>
        <v>2</v>
      </c>
      <c r="AC133" s="88">
        <f>全车数据表!AW134</f>
        <v>378</v>
      </c>
      <c r="AD133" s="88">
        <f>全车数据表!AX134</f>
        <v>0</v>
      </c>
      <c r="AE133" s="88">
        <f>全车数据表!AY134</f>
        <v>501</v>
      </c>
      <c r="AF133" s="88" t="str">
        <f>IF(全车数据表!BA134="","",全车数据表!BA134)</f>
        <v>通行证</v>
      </c>
      <c r="AG133" s="88" t="str">
        <f>IF(全车数据表!BB134="","",全车数据表!BB134)</f>
        <v/>
      </c>
      <c r="AH133" s="88" t="str">
        <f>IF(全车数据表!BC134="","",全车数据表!BC134)</f>
        <v/>
      </c>
      <c r="AI133" s="88" t="str">
        <f>IF(全车数据表!BD134="","",全车数据表!BD134)</f>
        <v/>
      </c>
      <c r="AJ133" s="88" t="str">
        <f>IF(全车数据表!BE134="","",全车数据表!BE134)</f>
        <v/>
      </c>
      <c r="AK133" s="88" t="str">
        <f>IF(全车数据表!BF134="","",全车数据表!BF134)</f>
        <v/>
      </c>
      <c r="AL133" s="88" t="str">
        <f>IF(全车数据表!BG134="","",全车数据表!BG134)</f>
        <v/>
      </c>
      <c r="AM133" s="88">
        <f>IF(全车数据表!BH134="","",全车数据表!BH134)</f>
        <v>1</v>
      </c>
      <c r="AN133" s="88" t="str">
        <f>IF(全车数据表!BI134="","",全车数据表!BI134)</f>
        <v/>
      </c>
      <c r="AO133" s="88" t="str">
        <f>IF(全车数据表!BJ134="","",全车数据表!BJ134)</f>
        <v/>
      </c>
      <c r="AP133" s="88" t="str">
        <f>IF(全车数据表!BK134="","",全车数据表!BK134)</f>
        <v/>
      </c>
      <c r="AQ133" s="88" t="str">
        <f>IF(全车数据表!BL134="","",全车数据表!BL134)</f>
        <v/>
      </c>
      <c r="AR133" s="88" t="str">
        <f>IF(全车数据表!BM134="","",全车数据表!BM134)</f>
        <v/>
      </c>
      <c r="AS133" s="88" t="str">
        <f>IF(全车数据表!BN134="","",全车数据表!BN134)</f>
        <v/>
      </c>
      <c r="AT133" s="88" t="str">
        <f>IF(全车数据表!BO134="","",全车数据表!BO134)</f>
        <v/>
      </c>
      <c r="AU133" s="88" t="str">
        <f>IF(全车数据表!BP134="","",全车数据表!BP134)</f>
        <v/>
      </c>
      <c r="AV133" s="88" t="str">
        <f>IF(全车数据表!BQ134="","",全车数据表!BQ134)</f>
        <v/>
      </c>
      <c r="AW133" s="88" t="str">
        <f>IF(全车数据表!BR134="","",全车数据表!BR134)</f>
        <v/>
      </c>
      <c r="AX133" s="88" t="str">
        <f>IF(全车数据表!BS134="","",全车数据表!BS134)</f>
        <v/>
      </c>
      <c r="AY133" s="88" t="str">
        <f>IF(全车数据表!BT134="","",全车数据表!BT134)</f>
        <v/>
      </c>
      <c r="AZ133" s="88" t="str">
        <f>IF(全车数据表!BU134="","",全车数据表!BU134)</f>
        <v/>
      </c>
      <c r="BA133" s="88" t="str">
        <f>IF(全车数据表!BV134="","",全车数据表!BV134)</f>
        <v>阿斯顿马丁</v>
      </c>
      <c r="BB133" s="91" t="str">
        <f>IF(全车数据表!AZ134="","",全车数据表!AZ134)</f>
        <v/>
      </c>
    </row>
    <row r="134" spans="1:54">
      <c r="A134" s="88">
        <f>全车数据表!A135</f>
        <v>133</v>
      </c>
      <c r="B134" s="88" t="str">
        <f>全车数据表!B135</f>
        <v>Maserati MC20🔑</v>
      </c>
      <c r="C134" s="89" t="str">
        <f>全车数据表!E135</f>
        <v>mc20</v>
      </c>
      <c r="D134" s="88" t="str">
        <f>IF(全车数据表!D135="","",全车数据表!D135)</f>
        <v>Maserati</v>
      </c>
      <c r="E134" s="89" t="str">
        <f>全车数据表!H135</f>
        <v>4.4</v>
      </c>
      <c r="F134" s="89" t="str">
        <f>全车数据表!C135</f>
        <v>MC20</v>
      </c>
      <c r="G134" s="89" t="str">
        <f>全车数据表!F135</f>
        <v>B</v>
      </c>
      <c r="H134" s="88">
        <f>LEN(全车数据表!G135)</f>
        <v>6</v>
      </c>
      <c r="I134" s="88" t="str">
        <f>VLOOKUP(全车数据表!P135,辅助计算!A:B,2,FALSE)</f>
        <v>epic</v>
      </c>
      <c r="J134" s="88" t="str">
        <f>全车数据表!Q135</f>
        <v>🔑</v>
      </c>
      <c r="K134" s="88">
        <f>全车数据表!R135</f>
        <v>35</v>
      </c>
      <c r="L134" s="88">
        <f>全车数据表!S135</f>
        <v>38</v>
      </c>
      <c r="M134" s="88">
        <f>全车数据表!T135</f>
        <v>42</v>
      </c>
      <c r="N134" s="88">
        <f>全车数据表!U135</f>
        <v>48</v>
      </c>
      <c r="O134" s="88">
        <f>全车数据表!V135</f>
        <v>52</v>
      </c>
      <c r="P134" s="88">
        <f>全车数据表!J135</f>
        <v>3772</v>
      </c>
      <c r="Q134" s="88">
        <f>全车数据表!K135</f>
        <v>335.7</v>
      </c>
      <c r="R134" s="88">
        <f>全车数据表!L135</f>
        <v>81.63</v>
      </c>
      <c r="S134" s="88">
        <f>全车数据表!M135</f>
        <v>90.78</v>
      </c>
      <c r="T134" s="88">
        <f>全车数据表!N135</f>
        <v>75.84</v>
      </c>
      <c r="U134" s="88">
        <f>全车数据表!O135</f>
        <v>0</v>
      </c>
      <c r="V134" s="88">
        <f>全车数据表!AL135</f>
        <v>8004000</v>
      </c>
      <c r="W134" s="88">
        <f>全车数据表!AM135</f>
        <v>50000</v>
      </c>
      <c r="X134" s="88">
        <f>全车数据表!AU135</f>
        <v>7200000</v>
      </c>
      <c r="Y134" s="88">
        <f>全车数据表!AV135</f>
        <v>15204000</v>
      </c>
      <c r="Z134" s="88">
        <f>全车数据表!AN135</f>
        <v>8</v>
      </c>
      <c r="AA134" s="88">
        <f>全车数据表!AP135</f>
        <v>5</v>
      </c>
      <c r="AB134" s="88">
        <f>全车数据表!AR135</f>
        <v>3</v>
      </c>
      <c r="AC134" s="88">
        <f>全车数据表!AW135</f>
        <v>0</v>
      </c>
      <c r="AD134" s="88">
        <f>全车数据表!AX135</f>
        <v>0</v>
      </c>
      <c r="AE134" s="88">
        <f>全车数据表!AY135</f>
        <v>0</v>
      </c>
      <c r="AF134" s="88" t="str">
        <f>IF(全车数据表!BA135="","",全车数据表!BA135)</f>
        <v>大奖赛</v>
      </c>
      <c r="AG134" s="88" t="str">
        <f>IF(全车数据表!BB135="","",全车数据表!BB135)</f>
        <v/>
      </c>
      <c r="AH134" s="88" t="str">
        <f>IF(全车数据表!BC135="","",全车数据表!BC135)</f>
        <v/>
      </c>
      <c r="AI134" s="88" t="str">
        <f>IF(全车数据表!BD135="","",全车数据表!BD135)</f>
        <v/>
      </c>
      <c r="AJ134" s="88" t="str">
        <f>IF(全车数据表!BE135="","",全车数据表!BE135)</f>
        <v/>
      </c>
      <c r="AK134" s="88" t="str">
        <f>IF(全车数据表!BF135="","",全车数据表!BF135)</f>
        <v/>
      </c>
      <c r="AL134" s="88" t="str">
        <f>IF(全车数据表!BG135="","",全车数据表!BG135)</f>
        <v/>
      </c>
      <c r="AM134" s="88" t="str">
        <f>IF(全车数据表!BH135="","",全车数据表!BH135)</f>
        <v/>
      </c>
      <c r="AN134" s="88" t="str">
        <f>IF(全车数据表!BI135="","",全车数据表!BI135)</f>
        <v/>
      </c>
      <c r="AO134" s="88" t="str">
        <f>IF(全车数据表!BJ135="","",全车数据表!BJ135)</f>
        <v/>
      </c>
      <c r="AP134" s="88" t="str">
        <f>IF(全车数据表!BK135="","",全车数据表!BK135)</f>
        <v/>
      </c>
      <c r="AQ134" s="88" t="str">
        <f>IF(全车数据表!BL135="","",全车数据表!BL135)</f>
        <v/>
      </c>
      <c r="AR134" s="88">
        <f>IF(全车数据表!BM135="","",全车数据表!BM135)</f>
        <v>1</v>
      </c>
      <c r="AS134" s="88" t="str">
        <f>IF(全车数据表!BN135="","",全车数据表!BN135)</f>
        <v/>
      </c>
      <c r="AT134" s="88">
        <f>IF(全车数据表!BO135="","",全车数据表!BO135)</f>
        <v>1</v>
      </c>
      <c r="AU134" s="88" t="str">
        <f>IF(全车数据表!BP135="","",全车数据表!BP135)</f>
        <v/>
      </c>
      <c r="AV134" s="88" t="str">
        <f>IF(全车数据表!BQ135="","",全车数据表!BQ135)</f>
        <v/>
      </c>
      <c r="AW134" s="88" t="str">
        <f>IF(全车数据表!BR135="","",全车数据表!BR135)</f>
        <v/>
      </c>
      <c r="AX134" s="88" t="str">
        <f>IF(全车数据表!BS135="","",全车数据表!BS135)</f>
        <v/>
      </c>
      <c r="AY134" s="88" t="str">
        <f>IF(全车数据表!BT135="","",全车数据表!BT135)</f>
        <v/>
      </c>
      <c r="AZ134" s="88" t="str">
        <f>IF(全车数据表!BU135="","",全车数据表!BU135)</f>
        <v/>
      </c>
      <c r="BA134" s="88" t="str">
        <f>IF(全车数据表!BV135="","",全车数据表!BV135)</f>
        <v>玛莎拉蒂</v>
      </c>
      <c r="BB134" s="91" t="str">
        <f>IF(全车数据表!AZ135="","",全车数据表!AZ135)</f>
        <v/>
      </c>
    </row>
    <row r="135" spans="1:54">
      <c r="A135" s="88">
        <f>全车数据表!A136</f>
        <v>134</v>
      </c>
      <c r="B135" s="88" t="str">
        <f>全车数据表!B136</f>
        <v>Chevrolet Corvette Stingray</v>
      </c>
      <c r="C135" s="89" t="str">
        <f>全车数据表!E136</f>
        <v>stingray</v>
      </c>
      <c r="D135" s="88" t="str">
        <f>IF(全车数据表!D136="","",全车数据表!D136)</f>
        <v>Chevrolet Corvette</v>
      </c>
      <c r="E135" s="89" t="str">
        <f>全车数据表!H136</f>
        <v>2.8</v>
      </c>
      <c r="F135" s="89" t="str">
        <f>全车数据表!C136</f>
        <v>C8</v>
      </c>
      <c r="G135" s="89" t="str">
        <f>全车数据表!F136</f>
        <v>B</v>
      </c>
      <c r="H135" s="88">
        <f>LEN(全车数据表!G136)</f>
        <v>5</v>
      </c>
      <c r="I135" s="88" t="str">
        <f>VLOOKUP(全车数据表!P136,辅助计算!A:B,2,FALSE)</f>
        <v>epic</v>
      </c>
      <c r="J135" s="88">
        <f>全车数据表!Q136</f>
        <v>40</v>
      </c>
      <c r="K135" s="88">
        <f>全车数据表!R136</f>
        <v>30</v>
      </c>
      <c r="L135" s="88">
        <f>全车数据表!S136</f>
        <v>36</v>
      </c>
      <c r="M135" s="88">
        <f>全车数据表!T136</f>
        <v>40</v>
      </c>
      <c r="N135" s="88">
        <f>全车数据表!U136</f>
        <v>43</v>
      </c>
      <c r="O135" s="88">
        <f>全车数据表!V136</f>
        <v>0</v>
      </c>
      <c r="P135" s="88">
        <f>全车数据表!J136</f>
        <v>3788</v>
      </c>
      <c r="Q135" s="88">
        <f>全车数据表!K136</f>
        <v>327</v>
      </c>
      <c r="R135" s="88">
        <f>全车数据表!L136</f>
        <v>81.52</v>
      </c>
      <c r="S135" s="88">
        <f>全车数据表!M136</f>
        <v>60.15</v>
      </c>
      <c r="T135" s="88">
        <f>全车数据表!N136</f>
        <v>64.47</v>
      </c>
      <c r="U135" s="88">
        <f>全车数据表!O136</f>
        <v>7.1</v>
      </c>
      <c r="V135" s="88">
        <f>全车数据表!AL136</f>
        <v>5950600</v>
      </c>
      <c r="W135" s="88">
        <f>全车数据表!AM136</f>
        <v>25000</v>
      </c>
      <c r="X135" s="88">
        <f>全车数据表!AU136</f>
        <v>3000000</v>
      </c>
      <c r="Y135" s="88">
        <f>全车数据表!AV136</f>
        <v>8950600</v>
      </c>
      <c r="Z135" s="88">
        <f>全车数据表!AN136</f>
        <v>8</v>
      </c>
      <c r="AA135" s="88">
        <f>全车数据表!AP136</f>
        <v>5</v>
      </c>
      <c r="AB135" s="88">
        <f>全车数据表!AR136</f>
        <v>2</v>
      </c>
      <c r="AC135" s="88">
        <f>全车数据表!AW136</f>
        <v>340</v>
      </c>
      <c r="AD135" s="88">
        <f>全车数据表!AX136</f>
        <v>0</v>
      </c>
      <c r="AE135" s="88">
        <f>全车数据表!AY136</f>
        <v>438</v>
      </c>
      <c r="AF135" s="88" t="str">
        <f>IF(全车数据表!BA136="","",全车数据表!BA136)</f>
        <v>通行证</v>
      </c>
      <c r="AG135" s="88" t="str">
        <f>IF(全车数据表!BB136="","",全车数据表!BB136)</f>
        <v/>
      </c>
      <c r="AH135" s="88" t="str">
        <f>IF(全车数据表!BC136="","",全车数据表!BC136)</f>
        <v/>
      </c>
      <c r="AI135" s="88" t="str">
        <f>IF(全车数据表!BD136="","",全车数据表!BD136)</f>
        <v/>
      </c>
      <c r="AJ135" s="88" t="str">
        <f>IF(全车数据表!BE136="","",全车数据表!BE136)</f>
        <v/>
      </c>
      <c r="AK135" s="88" t="str">
        <f>IF(全车数据表!BF136="","",全车数据表!BF136)</f>
        <v/>
      </c>
      <c r="AL135" s="88" t="str">
        <f>IF(全车数据表!BG136="","",全车数据表!BG136)</f>
        <v/>
      </c>
      <c r="AM135" s="88">
        <f>IF(全车数据表!BH136="","",全车数据表!BH136)</f>
        <v>1</v>
      </c>
      <c r="AN135" s="88" t="str">
        <f>IF(全车数据表!BI136="","",全车数据表!BI136)</f>
        <v/>
      </c>
      <c r="AO135" s="88" t="str">
        <f>IF(全车数据表!BJ136="","",全车数据表!BJ136)</f>
        <v/>
      </c>
      <c r="AP135" s="88" t="str">
        <f>IF(全车数据表!BK136="","",全车数据表!BK136)</f>
        <v/>
      </c>
      <c r="AQ135" s="88" t="str">
        <f>IF(全车数据表!BL136="","",全车数据表!BL136)</f>
        <v/>
      </c>
      <c r="AR135" s="88" t="str">
        <f>IF(全车数据表!BM136="","",全车数据表!BM136)</f>
        <v/>
      </c>
      <c r="AS135" s="88" t="str">
        <f>IF(全车数据表!BN136="","",全车数据表!BN136)</f>
        <v/>
      </c>
      <c r="AT135" s="88" t="str">
        <f>IF(全车数据表!BO136="","",全车数据表!BO136)</f>
        <v/>
      </c>
      <c r="AU135" s="88" t="str">
        <f>IF(全车数据表!BP136="","",全车数据表!BP136)</f>
        <v/>
      </c>
      <c r="AV135" s="88" t="str">
        <f>IF(全车数据表!BQ136="","",全车数据表!BQ136)</f>
        <v/>
      </c>
      <c r="AW135" s="88" t="str">
        <f>IF(全车数据表!BR136="","",全车数据表!BR136)</f>
        <v/>
      </c>
      <c r="AX135" s="88" t="str">
        <f>IF(全车数据表!BS136="","",全车数据表!BS136)</f>
        <v/>
      </c>
      <c r="AY135" s="88" t="str">
        <f>IF(全车数据表!BT136="","",全车数据表!BT136)</f>
        <v/>
      </c>
      <c r="AZ135" s="88" t="str">
        <f>IF(全车数据表!BU136="","",全车数据表!BU136)</f>
        <v/>
      </c>
      <c r="BA135" s="88" t="str">
        <f>IF(全车数据表!BV136="","",全车数据表!BV136)</f>
        <v>雪佛兰 克尔维特 黄貂鱼 C8</v>
      </c>
      <c r="BB135" s="91" t="str">
        <f>IF(全车数据表!AZ136="","",全车数据表!AZ136)</f>
        <v/>
      </c>
    </row>
    <row r="136" spans="1:54">
      <c r="A136" s="88">
        <f>全车数据表!A137</f>
        <v>135</v>
      </c>
      <c r="B136" s="88" t="str">
        <f>全车数据表!B137</f>
        <v>Lamborghini Diablo GT</v>
      </c>
      <c r="C136" s="89" t="str">
        <f>全车数据表!E137</f>
        <v>diablo</v>
      </c>
      <c r="D136" s="88" t="str">
        <f>IF(全车数据表!D137="","",全车数据表!D137)</f>
        <v>Lamborghini</v>
      </c>
      <c r="E136" s="89" t="str">
        <f>全车数据表!H137</f>
        <v>3.7</v>
      </c>
      <c r="F136" s="89" t="str">
        <f>全车数据表!C137</f>
        <v>Diablo</v>
      </c>
      <c r="G136" s="89" t="str">
        <f>全车数据表!F137</f>
        <v>B</v>
      </c>
      <c r="H136" s="88">
        <f>LEN(全车数据表!G137)</f>
        <v>5</v>
      </c>
      <c r="I136" s="88" t="str">
        <f>VLOOKUP(全车数据表!P137,辅助计算!A:B,2,FALSE)</f>
        <v>epic</v>
      </c>
      <c r="J136" s="88">
        <f>全车数据表!Q137</f>
        <v>40</v>
      </c>
      <c r="K136" s="88">
        <f>全车数据表!R137</f>
        <v>30</v>
      </c>
      <c r="L136" s="88">
        <f>全车数据表!S137</f>
        <v>36</v>
      </c>
      <c r="M136" s="88">
        <f>全车数据表!T137</f>
        <v>42</v>
      </c>
      <c r="N136" s="88">
        <f>全车数据表!U137</f>
        <v>52</v>
      </c>
      <c r="O136" s="88">
        <f>全车数据表!V137</f>
        <v>0</v>
      </c>
      <c r="P136" s="88">
        <f>全车数据表!J137</f>
        <v>3869</v>
      </c>
      <c r="Q136" s="88">
        <f>全车数据表!K137</f>
        <v>349.2</v>
      </c>
      <c r="R136" s="88">
        <f>全车数据表!L137</f>
        <v>74.97</v>
      </c>
      <c r="S136" s="88">
        <f>全车数据表!M137</f>
        <v>63.52</v>
      </c>
      <c r="T136" s="88">
        <f>全车数据表!N137</f>
        <v>58.83</v>
      </c>
      <c r="U136" s="88">
        <f>全车数据表!O137</f>
        <v>0</v>
      </c>
      <c r="V136" s="88">
        <f>全车数据表!AL137</f>
        <v>7546400</v>
      </c>
      <c r="W136" s="88">
        <f>全车数据表!AM137</f>
        <v>45000</v>
      </c>
      <c r="X136" s="88">
        <f>全车数据表!AU137</f>
        <v>5400000</v>
      </c>
      <c r="Y136" s="88">
        <f>全车数据表!AV137</f>
        <v>12946400</v>
      </c>
      <c r="Z136" s="88">
        <f>全车数据表!AN137</f>
        <v>8</v>
      </c>
      <c r="AA136" s="88">
        <f>全车数据表!AP137</f>
        <v>5</v>
      </c>
      <c r="AB136" s="88">
        <f>全车数据表!AR137</f>
        <v>2</v>
      </c>
      <c r="AC136" s="88">
        <f>全车数据表!AW137</f>
        <v>363</v>
      </c>
      <c r="AD136" s="88">
        <f>全车数据表!AX137</f>
        <v>0</v>
      </c>
      <c r="AE136" s="88">
        <f>全车数据表!AY137</f>
        <v>477</v>
      </c>
      <c r="AF136" s="88" t="str">
        <f>IF(全车数据表!BA137="","",全车数据表!BA137)</f>
        <v>通行证</v>
      </c>
      <c r="AG136" s="88" t="str">
        <f>IF(全车数据表!BB137="","",全车数据表!BB137)</f>
        <v/>
      </c>
      <c r="AH136" s="88" t="str">
        <f>IF(全车数据表!BC137="","",全车数据表!BC137)</f>
        <v/>
      </c>
      <c r="AI136" s="88" t="str">
        <f>IF(全车数据表!BD137="","",全车数据表!BD137)</f>
        <v/>
      </c>
      <c r="AJ136" s="88" t="str">
        <f>IF(全车数据表!BE137="","",全车数据表!BE137)</f>
        <v/>
      </c>
      <c r="AK136" s="88" t="str">
        <f>IF(全车数据表!BF137="","",全车数据表!BF137)</f>
        <v/>
      </c>
      <c r="AL136" s="88" t="str">
        <f>IF(全车数据表!BG137="","",全车数据表!BG137)</f>
        <v/>
      </c>
      <c r="AM136" s="88">
        <f>IF(全车数据表!BH137="","",全车数据表!BH137)</f>
        <v>1</v>
      </c>
      <c r="AN136" s="88" t="str">
        <f>IF(全车数据表!BI137="","",全车数据表!BI137)</f>
        <v/>
      </c>
      <c r="AO136" s="88" t="str">
        <f>IF(全车数据表!BJ137="","",全车数据表!BJ137)</f>
        <v/>
      </c>
      <c r="AP136" s="88" t="str">
        <f>IF(全车数据表!BK137="","",全车数据表!BK137)</f>
        <v/>
      </c>
      <c r="AQ136" s="88" t="str">
        <f>IF(全车数据表!BL137="","",全车数据表!BL137)</f>
        <v/>
      </c>
      <c r="AR136" s="88" t="str">
        <f>IF(全车数据表!BM137="","",全车数据表!BM137)</f>
        <v/>
      </c>
      <c r="AS136" s="88" t="str">
        <f>IF(全车数据表!BN137="","",全车数据表!BN137)</f>
        <v/>
      </c>
      <c r="AT136" s="88" t="str">
        <f>IF(全车数据表!BO137="","",全车数据表!BO137)</f>
        <v/>
      </c>
      <c r="AU136" s="88" t="str">
        <f>IF(全车数据表!BP137="","",全车数据表!BP137)</f>
        <v/>
      </c>
      <c r="AV136" s="88" t="str">
        <f>IF(全车数据表!BQ137="","",全车数据表!BQ137)</f>
        <v/>
      </c>
      <c r="AW136" s="88" t="str">
        <f>IF(全车数据表!BR137="","",全车数据表!BR137)</f>
        <v/>
      </c>
      <c r="AX136" s="88" t="str">
        <f>IF(全车数据表!BS137="","",全车数据表!BS137)</f>
        <v/>
      </c>
      <c r="AY136" s="88">
        <f>IF(全车数据表!BT137="","",全车数据表!BT137)</f>
        <v>1</v>
      </c>
      <c r="AZ136" s="88" t="str">
        <f>IF(全车数据表!BU137="","",全车数据表!BU137)</f>
        <v/>
      </c>
      <c r="BA136" s="88" t="str">
        <f>IF(全车数据表!BV137="","",全车数据表!BV137)</f>
        <v>兰博基尼</v>
      </c>
      <c r="BB136" s="91" t="str">
        <f>IF(全车数据表!AZ137="","",全车数据表!AZ137)</f>
        <v/>
      </c>
    </row>
    <row r="137" spans="1:54">
      <c r="A137" s="88">
        <f>全车数据表!A138</f>
        <v>136</v>
      </c>
      <c r="B137" s="88" t="str">
        <f>全车数据表!B138</f>
        <v>LEGO Technic BMW M4 GT3 EVO</v>
      </c>
      <c r="C137" s="89" t="str">
        <f>全车数据表!E138</f>
        <v>lego_technic_bmw_m4_gt3_evo</v>
      </c>
      <c r="D137" s="88" t="str">
        <f>IF(全车数据表!D138="","",全车数据表!D138)</f>
        <v>LEGO Technic</v>
      </c>
      <c r="E137" s="89" t="str">
        <f>全车数据表!H138</f>
        <v>5.7</v>
      </c>
      <c r="F137" s="89" t="str">
        <f>全车数据表!C138</f>
        <v>乐高 M4</v>
      </c>
      <c r="G137" s="89" t="str">
        <f>全车数据表!F138</f>
        <v>B</v>
      </c>
      <c r="H137" s="88">
        <f>LEN(全车数据表!G138)</f>
        <v>5</v>
      </c>
      <c r="I137" s="88" t="str">
        <f>VLOOKUP(全车数据表!P138,辅助计算!A:B,2,FALSE)</f>
        <v>epic</v>
      </c>
      <c r="J137" s="88">
        <f>全车数据表!Q138</f>
        <v>40</v>
      </c>
      <c r="K137" s="88">
        <f>全车数据表!R138</f>
        <v>42</v>
      </c>
      <c r="L137" s="88">
        <f>全车数据表!S138</f>
        <v>42</v>
      </c>
      <c r="M137" s="88">
        <f>全车数据表!T138</f>
        <v>45</v>
      </c>
      <c r="N137" s="88">
        <f>全车数据表!U138</f>
        <v>46</v>
      </c>
      <c r="O137" s="88">
        <f>全车数据表!V138</f>
        <v>0</v>
      </c>
      <c r="P137" s="88">
        <f>全车数据表!J138</f>
        <v>3896</v>
      </c>
      <c r="Q137" s="88">
        <f>全车数据表!K138</f>
        <v>333.5</v>
      </c>
      <c r="R137" s="88">
        <f>全车数据表!L138</f>
        <v>80.790000000000006</v>
      </c>
      <c r="S137" s="88">
        <f>全车数据表!M138</f>
        <v>82.01</v>
      </c>
      <c r="T137" s="88">
        <f>全车数据表!N138</f>
        <v>74.7</v>
      </c>
      <c r="U137" s="88">
        <f>全车数据表!O138</f>
        <v>0</v>
      </c>
      <c r="V137" s="88">
        <f>全车数据表!AL138</f>
        <v>0</v>
      </c>
      <c r="W137" s="88">
        <f>全车数据表!AM138</f>
        <v>0</v>
      </c>
      <c r="X137" s="88">
        <f>全车数据表!AU138</f>
        <v>0</v>
      </c>
      <c r="Y137" s="88">
        <f>全车数据表!AV138</f>
        <v>0</v>
      </c>
      <c r="Z137" s="88">
        <f>全车数据表!AN138</f>
        <v>8</v>
      </c>
      <c r="AA137" s="88">
        <f>全车数据表!AP138</f>
        <v>5</v>
      </c>
      <c r="AB137" s="88">
        <f>全车数据表!AR138</f>
        <v>2</v>
      </c>
      <c r="AC137" s="88">
        <f>全车数据表!AW138</f>
        <v>0</v>
      </c>
      <c r="AD137" s="88">
        <f>全车数据表!AX138</f>
        <v>0</v>
      </c>
      <c r="AE137" s="88">
        <f>全车数据表!AY138</f>
        <v>0</v>
      </c>
      <c r="AF137" s="88" t="str">
        <f>IF(全车数据表!BA138="","",全车数据表!BA138)</f>
        <v>联动赛事</v>
      </c>
      <c r="AG137" s="88" t="str">
        <f>IF(全车数据表!BB138="","",全车数据表!BB138)</f>
        <v/>
      </c>
      <c r="AH137" s="88" t="str">
        <f>IF(全车数据表!BC138="","",全车数据表!BC138)</f>
        <v/>
      </c>
      <c r="AI137" s="88" t="str">
        <f>IF(全车数据表!BD138="","",全车数据表!BD138)</f>
        <v/>
      </c>
      <c r="AJ137" s="88" t="str">
        <f>IF(全车数据表!BE138="","",全车数据表!BE138)</f>
        <v/>
      </c>
      <c r="AK137" s="88" t="str">
        <f>IF(全车数据表!BF138="","",全车数据表!BF138)</f>
        <v/>
      </c>
      <c r="AL137" s="88" t="str">
        <f>IF(全车数据表!BG138="","",全车数据表!BG138)</f>
        <v/>
      </c>
      <c r="AM137" s="88" t="str">
        <f>IF(全车数据表!BH138="","",全车数据表!BH138)</f>
        <v/>
      </c>
      <c r="AN137" s="88" t="str">
        <f>IF(全车数据表!BI138="","",全车数据表!BI138)</f>
        <v/>
      </c>
      <c r="AO137" s="88" t="str">
        <f>IF(全车数据表!BJ138="","",全车数据表!BJ138)</f>
        <v/>
      </c>
      <c r="AP137" s="88" t="str">
        <f>IF(全车数据表!BK138="","",全车数据表!BK138)</f>
        <v/>
      </c>
      <c r="AQ137" s="88" t="str">
        <f>IF(全车数据表!BL138="","",全车数据表!BL138)</f>
        <v/>
      </c>
      <c r="AR137" s="88" t="str">
        <f>IF(全车数据表!BM138="","",全车数据表!BM138)</f>
        <v/>
      </c>
      <c r="AS137" s="88" t="str">
        <f>IF(全车数据表!BN138="","",全车数据表!BN138)</f>
        <v/>
      </c>
      <c r="AT137" s="88" t="str">
        <f>IF(全车数据表!BO138="","",全车数据表!BO138)</f>
        <v/>
      </c>
      <c r="AU137" s="88" t="str">
        <f>IF(全车数据表!BP138="","",全车数据表!BP138)</f>
        <v/>
      </c>
      <c r="AV137" s="88" t="str">
        <f>IF(全车数据表!BQ138="","",全车数据表!BQ138)</f>
        <v/>
      </c>
      <c r="AW137" s="88" t="str">
        <f>IF(全车数据表!BR138="","",全车数据表!BR138)</f>
        <v/>
      </c>
      <c r="AX137" s="88" t="str">
        <f>IF(全车数据表!BS138="","",全车数据表!BS138)</f>
        <v/>
      </c>
      <c r="AY137" s="88" t="str">
        <f>IF(全车数据表!BT138="","",全车数据表!BT138)</f>
        <v/>
      </c>
      <c r="AZ137" s="88" t="str">
        <f>IF(全车数据表!BU138="","",全车数据表!BU138)</f>
        <v/>
      </c>
      <c r="BA137" s="88" t="str">
        <f>IF(全车数据表!BV138="","",全车数据表!BV138)</f>
        <v>宝马</v>
      </c>
      <c r="BB137" s="91" t="str">
        <f>IF(全车数据表!AZ138="","",全车数据表!AZ138)</f>
        <v/>
      </c>
    </row>
    <row r="138" spans="1:54">
      <c r="A138" s="88">
        <f>全车数据表!A139</f>
        <v>137</v>
      </c>
      <c r="B138" s="88" t="str">
        <f>全车数据表!B139</f>
        <v>Ferrari F12 Berlinetta</v>
      </c>
      <c r="C138" s="89" t="str">
        <f>全车数据表!E139</f>
        <v>ferrari_f12_berlinetta</v>
      </c>
      <c r="D138" s="88" t="str">
        <f>IF(全车数据表!D139="","",全车数据表!D139)</f>
        <v>Ferrari</v>
      </c>
      <c r="E138" s="89" t="str">
        <f>全车数据表!H139</f>
        <v>5.7</v>
      </c>
      <c r="F138" s="89" t="str">
        <f>全车数据表!C139</f>
        <v>Berlinetta</v>
      </c>
      <c r="G138" s="89" t="str">
        <f>全车数据表!F139</f>
        <v>B</v>
      </c>
      <c r="H138" s="88">
        <f>LEN(全车数据表!G139)</f>
        <v>5</v>
      </c>
      <c r="I138" s="88" t="str">
        <f>VLOOKUP(全车数据表!P139,辅助计算!A:B,2,FALSE)</f>
        <v>epic</v>
      </c>
      <c r="J138" s="88">
        <f>全车数据表!Q139</f>
        <v>40</v>
      </c>
      <c r="K138" s="88">
        <f>全车数据表!R139</f>
        <v>36</v>
      </c>
      <c r="L138" s="88">
        <f>全车数据表!S139</f>
        <v>38</v>
      </c>
      <c r="M138" s="88">
        <f>全车数据表!T139</f>
        <v>42</v>
      </c>
      <c r="N138" s="88">
        <f>全车数据表!U139</f>
        <v>45</v>
      </c>
      <c r="O138" s="88">
        <f>全车数据表!V139</f>
        <v>0</v>
      </c>
      <c r="P138" s="88">
        <f>全车数据表!J139</f>
        <v>3950</v>
      </c>
      <c r="Q138" s="88">
        <f>全车数据表!K139</f>
        <v>357.2</v>
      </c>
      <c r="R138" s="88">
        <f>全车数据表!L139</f>
        <v>81.86</v>
      </c>
      <c r="S138" s="88">
        <f>全车数据表!M139</f>
        <v>61.13</v>
      </c>
      <c r="T138" s="88">
        <f>全车数据表!N139</f>
        <v>68.14</v>
      </c>
      <c r="U138" s="88">
        <f>全车数据表!O139</f>
        <v>0</v>
      </c>
      <c r="V138" s="88">
        <f>全车数据表!AL139</f>
        <v>0</v>
      </c>
      <c r="W138" s="88">
        <f>全车数据表!AM139</f>
        <v>0</v>
      </c>
      <c r="X138" s="88">
        <f>全车数据表!AU139</f>
        <v>0</v>
      </c>
      <c r="Y138" s="88">
        <f>全车数据表!AV139</f>
        <v>0</v>
      </c>
      <c r="Z138" s="88">
        <f>全车数据表!AN139</f>
        <v>8</v>
      </c>
      <c r="AA138" s="88">
        <f>全车数据表!AP139</f>
        <v>5</v>
      </c>
      <c r="AB138" s="88">
        <f>全车数据表!AR139</f>
        <v>2</v>
      </c>
      <c r="AC138" s="88">
        <f>全车数据表!AW139</f>
        <v>371</v>
      </c>
      <c r="AD138" s="88">
        <f>全车数据表!AX139</f>
        <v>0</v>
      </c>
      <c r="AE138" s="88">
        <f>全车数据表!AY139</f>
        <v>490</v>
      </c>
      <c r="AF138" s="88" t="str">
        <f>IF(全车数据表!BA139="","",全车数据表!BA139)</f>
        <v>通行证</v>
      </c>
      <c r="AG138" s="88" t="str">
        <f>IF(全车数据表!BB139="","",全车数据表!BB139)</f>
        <v/>
      </c>
      <c r="AH138" s="88" t="str">
        <f>IF(全车数据表!BC139="","",全车数据表!BC139)</f>
        <v/>
      </c>
      <c r="AI138" s="88" t="str">
        <f>IF(全车数据表!BD139="","",全车数据表!BD139)</f>
        <v/>
      </c>
      <c r="AJ138" s="88" t="str">
        <f>IF(全车数据表!BE139="","",全车数据表!BE139)</f>
        <v/>
      </c>
      <c r="AK138" s="88" t="str">
        <f>IF(全车数据表!BF139="","",全车数据表!BF139)</f>
        <v/>
      </c>
      <c r="AL138" s="88" t="str">
        <f>IF(全车数据表!BG139="","",全车数据表!BG139)</f>
        <v/>
      </c>
      <c r="AM138" s="88" t="str">
        <f>IF(全车数据表!BH139="","",全车数据表!BH139)</f>
        <v/>
      </c>
      <c r="AN138" s="88" t="str">
        <f>IF(全车数据表!BI139="","",全车数据表!BI139)</f>
        <v/>
      </c>
      <c r="AO138" s="88" t="str">
        <f>IF(全车数据表!BJ139="","",全车数据表!BJ139)</f>
        <v/>
      </c>
      <c r="AP138" s="88" t="str">
        <f>IF(全车数据表!BK139="","",全车数据表!BK139)</f>
        <v/>
      </c>
      <c r="AQ138" s="88" t="str">
        <f>IF(全车数据表!BL139="","",全车数据表!BL139)</f>
        <v/>
      </c>
      <c r="AR138" s="88" t="str">
        <f>IF(全车数据表!BM139="","",全车数据表!BM139)</f>
        <v/>
      </c>
      <c r="AS138" s="88" t="str">
        <f>IF(全车数据表!BN139="","",全车数据表!BN139)</f>
        <v/>
      </c>
      <c r="AT138" s="88" t="str">
        <f>IF(全车数据表!BO139="","",全车数据表!BO139)</f>
        <v/>
      </c>
      <c r="AU138" s="88" t="str">
        <f>IF(全车数据表!BP139="","",全车数据表!BP139)</f>
        <v/>
      </c>
      <c r="AV138" s="88" t="str">
        <f>IF(全车数据表!BQ139="","",全车数据表!BQ139)</f>
        <v/>
      </c>
      <c r="AW138" s="88" t="str">
        <f>IF(全车数据表!BR139="","",全车数据表!BR139)</f>
        <v/>
      </c>
      <c r="AX138" s="88" t="str">
        <f>IF(全车数据表!BS139="","",全车数据表!BS139)</f>
        <v/>
      </c>
      <c r="AY138" s="88" t="str">
        <f>IF(全车数据表!BT139="","",全车数据表!BT139)</f>
        <v/>
      </c>
      <c r="AZ138" s="88" t="str">
        <f>IF(全车数据表!BU139="","",全车数据表!BU139)</f>
        <v/>
      </c>
      <c r="BA138" s="88" t="str">
        <f>IF(全车数据表!BV139="","",全车数据表!BV139)</f>
        <v>法拉利</v>
      </c>
      <c r="BB138" s="91" t="str">
        <f>IF(全车数据表!AZ139="","",全车数据表!AZ139)</f>
        <v/>
      </c>
    </row>
    <row r="139" spans="1:54">
      <c r="A139" s="88">
        <f>全车数据表!A140</f>
        <v>138</v>
      </c>
      <c r="B139" s="88" t="str">
        <f>全车数据表!B140</f>
        <v>Lamborghini Reventon Roadster🔑</v>
      </c>
      <c r="C139" s="89" t="str">
        <f>全车数据表!E140</f>
        <v>reventon</v>
      </c>
      <c r="D139" s="88" t="str">
        <f>IF(全车数据表!D140="","",全车数据表!D140)</f>
        <v>Lamborghini</v>
      </c>
      <c r="E139" s="89" t="str">
        <f>全车数据表!H140</f>
        <v>3.7</v>
      </c>
      <c r="F139" s="89" t="str">
        <f>全车数据表!C140</f>
        <v>雷文顿</v>
      </c>
      <c r="G139" s="89" t="str">
        <f>全车数据表!F140</f>
        <v>B</v>
      </c>
      <c r="H139" s="88">
        <f>LEN(全车数据表!G140)</f>
        <v>6</v>
      </c>
      <c r="I139" s="88" t="str">
        <f>VLOOKUP(全车数据表!P140,辅助计算!A:B,2,FALSE)</f>
        <v>epic</v>
      </c>
      <c r="J139" s="88" t="str">
        <f>全车数据表!Q140</f>
        <v>🔑</v>
      </c>
      <c r="K139" s="88">
        <f>全车数据表!R140</f>
        <v>28</v>
      </c>
      <c r="L139" s="88">
        <f>全车数据表!S140</f>
        <v>36</v>
      </c>
      <c r="M139" s="88">
        <f>全车数据表!T140</f>
        <v>48</v>
      </c>
      <c r="N139" s="88">
        <f>全车数据表!U140</f>
        <v>58</v>
      </c>
      <c r="O139" s="88">
        <f>全车数据表!V140</f>
        <v>72</v>
      </c>
      <c r="P139" s="88">
        <f>全车数据表!J140</f>
        <v>3983</v>
      </c>
      <c r="Q139" s="88">
        <f>全车数据表!K140</f>
        <v>357</v>
      </c>
      <c r="R139" s="88">
        <f>全车数据表!L140</f>
        <v>79.38</v>
      </c>
      <c r="S139" s="88">
        <f>全车数据表!M140</f>
        <v>69.05</v>
      </c>
      <c r="T139" s="88">
        <f>全车数据表!N140</f>
        <v>74.91</v>
      </c>
      <c r="U139" s="88">
        <f>全车数据表!O140</f>
        <v>0</v>
      </c>
      <c r="V139" s="88">
        <f>全车数据表!AL140</f>
        <v>0</v>
      </c>
      <c r="W139" s="88">
        <f>全车数据表!AM140</f>
        <v>45000</v>
      </c>
      <c r="X139" s="88">
        <f>全车数据表!AU140</f>
        <v>6480000</v>
      </c>
      <c r="Y139" s="88">
        <f>全车数据表!AV140</f>
        <v>0</v>
      </c>
      <c r="Z139" s="88">
        <f>全车数据表!AN140</f>
        <v>8</v>
      </c>
      <c r="AA139" s="88">
        <f>全车数据表!AP140</f>
        <v>5</v>
      </c>
      <c r="AB139" s="88">
        <f>全车数据表!AR140</f>
        <v>3</v>
      </c>
      <c r="AC139" s="88">
        <f>全车数据表!AW140</f>
        <v>371</v>
      </c>
      <c r="AD139" s="88">
        <f>全车数据表!AX140</f>
        <v>0</v>
      </c>
      <c r="AE139" s="88">
        <f>全车数据表!AY140</f>
        <v>490</v>
      </c>
      <c r="AF139" s="88" t="str">
        <f>IF(全车数据表!BA140="","",全车数据表!BA140)</f>
        <v>大奖赛</v>
      </c>
      <c r="AG139" s="88" t="str">
        <f>IF(全车数据表!BB140="","",全车数据表!BB140)</f>
        <v/>
      </c>
      <c r="AH139" s="88" t="str">
        <f>IF(全车数据表!BC140="","",全车数据表!BC140)</f>
        <v/>
      </c>
      <c r="AI139" s="88" t="str">
        <f>IF(全车数据表!BD140="","",全车数据表!BD140)</f>
        <v/>
      </c>
      <c r="AJ139" s="88" t="str">
        <f>IF(全车数据表!BE140="","",全车数据表!BE140)</f>
        <v/>
      </c>
      <c r="AK139" s="88" t="str">
        <f>IF(全车数据表!BF140="","",全车数据表!BF140)</f>
        <v/>
      </c>
      <c r="AL139" s="88" t="str">
        <f>IF(全车数据表!BG140="","",全车数据表!BG140)</f>
        <v/>
      </c>
      <c r="AM139" s="88" t="str">
        <f>IF(全车数据表!BH140="","",全车数据表!BH140)</f>
        <v/>
      </c>
      <c r="AN139" s="88" t="str">
        <f>IF(全车数据表!BI140="","",全车数据表!BI140)</f>
        <v/>
      </c>
      <c r="AO139" s="88" t="str">
        <f>IF(全车数据表!BJ140="","",全车数据表!BJ140)</f>
        <v/>
      </c>
      <c r="AP139" s="88" t="str">
        <f>IF(全车数据表!BK140="","",全车数据表!BK140)</f>
        <v/>
      </c>
      <c r="AQ139" s="88" t="str">
        <f>IF(全车数据表!BL140="","",全车数据表!BL140)</f>
        <v/>
      </c>
      <c r="AR139" s="88">
        <f>IF(全车数据表!BM140="","",全车数据表!BM140)</f>
        <v>1</v>
      </c>
      <c r="AS139" s="88" t="str">
        <f>IF(全车数据表!BN140="","",全车数据表!BN140)</f>
        <v/>
      </c>
      <c r="AT139" s="88">
        <f>IF(全车数据表!BO140="","",全车数据表!BO140)</f>
        <v>1</v>
      </c>
      <c r="AU139" s="88">
        <f>IF(全车数据表!BP140="","",全车数据表!BP140)</f>
        <v>1</v>
      </c>
      <c r="AV139" s="88" t="str">
        <f>IF(全车数据表!BQ140="","",全车数据表!BQ140)</f>
        <v/>
      </c>
      <c r="AW139" s="88" t="str">
        <f>IF(全车数据表!BR140="","",全车数据表!BR140)</f>
        <v/>
      </c>
      <c r="AX139" s="88" t="str">
        <f>IF(全车数据表!BS140="","",全车数据表!BS140)</f>
        <v/>
      </c>
      <c r="AY139" s="88" t="str">
        <f>IF(全车数据表!BT140="","",全车数据表!BT140)</f>
        <v/>
      </c>
      <c r="AZ139" s="88" t="str">
        <f>IF(全车数据表!BU140="","",全车数据表!BU140)</f>
        <v/>
      </c>
      <c r="BA139" s="88" t="str">
        <f>IF(全车数据表!BV140="","",全车数据表!BV140)</f>
        <v>兰博基尼</v>
      </c>
      <c r="BB139" s="91" t="str">
        <f>IF(全车数据表!AZ140="","",全车数据表!AZ140)</f>
        <v/>
      </c>
    </row>
    <row r="140" spans="1:54">
      <c r="A140" s="88">
        <f>全车数据表!A141</f>
        <v>139</v>
      </c>
      <c r="B140" s="88" t="str">
        <f>全车数据表!B141</f>
        <v>McLaren 750S Coupe</v>
      </c>
      <c r="C140" s="89" t="str">
        <f>全车数据表!E141</f>
        <v>mclaren_750s_coupe</v>
      </c>
      <c r="D140" s="88" t="str">
        <f>IF(全车数据表!D141="","",全车数据表!D141)</f>
        <v>McLaren</v>
      </c>
      <c r="E140" s="89" t="str">
        <f>全车数据表!H141</f>
        <v>5.8</v>
      </c>
      <c r="F140" s="89" t="str">
        <f>全车数据表!C141</f>
        <v>750S</v>
      </c>
      <c r="G140" s="89" t="str">
        <f>全车数据表!F141</f>
        <v>B</v>
      </c>
      <c r="H140" s="88">
        <f>LEN(全车数据表!G141)</f>
        <v>5</v>
      </c>
      <c r="I140" s="88" t="str">
        <f>VLOOKUP(全车数据表!P141,辅助计算!A:B,2,FALSE)</f>
        <v>epic</v>
      </c>
      <c r="J140" s="88" t="str">
        <f>全车数据表!Q141</f>
        <v>?</v>
      </c>
      <c r="K140" s="88" t="str">
        <f>全车数据表!R141</f>
        <v>?</v>
      </c>
      <c r="L140" s="88" t="str">
        <f>全车数据表!S141</f>
        <v>?</v>
      </c>
      <c r="M140" s="88" t="str">
        <f>全车数据表!T141</f>
        <v>?</v>
      </c>
      <c r="N140" s="88" t="str">
        <f>全车数据表!U141</f>
        <v>?</v>
      </c>
      <c r="O140" s="88">
        <f>全车数据表!V141</f>
        <v>0</v>
      </c>
      <c r="P140" s="88">
        <f>全车数据表!J141</f>
        <v>3996</v>
      </c>
      <c r="Q140" s="88">
        <f>全车数据表!K141</f>
        <v>348.8</v>
      </c>
      <c r="R140" s="88">
        <f>全车数据表!L141</f>
        <v>83.02</v>
      </c>
      <c r="S140" s="88">
        <f>全车数据表!M141</f>
        <v>65.3</v>
      </c>
      <c r="T140" s="88">
        <f>全车数据表!N141</f>
        <v>67.36</v>
      </c>
      <c r="U140" s="88">
        <f>全车数据表!O141</f>
        <v>0</v>
      </c>
      <c r="V140" s="88">
        <f>全车数据表!AL141</f>
        <v>0</v>
      </c>
      <c r="W140" s="88">
        <f>全车数据表!AM141</f>
        <v>0</v>
      </c>
      <c r="X140" s="88">
        <f>全车数据表!AU141</f>
        <v>0</v>
      </c>
      <c r="Y140" s="88">
        <f>全车数据表!AV141</f>
        <v>0</v>
      </c>
      <c r="Z140" s="88">
        <f>全车数据表!AN141</f>
        <v>0</v>
      </c>
      <c r="AA140" s="88">
        <f>全车数据表!AP141</f>
        <v>0</v>
      </c>
      <c r="AB140" s="88">
        <f>全车数据表!AR141</f>
        <v>0</v>
      </c>
      <c r="AC140" s="88">
        <f>全车数据表!AW141</f>
        <v>0</v>
      </c>
      <c r="AD140" s="88">
        <f>全车数据表!AX141</f>
        <v>0</v>
      </c>
      <c r="AE140" s="88">
        <f>全车数据表!AY141</f>
        <v>0</v>
      </c>
      <c r="AF140" s="88" t="str">
        <f>IF(全车数据表!BA141="","",全车数据表!BA141)</f>
        <v>通行证</v>
      </c>
      <c r="AG140" s="88" t="str">
        <f>IF(全车数据表!BB141="","",全车数据表!BB141)</f>
        <v/>
      </c>
      <c r="AH140" s="88" t="str">
        <f>IF(全车数据表!BC141="","",全车数据表!BC141)</f>
        <v/>
      </c>
      <c r="AI140" s="88" t="str">
        <f>IF(全车数据表!BD141="","",全车数据表!BD141)</f>
        <v/>
      </c>
      <c r="AJ140" s="88" t="str">
        <f>IF(全车数据表!BE141="","",全车数据表!BE141)</f>
        <v/>
      </c>
      <c r="AK140" s="88" t="str">
        <f>IF(全车数据表!BF141="","",全车数据表!BF141)</f>
        <v/>
      </c>
      <c r="AL140" s="88" t="str">
        <f>IF(全车数据表!BG141="","",全车数据表!BG141)</f>
        <v/>
      </c>
      <c r="AM140" s="88" t="str">
        <f>IF(全车数据表!BH141="","",全车数据表!BH141)</f>
        <v/>
      </c>
      <c r="AN140" s="88" t="str">
        <f>IF(全车数据表!BI141="","",全车数据表!BI141)</f>
        <v/>
      </c>
      <c r="AO140" s="88" t="str">
        <f>IF(全车数据表!BJ141="","",全车数据表!BJ141)</f>
        <v/>
      </c>
      <c r="AP140" s="88" t="str">
        <f>IF(全车数据表!BK141="","",全车数据表!BK141)</f>
        <v/>
      </c>
      <c r="AQ140" s="88" t="str">
        <f>IF(全车数据表!BL141="","",全车数据表!BL141)</f>
        <v/>
      </c>
      <c r="AR140" s="88" t="str">
        <f>IF(全车数据表!BM141="","",全车数据表!BM141)</f>
        <v/>
      </c>
      <c r="AS140" s="88" t="str">
        <f>IF(全车数据表!BN141="","",全车数据表!BN141)</f>
        <v/>
      </c>
      <c r="AT140" s="88" t="str">
        <f>IF(全车数据表!BO141="","",全车数据表!BO141)</f>
        <v/>
      </c>
      <c r="AU140" s="88" t="str">
        <f>IF(全车数据表!BP141="","",全车数据表!BP141)</f>
        <v/>
      </c>
      <c r="AV140" s="88" t="str">
        <f>IF(全车数据表!BQ141="","",全车数据表!BQ141)</f>
        <v/>
      </c>
      <c r="AW140" s="88" t="str">
        <f>IF(全车数据表!BR141="","",全车数据表!BR141)</f>
        <v/>
      </c>
      <c r="AX140" s="88" t="str">
        <f>IF(全车数据表!BS141="","",全车数据表!BS141)</f>
        <v/>
      </c>
      <c r="AY140" s="88" t="str">
        <f>IF(全车数据表!BT141="","",全车数据表!BT141)</f>
        <v/>
      </c>
      <c r="AZ140" s="88" t="str">
        <f>IF(全车数据表!BU141="","",全车数据表!BU141)</f>
        <v/>
      </c>
      <c r="BA140" s="88" t="str">
        <f>IF(全车数据表!BV141="","",全车数据表!BV141)</f>
        <v>迈凯轮</v>
      </c>
      <c r="BB140" s="91" t="str">
        <f>IF(全车数据表!AZ141="","",全车数据表!AZ141)</f>
        <v/>
      </c>
    </row>
    <row r="141" spans="1:54">
      <c r="A141" s="88">
        <f>全车数据表!A142</f>
        <v>140</v>
      </c>
      <c r="B141" s="88" t="str">
        <f>全车数据表!B142</f>
        <v>Formula E Gen 2 Asphalt Edition</v>
      </c>
      <c r="C141" s="89" t="str">
        <f>全车数据表!E142</f>
        <v>fegen2</v>
      </c>
      <c r="D141" s="88" t="str">
        <f>IF(全车数据表!D142="","",全车数据表!D142)</f>
        <v>Formula E</v>
      </c>
      <c r="E141" s="89" t="str">
        <f>全车数据表!H142</f>
        <v>4.5</v>
      </c>
      <c r="F141" s="89" t="str">
        <f>全车数据表!C142</f>
        <v>FE Gen 2</v>
      </c>
      <c r="G141" s="89" t="str">
        <f>全车数据表!F142</f>
        <v>B</v>
      </c>
      <c r="H141" s="88">
        <f>LEN(全车数据表!G142)</f>
        <v>6</v>
      </c>
      <c r="I141" s="88" t="str">
        <f>VLOOKUP(全车数据表!P142,辅助计算!A:B,2,FALSE)</f>
        <v>epic</v>
      </c>
      <c r="J141" s="88">
        <f>全车数据表!Q142</f>
        <v>40</v>
      </c>
      <c r="K141" s="88">
        <f>全车数据表!R142</f>
        <v>30</v>
      </c>
      <c r="L141" s="88">
        <f>全车数据表!S142</f>
        <v>36</v>
      </c>
      <c r="M141" s="88">
        <f>全车数据表!T142</f>
        <v>38</v>
      </c>
      <c r="N141" s="88">
        <f>全车数据表!U142</f>
        <v>46</v>
      </c>
      <c r="O141" s="88">
        <f>全车数据表!V142</f>
        <v>52</v>
      </c>
      <c r="P141" s="88">
        <f>全车数据表!J142</f>
        <v>4019</v>
      </c>
      <c r="Q141" s="88">
        <f>全车数据表!K142</f>
        <v>323.5</v>
      </c>
      <c r="R141" s="88">
        <f>全车数据表!L142</f>
        <v>83.75</v>
      </c>
      <c r="S141" s="88">
        <f>全车数据表!M142</f>
        <v>87.29</v>
      </c>
      <c r="T141" s="88">
        <f>全车数据表!N142</f>
        <v>78.34</v>
      </c>
      <c r="U141" s="88">
        <f>全车数据表!O142</f>
        <v>0</v>
      </c>
      <c r="V141" s="88">
        <f>全车数据表!AL142</f>
        <v>8004000</v>
      </c>
      <c r="W141" s="88">
        <f>全车数据表!AM142</f>
        <v>56000</v>
      </c>
      <c r="X141" s="88">
        <f>全车数据表!AU142</f>
        <v>8064000</v>
      </c>
      <c r="Y141" s="88">
        <f>全车数据表!AV142</f>
        <v>16068000</v>
      </c>
      <c r="Z141" s="88">
        <f>全车数据表!AN142</f>
        <v>8</v>
      </c>
      <c r="AA141" s="88">
        <f>全车数据表!AP142</f>
        <v>5</v>
      </c>
      <c r="AB141" s="88">
        <f>全车数据表!AR142</f>
        <v>3</v>
      </c>
      <c r="AC141" s="88">
        <f>全车数据表!AW142</f>
        <v>337</v>
      </c>
      <c r="AD141" s="88">
        <f>全车数据表!AX142</f>
        <v>0</v>
      </c>
      <c r="AE141" s="88">
        <f>全车数据表!AY142</f>
        <v>432</v>
      </c>
      <c r="AF141" s="88" t="str">
        <f>IF(全车数据表!BA142="","",全车数据表!BA142)</f>
        <v>特殊赛事</v>
      </c>
      <c r="AG141" s="88" t="str">
        <f>IF(全车数据表!BB142="","",全车数据表!BB142)</f>
        <v/>
      </c>
      <c r="AH141" s="88" t="str">
        <f>IF(全车数据表!BC142="","",全车数据表!BC142)</f>
        <v/>
      </c>
      <c r="AI141" s="88" t="str">
        <f>IF(全车数据表!BD142="","",全车数据表!BD142)</f>
        <v/>
      </c>
      <c r="AJ141" s="88" t="str">
        <f>IF(全车数据表!BE142="","",全车数据表!BE142)</f>
        <v/>
      </c>
      <c r="AK141" s="88" t="str">
        <f>IF(全车数据表!BF142="","",全车数据表!BF142)</f>
        <v/>
      </c>
      <c r="AL141" s="88" t="str">
        <f>IF(全车数据表!BG142="","",全车数据表!BG142)</f>
        <v/>
      </c>
      <c r="AM141" s="88" t="str">
        <f>IF(全车数据表!BH142="","",全车数据表!BH142)</f>
        <v/>
      </c>
      <c r="AN141" s="88" t="str">
        <f>IF(全车数据表!BI142="","",全车数据表!BI142)</f>
        <v/>
      </c>
      <c r="AO141" s="88" t="str">
        <f>IF(全车数据表!BJ142="","",全车数据表!BJ142)</f>
        <v/>
      </c>
      <c r="AP141" s="88" t="str">
        <f>IF(全车数据表!BK142="","",全车数据表!BK142)</f>
        <v/>
      </c>
      <c r="AQ141" s="88">
        <f>IF(全车数据表!BL142="","",全车数据表!BL142)</f>
        <v>1</v>
      </c>
      <c r="AR141" s="88" t="str">
        <f>IF(全车数据表!BM142="","",全车数据表!BM142)</f>
        <v/>
      </c>
      <c r="AS141" s="88" t="str">
        <f>IF(全车数据表!BN142="","",全车数据表!BN142)</f>
        <v/>
      </c>
      <c r="AT141" s="88" t="str">
        <f>IF(全车数据表!BO142="","",全车数据表!BO142)</f>
        <v/>
      </c>
      <c r="AU141" s="88" t="str">
        <f>IF(全车数据表!BP142="","",全车数据表!BP142)</f>
        <v/>
      </c>
      <c r="AV141" s="88" t="str">
        <f>IF(全车数据表!BQ142="","",全车数据表!BQ142)</f>
        <v/>
      </c>
      <c r="AW141" s="88" t="str">
        <f>IF(全车数据表!BR142="","",全车数据表!BR142)</f>
        <v/>
      </c>
      <c r="AX141" s="88" t="str">
        <f>IF(全车数据表!BS142="","",全车数据表!BS142)</f>
        <v/>
      </c>
      <c r="AY141" s="88" t="str">
        <f>IF(全车数据表!BT142="","",全车数据表!BT142)</f>
        <v/>
      </c>
      <c r="AZ141" s="88" t="str">
        <f>IF(全车数据表!BU142="","",全车数据表!BU142)</f>
        <v/>
      </c>
      <c r="BA141" s="88" t="str">
        <f>IF(全车数据表!BV142="","",全车数据表!BV142)</f>
        <v>电方电动方程式</v>
      </c>
      <c r="BB141" s="91" t="str">
        <f>IF(全车数据表!AZ142="","",全车数据表!AZ142)</f>
        <v/>
      </c>
    </row>
    <row r="142" spans="1:54">
      <c r="A142" s="88">
        <f>全车数据表!A143</f>
        <v>141</v>
      </c>
      <c r="B142" s="88" t="str">
        <f>全车数据表!B143</f>
        <v>BMW M Hybrid V8🔑</v>
      </c>
      <c r="C142" s="89" t="str">
        <f>全车数据表!E143</f>
        <v>mhybrid</v>
      </c>
      <c r="D142" s="88" t="str">
        <f>IF(全车数据表!D143="","",全车数据表!D143)</f>
        <v>BMW</v>
      </c>
      <c r="E142" s="89" t="str">
        <f>全车数据表!H143</f>
        <v>5.6</v>
      </c>
      <c r="F142" s="89" t="str">
        <f>全车数据表!C143</f>
        <v>M Hybrid</v>
      </c>
      <c r="G142" s="89" t="str">
        <f>全车数据表!F143</f>
        <v>B</v>
      </c>
      <c r="H142" s="88">
        <f>LEN(全车数据表!G143)</f>
        <v>6</v>
      </c>
      <c r="I142" s="88" t="str">
        <f>VLOOKUP(全车数据表!P143,辅助计算!A:B,2,FALSE)</f>
        <v>epic</v>
      </c>
      <c r="J142" s="88" t="str">
        <f>全车数据表!Q143</f>
        <v>🔑</v>
      </c>
      <c r="K142" s="88">
        <f>全车数据表!R143</f>
        <v>40</v>
      </c>
      <c r="L142" s="88">
        <f>全车数据表!S143</f>
        <v>45</v>
      </c>
      <c r="M142" s="88">
        <f>全车数据表!T143</f>
        <v>55</v>
      </c>
      <c r="N142" s="88">
        <f>全车数据表!U143</f>
        <v>60</v>
      </c>
      <c r="O142" s="88">
        <f>全车数据表!V143</f>
        <v>65</v>
      </c>
      <c r="P142" s="88">
        <f>全车数据表!J143</f>
        <v>4057</v>
      </c>
      <c r="Q142" s="88">
        <f>全车数据表!K143</f>
        <v>355.8</v>
      </c>
      <c r="R142" s="88">
        <f>全车数据表!L143</f>
        <v>81.39</v>
      </c>
      <c r="S142" s="88">
        <f>全车数据表!M143</f>
        <v>67.099999999999994</v>
      </c>
      <c r="T142" s="88">
        <f>全车数据表!N143</f>
        <v>69.84</v>
      </c>
      <c r="U142" s="88">
        <f>全车数据表!O143</f>
        <v>0</v>
      </c>
      <c r="V142" s="88">
        <f>全车数据表!AL143</f>
        <v>0</v>
      </c>
      <c r="W142" s="88">
        <f>全车数据表!AM143</f>
        <v>49000</v>
      </c>
      <c r="X142" s="88">
        <f>全车数据表!AU143</f>
        <v>0</v>
      </c>
      <c r="Y142" s="88">
        <f>全车数据表!AV143</f>
        <v>0</v>
      </c>
      <c r="Z142" s="88">
        <f>全车数据表!AN143</f>
        <v>0</v>
      </c>
      <c r="AA142" s="88">
        <f>全车数据表!AP143</f>
        <v>0</v>
      </c>
      <c r="AB142" s="88">
        <f>全车数据表!AR143</f>
        <v>0</v>
      </c>
      <c r="AC142" s="88">
        <f>全车数据表!AW143</f>
        <v>0</v>
      </c>
      <c r="AD142" s="88">
        <f>全车数据表!AX143</f>
        <v>0</v>
      </c>
      <c r="AE142" s="88">
        <f>全车数据表!AY143</f>
        <v>0</v>
      </c>
      <c r="AF142" s="88" t="str">
        <f>IF(全车数据表!BA143="","",全车数据表!BA143)</f>
        <v>特殊赛事</v>
      </c>
      <c r="AG142" s="88" t="str">
        <f>IF(全车数据表!BB143="","",全车数据表!BB143)</f>
        <v/>
      </c>
      <c r="AH142" s="88" t="str">
        <f>IF(全车数据表!BC143="","",全车数据表!BC143)</f>
        <v/>
      </c>
      <c r="AI142" s="88" t="str">
        <f>IF(全车数据表!BD143="","",全车数据表!BD143)</f>
        <v/>
      </c>
      <c r="AJ142" s="88" t="str">
        <f>IF(全车数据表!BE143="","",全车数据表!BE143)</f>
        <v/>
      </c>
      <c r="AK142" s="88" t="str">
        <f>IF(全车数据表!BF143="","",全车数据表!BF143)</f>
        <v/>
      </c>
      <c r="AL142" s="88" t="str">
        <f>IF(全车数据表!BG143="","",全车数据表!BG143)</f>
        <v/>
      </c>
      <c r="AM142" s="88" t="str">
        <f>IF(全车数据表!BH143="","",全车数据表!BH143)</f>
        <v/>
      </c>
      <c r="AN142" s="88" t="str">
        <f>IF(全车数据表!BI143="","",全车数据表!BI143)</f>
        <v/>
      </c>
      <c r="AO142" s="88" t="str">
        <f>IF(全车数据表!BJ143="","",全车数据表!BJ143)</f>
        <v/>
      </c>
      <c r="AP142" s="88" t="str">
        <f>IF(全车数据表!BK143="","",全车数据表!BK143)</f>
        <v/>
      </c>
      <c r="AQ142" s="88" t="str">
        <f>IF(全车数据表!BL143="","",全车数据表!BL143)</f>
        <v/>
      </c>
      <c r="AR142" s="88" t="str">
        <f>IF(全车数据表!BM143="","",全车数据表!BM143)</f>
        <v/>
      </c>
      <c r="AS142" s="88" t="str">
        <f>IF(全车数据表!BN143="","",全车数据表!BN143)</f>
        <v/>
      </c>
      <c r="AT142" s="88" t="str">
        <f>IF(全车数据表!BO143="","",全车数据表!BO143)</f>
        <v/>
      </c>
      <c r="AU142" s="88" t="str">
        <f>IF(全车数据表!BP143="","",全车数据表!BP143)</f>
        <v/>
      </c>
      <c r="AV142" s="88" t="str">
        <f>IF(全车数据表!BQ143="","",全车数据表!BQ143)</f>
        <v/>
      </c>
      <c r="AW142" s="88" t="str">
        <f>IF(全车数据表!BR143="","",全车数据表!BR143)</f>
        <v/>
      </c>
      <c r="AX142" s="88" t="str">
        <f>IF(全车数据表!BS143="","",全车数据表!BS143)</f>
        <v/>
      </c>
      <c r="AY142" s="88" t="str">
        <f>IF(全车数据表!BT143="","",全车数据表!BT143)</f>
        <v/>
      </c>
      <c r="AZ142" s="88" t="str">
        <f>IF(全车数据表!BU143="","",全车数据表!BU143)</f>
        <v/>
      </c>
      <c r="BA142" s="88" t="str">
        <f>IF(全车数据表!BV143="","",全车数据表!BV143)</f>
        <v>勒芒 宝马勒芒</v>
      </c>
      <c r="BB142" s="91" t="str">
        <f>IF(全车数据表!AZ143="","",全车数据表!AZ143)</f>
        <v/>
      </c>
    </row>
    <row r="143" spans="1:54">
      <c r="A143" s="88">
        <f>全车数据表!A144</f>
        <v>142</v>
      </c>
      <c r="B143" s="88" t="str">
        <f>全车数据表!B144</f>
        <v>Lamborghini SC63🔑</v>
      </c>
      <c r="C143" s="89" t="str">
        <f>全车数据表!E144</f>
        <v>sc63</v>
      </c>
      <c r="D143" s="88" t="str">
        <f>IF(全车数据表!D144="","",全车数据表!D144)</f>
        <v>Lamborghini</v>
      </c>
      <c r="E143" s="89" t="str">
        <f>全车数据表!H144</f>
        <v>4.8</v>
      </c>
      <c r="F143" s="89" t="str">
        <f>全车数据表!C144</f>
        <v>SC63</v>
      </c>
      <c r="G143" s="89" t="str">
        <f>全车数据表!F144</f>
        <v>B</v>
      </c>
      <c r="H143" s="88">
        <f>LEN(全车数据表!G144)</f>
        <v>5</v>
      </c>
      <c r="I143" s="88" t="str">
        <f>VLOOKUP(全车数据表!P144,辅助计算!A:B,2,FALSE)</f>
        <v>epic</v>
      </c>
      <c r="J143" s="88" t="str">
        <f>全车数据表!Q144</f>
        <v>🔑</v>
      </c>
      <c r="K143" s="88">
        <f>全车数据表!R144</f>
        <v>35</v>
      </c>
      <c r="L143" s="88">
        <f>全车数据表!S144</f>
        <v>40</v>
      </c>
      <c r="M143" s="88">
        <f>全车数据表!T144</f>
        <v>52</v>
      </c>
      <c r="N143" s="88">
        <f>全车数据表!U144</f>
        <v>70</v>
      </c>
      <c r="O143" s="88">
        <f>全车数据表!V144</f>
        <v>0</v>
      </c>
      <c r="P143" s="88">
        <f>全车数据表!J144</f>
        <v>4062</v>
      </c>
      <c r="Q143" s="88">
        <f>全车数据表!K144</f>
        <v>353.8</v>
      </c>
      <c r="R143" s="88">
        <f>全车数据表!L144</f>
        <v>85.38</v>
      </c>
      <c r="S143" s="88">
        <f>全车数据表!M144</f>
        <v>70.150000000000006</v>
      </c>
      <c r="T143" s="88">
        <f>全车数据表!N144</f>
        <v>56.43</v>
      </c>
      <c r="U143" s="88">
        <f>全车数据表!O144</f>
        <v>0</v>
      </c>
      <c r="V143" s="88">
        <f>全车数据表!AL144</f>
        <v>5700000</v>
      </c>
      <c r="W143" s="88">
        <f>全车数据表!AM144</f>
        <v>35000</v>
      </c>
      <c r="X143" s="88">
        <f>全车数据表!AU144</f>
        <v>4200000</v>
      </c>
      <c r="Y143" s="88">
        <f>全车数据表!AV144</f>
        <v>9900000</v>
      </c>
      <c r="Z143" s="88">
        <f>全车数据表!AN144</f>
        <v>8</v>
      </c>
      <c r="AA143" s="88">
        <f>全车数据表!AP144</f>
        <v>5</v>
      </c>
      <c r="AB143" s="88">
        <f>全车数据表!AR144</f>
        <v>2</v>
      </c>
      <c r="AC143" s="88">
        <f>全车数据表!AW144</f>
        <v>0</v>
      </c>
      <c r="AD143" s="88">
        <f>全车数据表!AX144</f>
        <v>0</v>
      </c>
      <c r="AE143" s="88">
        <f>全车数据表!AY144</f>
        <v>0</v>
      </c>
      <c r="AF143" s="88" t="str">
        <f>IF(全车数据表!BA144="","",全车数据表!BA144)</f>
        <v>大奖赛</v>
      </c>
      <c r="AG143" s="88" t="str">
        <f>IF(全车数据表!BB144="","",全车数据表!BB144)</f>
        <v/>
      </c>
      <c r="AH143" s="88" t="str">
        <f>IF(全车数据表!BC144="","",全车数据表!BC144)</f>
        <v/>
      </c>
      <c r="AI143" s="88" t="str">
        <f>IF(全车数据表!BD144="","",全车数据表!BD144)</f>
        <v/>
      </c>
      <c r="AJ143" s="88" t="str">
        <f>IF(全车数据表!BE144="","",全车数据表!BE144)</f>
        <v/>
      </c>
      <c r="AK143" s="88" t="str">
        <f>IF(全车数据表!BF144="","",全车数据表!BF144)</f>
        <v/>
      </c>
      <c r="AL143" s="88" t="str">
        <f>IF(全车数据表!BG144="","",全车数据表!BG144)</f>
        <v/>
      </c>
      <c r="AM143" s="88" t="str">
        <f>IF(全车数据表!BH144="","",全车数据表!BH144)</f>
        <v/>
      </c>
      <c r="AN143" s="88" t="str">
        <f>IF(全车数据表!BI144="","",全车数据表!BI144)</f>
        <v/>
      </c>
      <c r="AO143" s="88" t="str">
        <f>IF(全车数据表!BJ144="","",全车数据表!BJ144)</f>
        <v/>
      </c>
      <c r="AP143" s="88" t="str">
        <f>IF(全车数据表!BK144="","",全车数据表!BK144)</f>
        <v/>
      </c>
      <c r="AQ143" s="88" t="str">
        <f>IF(全车数据表!BL144="","",全车数据表!BL144)</f>
        <v/>
      </c>
      <c r="AR143" s="88">
        <f>IF(全车数据表!BM144="","",全车数据表!BM144)</f>
        <v>1</v>
      </c>
      <c r="AS143" s="88" t="str">
        <f>IF(全车数据表!BN144="","",全车数据表!BN144)</f>
        <v/>
      </c>
      <c r="AT143" s="88">
        <f>IF(全车数据表!BO144="","",全车数据表!BO144)</f>
        <v>1</v>
      </c>
      <c r="AU143" s="88" t="str">
        <f>IF(全车数据表!BP144="","",全车数据表!BP144)</f>
        <v/>
      </c>
      <c r="AV143" s="88" t="str">
        <f>IF(全车数据表!BQ144="","",全车数据表!BQ144)</f>
        <v/>
      </c>
      <c r="AW143" s="88" t="str">
        <f>IF(全车数据表!BR144="","",全车数据表!BR144)</f>
        <v/>
      </c>
      <c r="AX143" s="88" t="str">
        <f>IF(全车数据表!BS144="","",全车数据表!BS144)</f>
        <v/>
      </c>
      <c r="AY143" s="88" t="str">
        <f>IF(全车数据表!BT144="","",全车数据表!BT144)</f>
        <v/>
      </c>
      <c r="AZ143" s="88" t="str">
        <f>IF(全车数据表!BU144="","",全车数据表!BU144)</f>
        <v/>
      </c>
      <c r="BA143" s="88" t="str">
        <f>IF(全车数据表!BV144="","",全车数据表!BV144)</f>
        <v/>
      </c>
      <c r="BB143" s="91" t="str">
        <f>IF(全车数据表!AZ144="","",全车数据表!AZ144)</f>
        <v/>
      </c>
    </row>
    <row r="144" spans="1:54">
      <c r="A144" s="88">
        <f>全车数据表!A145</f>
        <v>143</v>
      </c>
      <c r="B144" s="88" t="str">
        <f>全车数据表!B145</f>
        <v>Aston Martin V12 Vantage 2022</v>
      </c>
      <c r="C144" s="89" t="str">
        <f>全车数据表!E145</f>
        <v>vantage</v>
      </c>
      <c r="D144" s="88" t="str">
        <f>IF(全车数据表!D145="","",全车数据表!D145)</f>
        <v>Aston Martin</v>
      </c>
      <c r="E144" s="89" t="str">
        <f>全车数据表!H145</f>
        <v>4.3</v>
      </c>
      <c r="F144" s="89" t="str">
        <f>全车数据表!C145</f>
        <v>Vantage</v>
      </c>
      <c r="G144" s="89" t="str">
        <f>全车数据表!F145</f>
        <v>B</v>
      </c>
      <c r="H144" s="88">
        <f>LEN(全车数据表!G145)</f>
        <v>6</v>
      </c>
      <c r="I144" s="88" t="str">
        <f>VLOOKUP(全车数据表!P145,辅助计算!A:B,2,FALSE)</f>
        <v>epic</v>
      </c>
      <c r="J144" s="88">
        <f>全车数据表!Q145</f>
        <v>40</v>
      </c>
      <c r="K144" s="88">
        <f>全车数据表!R145</f>
        <v>30</v>
      </c>
      <c r="L144" s="88">
        <f>全车数据表!S145</f>
        <v>36</v>
      </c>
      <c r="M144" s="88">
        <f>全车数据表!T145</f>
        <v>38</v>
      </c>
      <c r="N144" s="88">
        <f>全车数据表!U145</f>
        <v>46</v>
      </c>
      <c r="O144" s="88">
        <f>全车数据表!V145</f>
        <v>52</v>
      </c>
      <c r="P144" s="88">
        <f>全车数据表!J145</f>
        <v>4072</v>
      </c>
      <c r="Q144" s="88">
        <f>全车数据表!K145</f>
        <v>343.7</v>
      </c>
      <c r="R144" s="88">
        <f>全车数据表!L145</f>
        <v>79.400000000000006</v>
      </c>
      <c r="S144" s="88">
        <f>全车数据表!M145</f>
        <v>88.64</v>
      </c>
      <c r="T144" s="88">
        <f>全车数据表!N145</f>
        <v>79.819999999999993</v>
      </c>
      <c r="U144" s="88">
        <f>全车数据表!O145</f>
        <v>0</v>
      </c>
      <c r="V144" s="88">
        <f>全车数据表!AL145</f>
        <v>12000000</v>
      </c>
      <c r="W144" s="88">
        <f>全车数据表!AM145</f>
        <v>63000</v>
      </c>
      <c r="X144" s="88">
        <f>全车数据表!AU145</f>
        <v>9072000</v>
      </c>
      <c r="Y144" s="88">
        <f>全车数据表!AV145</f>
        <v>21072000</v>
      </c>
      <c r="Z144" s="88">
        <f>全车数据表!AN145</f>
        <v>8</v>
      </c>
      <c r="AA144" s="88">
        <f>全车数据表!AP145</f>
        <v>5</v>
      </c>
      <c r="AB144" s="88">
        <f>全车数据表!AR145</f>
        <v>3</v>
      </c>
      <c r="AC144" s="88">
        <f>全车数据表!AW145</f>
        <v>358</v>
      </c>
      <c r="AD144" s="88">
        <f>全车数据表!AX145</f>
        <v>0</v>
      </c>
      <c r="AE144" s="88">
        <f>全车数据表!AY145</f>
        <v>467</v>
      </c>
      <c r="AF144" s="88" t="str">
        <f>IF(全车数据表!BA145="","",全车数据表!BA145)</f>
        <v>联会赛事</v>
      </c>
      <c r="AG144" s="88" t="str">
        <f>IF(全车数据表!BB145="","",全车数据表!BB145)</f>
        <v/>
      </c>
      <c r="AH144" s="88" t="str">
        <f>IF(全车数据表!BC145="","",全车数据表!BC145)</f>
        <v/>
      </c>
      <c r="AI144" s="88" t="str">
        <f>IF(全车数据表!BD145="","",全车数据表!BD145)</f>
        <v/>
      </c>
      <c r="AJ144" s="88" t="str">
        <f>IF(全车数据表!BE145="","",全车数据表!BE145)</f>
        <v/>
      </c>
      <c r="AK144" s="88" t="str">
        <f>IF(全车数据表!BF145="","",全车数据表!BF145)</f>
        <v/>
      </c>
      <c r="AL144" s="88" t="str">
        <f>IF(全车数据表!BG145="","",全车数据表!BG145)</f>
        <v/>
      </c>
      <c r="AM144" s="88" t="str">
        <f>IF(全车数据表!BH145="","",全车数据表!BH145)</f>
        <v/>
      </c>
      <c r="AN144" s="88" t="str">
        <f>IF(全车数据表!BI145="","",全车数据表!BI145)</f>
        <v/>
      </c>
      <c r="AO144" s="88" t="str">
        <f>IF(全车数据表!BJ145="","",全车数据表!BJ145)</f>
        <v/>
      </c>
      <c r="AP144" s="88" t="str">
        <f>IF(全车数据表!BK145="","",全车数据表!BK145)</f>
        <v/>
      </c>
      <c r="AQ144" s="88" t="str">
        <f>IF(全车数据表!BL145="","",全车数据表!BL145)</f>
        <v/>
      </c>
      <c r="AR144" s="88" t="str">
        <f>IF(全车数据表!BM145="","",全车数据表!BM145)</f>
        <v/>
      </c>
      <c r="AS144" s="88">
        <f>IF(全车数据表!BN145="","",全车数据表!BN145)</f>
        <v>1</v>
      </c>
      <c r="AT144" s="88" t="str">
        <f>IF(全车数据表!BO145="","",全车数据表!BO145)</f>
        <v/>
      </c>
      <c r="AU144" s="88" t="str">
        <f>IF(全车数据表!BP145="","",全车数据表!BP145)</f>
        <v/>
      </c>
      <c r="AV144" s="88" t="str">
        <f>IF(全车数据表!BQ145="","",全车数据表!BQ145)</f>
        <v/>
      </c>
      <c r="AW144" s="88" t="str">
        <f>IF(全车数据表!BR145="","",全车数据表!BR145)</f>
        <v/>
      </c>
      <c r="AX144" s="88" t="str">
        <f>IF(全车数据表!BS145="","",全车数据表!BS145)</f>
        <v/>
      </c>
      <c r="AY144" s="88" t="str">
        <f>IF(全车数据表!BT145="","",全车数据表!BT145)</f>
        <v/>
      </c>
      <c r="AZ144" s="88" t="str">
        <f>IF(全车数据表!BU145="","",全车数据表!BU145)</f>
        <v/>
      </c>
      <c r="BA144" s="88" t="str">
        <f>IF(全车数据表!BV145="","",全车数据表!BV145)</f>
        <v>阿斯顿马丁</v>
      </c>
      <c r="BB144" s="91" t="str">
        <f>IF(全车数据表!AZ145="","",全车数据表!AZ145)</f>
        <v/>
      </c>
    </row>
    <row r="145" spans="1:54">
      <c r="A145" s="88">
        <f>全车数据表!A146</f>
        <v>144</v>
      </c>
      <c r="B145" s="88" t="str">
        <f>全车数据表!B146</f>
        <v>McLaren 600LT Spider</v>
      </c>
      <c r="C145" s="89" t="str">
        <f>全车数据表!E146</f>
        <v>600lt</v>
      </c>
      <c r="D145" s="88" t="str">
        <f>IF(全车数据表!D146="","",全车数据表!D146)</f>
        <v>McLaren</v>
      </c>
      <c r="E145" s="89" t="str">
        <f>全车数据表!H146</f>
        <v>4.0</v>
      </c>
      <c r="F145" s="89" t="str">
        <f>全车数据表!C146</f>
        <v>600LT</v>
      </c>
      <c r="G145" s="89" t="str">
        <f>全车数据表!F146</f>
        <v>B</v>
      </c>
      <c r="H145" s="88">
        <f>LEN(全车数据表!G146)</f>
        <v>5</v>
      </c>
      <c r="I145" s="88" t="str">
        <f>VLOOKUP(全车数据表!P146,辅助计算!A:B,2,FALSE)</f>
        <v>epic</v>
      </c>
      <c r="J145" s="88">
        <f>全车数据表!Q146</f>
        <v>40</v>
      </c>
      <c r="K145" s="88">
        <f>全车数据表!R146</f>
        <v>36</v>
      </c>
      <c r="L145" s="88">
        <f>全车数据表!S146</f>
        <v>38</v>
      </c>
      <c r="M145" s="88">
        <f>全车数据表!T146</f>
        <v>42</v>
      </c>
      <c r="N145" s="88">
        <f>全车数据表!U146</f>
        <v>42</v>
      </c>
      <c r="O145" s="88">
        <f>全车数据表!V146</f>
        <v>0</v>
      </c>
      <c r="P145" s="88">
        <f>全车数据表!J146</f>
        <v>4075</v>
      </c>
      <c r="Q145" s="88">
        <f>全车数据表!K146</f>
        <v>340.5</v>
      </c>
      <c r="R145" s="88">
        <f>全车数据表!L146</f>
        <v>86.11</v>
      </c>
      <c r="S145" s="88">
        <f>全车数据表!M146</f>
        <v>83.17</v>
      </c>
      <c r="T145" s="88">
        <f>全车数据表!N146</f>
        <v>74.540000000000006</v>
      </c>
      <c r="U145" s="88">
        <f>全车数据表!O146</f>
        <v>0</v>
      </c>
      <c r="V145" s="88">
        <f>全车数据表!AL146</f>
        <v>0</v>
      </c>
      <c r="W145" s="88">
        <f>全车数据表!AM146</f>
        <v>42000</v>
      </c>
      <c r="X145" s="88">
        <f>全车数据表!AU146</f>
        <v>5040000</v>
      </c>
      <c r="Y145" s="88">
        <f>全车数据表!AV146</f>
        <v>0</v>
      </c>
      <c r="Z145" s="88">
        <f>全车数据表!AN146</f>
        <v>8</v>
      </c>
      <c r="AA145" s="88">
        <f>全车数据表!AP146</f>
        <v>5</v>
      </c>
      <c r="AB145" s="88">
        <f>全车数据表!AR146</f>
        <v>2</v>
      </c>
      <c r="AC145" s="88">
        <f>全车数据表!AW146</f>
        <v>354</v>
      </c>
      <c r="AD145" s="88">
        <f>全车数据表!AX146</f>
        <v>0</v>
      </c>
      <c r="AE145" s="88">
        <f>全车数据表!AY146</f>
        <v>461</v>
      </c>
      <c r="AF145" s="88" t="str">
        <f>IF(全车数据表!BA146="","",全车数据表!BA146)</f>
        <v>惊艳亮相</v>
      </c>
      <c r="AG145" s="88" t="str">
        <f>IF(全车数据表!BB146="","",全车数据表!BB146)</f>
        <v/>
      </c>
      <c r="AH145" s="88" t="str">
        <f>IF(全车数据表!BC146="","",全车数据表!BC146)</f>
        <v/>
      </c>
      <c r="AI145" s="88" t="str">
        <f>IF(全车数据表!BD146="","",全车数据表!BD146)</f>
        <v/>
      </c>
      <c r="AJ145" s="88" t="str">
        <f>IF(全车数据表!BE146="","",全车数据表!BE146)</f>
        <v/>
      </c>
      <c r="AK145" s="88" t="str">
        <f>IF(全车数据表!BF146="","",全车数据表!BF146)</f>
        <v/>
      </c>
      <c r="AL145" s="88" t="str">
        <f>IF(全车数据表!BG146="","",全车数据表!BG146)</f>
        <v/>
      </c>
      <c r="AM145" s="88" t="str">
        <f>IF(全车数据表!BH146="","",全车数据表!BH146)</f>
        <v/>
      </c>
      <c r="AN145" s="88">
        <f>IF(全车数据表!BI146="","",全车数据表!BI146)</f>
        <v>1</v>
      </c>
      <c r="AO145" s="88" t="str">
        <f>IF(全车数据表!BJ146="","",全车数据表!BJ146)</f>
        <v/>
      </c>
      <c r="AP145" s="88" t="str">
        <f>IF(全车数据表!BK146="","",全车数据表!BK146)</f>
        <v/>
      </c>
      <c r="AQ145" s="88" t="str">
        <f>IF(全车数据表!BL146="","",全车数据表!BL146)</f>
        <v/>
      </c>
      <c r="AR145" s="88" t="str">
        <f>IF(全车数据表!BM146="","",全车数据表!BM146)</f>
        <v/>
      </c>
      <c r="AS145" s="88" t="str">
        <f>IF(全车数据表!BN146="","",全车数据表!BN146)</f>
        <v/>
      </c>
      <c r="AT145" s="88" t="str">
        <f>IF(全车数据表!BO146="","",全车数据表!BO146)</f>
        <v/>
      </c>
      <c r="AU145" s="88" t="str">
        <f>IF(全车数据表!BP146="","",全车数据表!BP146)</f>
        <v/>
      </c>
      <c r="AV145" s="88" t="str">
        <f>IF(全车数据表!BQ146="","",全车数据表!BQ146)</f>
        <v/>
      </c>
      <c r="AW145" s="88" t="str">
        <f>IF(全车数据表!BR146="","",全车数据表!BR146)</f>
        <v/>
      </c>
      <c r="AX145" s="88" t="str">
        <f>IF(全车数据表!BS146="","",全车数据表!BS146)</f>
        <v>可开合</v>
      </c>
      <c r="AY145" s="88" t="str">
        <f>IF(全车数据表!BT146="","",全车数据表!BT146)</f>
        <v/>
      </c>
      <c r="AZ145" s="88" t="str">
        <f>IF(全车数据表!BU146="","",全车数据表!BU146)</f>
        <v/>
      </c>
      <c r="BA145" s="88" t="str">
        <f>IF(全车数据表!BV146="","",全车数据表!BV146)</f>
        <v>迈凯伦</v>
      </c>
      <c r="BB145" s="91" t="str">
        <f>IF(全车数据表!AZ146="","",全车数据表!AZ146)</f>
        <v/>
      </c>
    </row>
    <row r="146" spans="1:54">
      <c r="A146" s="88">
        <f>全车数据表!A147</f>
        <v>145</v>
      </c>
      <c r="B146" s="88" t="str">
        <f>全车数据表!B147</f>
        <v>Mclaren Solus GT🔑</v>
      </c>
      <c r="C146" s="89" t="str">
        <f>全车数据表!E147</f>
        <v>solus</v>
      </c>
      <c r="D146" s="88" t="str">
        <f>IF(全车数据表!D147="","",全车数据表!D147)</f>
        <v>McLaren</v>
      </c>
      <c r="E146" s="89" t="str">
        <f>全车数据表!H147</f>
        <v>4.3</v>
      </c>
      <c r="F146" s="89" t="str">
        <f>全车数据表!C147</f>
        <v>Solus GT</v>
      </c>
      <c r="G146" s="89" t="str">
        <f>全车数据表!F147</f>
        <v>B</v>
      </c>
      <c r="H146" s="88">
        <f>LEN(全车数据表!G147)</f>
        <v>6</v>
      </c>
      <c r="I146" s="88" t="str">
        <f>VLOOKUP(全车数据表!P147,辅助计算!A:B,2,FALSE)</f>
        <v>epic</v>
      </c>
      <c r="J146" s="88" t="str">
        <f>全车数据表!Q147</f>
        <v>🔑</v>
      </c>
      <c r="K146" s="88">
        <f>全车数据表!R147</f>
        <v>35</v>
      </c>
      <c r="L146" s="88">
        <f>全车数据表!S147</f>
        <v>38</v>
      </c>
      <c r="M146" s="88">
        <f>全车数据表!T147</f>
        <v>42</v>
      </c>
      <c r="N146" s="88">
        <f>全车数据表!U147</f>
        <v>48</v>
      </c>
      <c r="O146" s="88">
        <f>全车数据表!V147</f>
        <v>52</v>
      </c>
      <c r="P146" s="88">
        <f>全车数据表!J147</f>
        <v>4075</v>
      </c>
      <c r="Q146" s="88">
        <f>全车数据表!K147</f>
        <v>335.4</v>
      </c>
      <c r="R146" s="88">
        <f>全车数据表!L147</f>
        <v>89.3</v>
      </c>
      <c r="S146" s="88">
        <f>全车数据表!M147</f>
        <v>83.11</v>
      </c>
      <c r="T146" s="88">
        <f>全车数据表!N147</f>
        <v>76.819999999999993</v>
      </c>
      <c r="U146" s="88">
        <f>全车数据表!O147</f>
        <v>0</v>
      </c>
      <c r="V146" s="88">
        <f>全车数据表!AL147</f>
        <v>8004000</v>
      </c>
      <c r="W146" s="88">
        <f>全车数据表!AM147</f>
        <v>49000</v>
      </c>
      <c r="X146" s="88">
        <f>全车数据表!AU147</f>
        <v>7056000</v>
      </c>
      <c r="Y146" s="88">
        <f>全车数据表!AV147</f>
        <v>15060000</v>
      </c>
      <c r="Z146" s="88">
        <f>全车数据表!AN147</f>
        <v>8</v>
      </c>
      <c r="AA146" s="88">
        <f>全车数据表!AP147</f>
        <v>5</v>
      </c>
      <c r="AB146" s="88">
        <f>全车数据表!AR147</f>
        <v>3</v>
      </c>
      <c r="AC146" s="88">
        <f>全车数据表!AW147</f>
        <v>349</v>
      </c>
      <c r="AD146" s="88">
        <f>全车数据表!AX147</f>
        <v>0</v>
      </c>
      <c r="AE146" s="88">
        <f>全车数据表!AY147</f>
        <v>453</v>
      </c>
      <c r="AF146" s="88" t="str">
        <f>IF(全车数据表!BA147="","",全车数据表!BA147)</f>
        <v>大奖赛</v>
      </c>
      <c r="AG146" s="88" t="str">
        <f>IF(全车数据表!BB147="","",全车数据表!BB147)</f>
        <v/>
      </c>
      <c r="AH146" s="88" t="str">
        <f>IF(全车数据表!BC147="","",全车数据表!BC147)</f>
        <v/>
      </c>
      <c r="AI146" s="88" t="str">
        <f>IF(全车数据表!BD147="","",全车数据表!BD147)</f>
        <v/>
      </c>
      <c r="AJ146" s="88" t="str">
        <f>IF(全车数据表!BE147="","",全车数据表!BE147)</f>
        <v/>
      </c>
      <c r="AK146" s="88" t="str">
        <f>IF(全车数据表!BF147="","",全车数据表!BF147)</f>
        <v/>
      </c>
      <c r="AL146" s="88" t="str">
        <f>IF(全车数据表!BG147="","",全车数据表!BG147)</f>
        <v/>
      </c>
      <c r="AM146" s="88" t="str">
        <f>IF(全车数据表!BH147="","",全车数据表!BH147)</f>
        <v/>
      </c>
      <c r="AN146" s="88" t="str">
        <f>IF(全车数据表!BI147="","",全车数据表!BI147)</f>
        <v/>
      </c>
      <c r="AO146" s="88" t="str">
        <f>IF(全车数据表!BJ147="","",全车数据表!BJ147)</f>
        <v/>
      </c>
      <c r="AP146" s="88" t="str">
        <f>IF(全车数据表!BK147="","",全车数据表!BK147)</f>
        <v/>
      </c>
      <c r="AQ146" s="88" t="str">
        <f>IF(全车数据表!BL147="","",全车数据表!BL147)</f>
        <v/>
      </c>
      <c r="AR146" s="88">
        <f>IF(全车数据表!BM147="","",全车数据表!BM147)</f>
        <v>1</v>
      </c>
      <c r="AS146" s="88" t="str">
        <f>IF(全车数据表!BN147="","",全车数据表!BN147)</f>
        <v/>
      </c>
      <c r="AT146" s="88">
        <f>IF(全车数据表!BO147="","",全车数据表!BO147)</f>
        <v>1</v>
      </c>
      <c r="AU146" s="88" t="str">
        <f>IF(全车数据表!BP147="","",全车数据表!BP147)</f>
        <v/>
      </c>
      <c r="AV146" s="88" t="str">
        <f>IF(全车数据表!BQ147="","",全车数据表!BQ147)</f>
        <v/>
      </c>
      <c r="AW146" s="88" t="str">
        <f>IF(全车数据表!BR147="","",全车数据表!BR147)</f>
        <v/>
      </c>
      <c r="AX146" s="88" t="str">
        <f>IF(全车数据表!BS147="","",全车数据表!BS147)</f>
        <v/>
      </c>
      <c r="AY146" s="88" t="str">
        <f>IF(全车数据表!BT147="","",全车数据表!BT147)</f>
        <v/>
      </c>
      <c r="AZ146" s="88" t="str">
        <f>IF(全车数据表!BU147="","",全车数据表!BU147)</f>
        <v/>
      </c>
      <c r="BA146" s="88" t="str">
        <f>IF(全车数据表!BV147="","",全车数据表!BV147)</f>
        <v>迈凯伦</v>
      </c>
      <c r="BB146" s="91" t="str">
        <f>IF(全车数据表!AZ147="","",全车数据表!AZ147)</f>
        <v/>
      </c>
    </row>
    <row r="147" spans="1:54">
      <c r="A147" s="88">
        <f>全车数据表!A148</f>
        <v>146</v>
      </c>
      <c r="B147" s="88" t="str">
        <f>全车数据表!B148</f>
        <v>Toyota GR Super Sport Concept🔑</v>
      </c>
      <c r="C147" s="89" t="str">
        <f>全车数据表!E148</f>
        <v>grssc</v>
      </c>
      <c r="D147" s="88" t="str">
        <f>IF(全车数据表!D148="","",全车数据表!D148)</f>
        <v>Toyota</v>
      </c>
      <c r="E147" s="89" t="str">
        <f>全车数据表!H148</f>
        <v>5.5</v>
      </c>
      <c r="F147" s="89" t="str">
        <f>全车数据表!C148</f>
        <v>GR concept</v>
      </c>
      <c r="G147" s="89" t="str">
        <f>全车数据表!F148</f>
        <v>B</v>
      </c>
      <c r="H147" s="88">
        <f>LEN(全车数据表!G148)</f>
        <v>5</v>
      </c>
      <c r="I147" s="88" t="str">
        <f>VLOOKUP(全车数据表!P148,辅助计算!A:B,2,FALSE)</f>
        <v>epic</v>
      </c>
      <c r="J147" s="88" t="str">
        <f>全车数据表!Q148</f>
        <v>🔑</v>
      </c>
      <c r="K147" s="88">
        <f>全车数据表!R148</f>
        <v>26</v>
      </c>
      <c r="L147" s="88">
        <f>全车数据表!S148</f>
        <v>42</v>
      </c>
      <c r="M147" s="88">
        <f>全车数据表!T148</f>
        <v>48</v>
      </c>
      <c r="N147" s="88">
        <f>全车数据表!U148</f>
        <v>60</v>
      </c>
      <c r="O147" s="88">
        <f>全车数据表!V148</f>
        <v>0</v>
      </c>
      <c r="P147" s="88">
        <f>全车数据表!J148</f>
        <v>4076</v>
      </c>
      <c r="Q147" s="88">
        <f>全车数据表!K148</f>
        <v>364.8</v>
      </c>
      <c r="R147" s="88">
        <f>全车数据表!L148</f>
        <v>85.64</v>
      </c>
      <c r="S147" s="88">
        <f>全车数据表!M148</f>
        <v>56.7</v>
      </c>
      <c r="T147" s="88">
        <f>全车数据表!N148</f>
        <v>45.09</v>
      </c>
      <c r="U147" s="88">
        <f>全车数据表!O148</f>
        <v>0</v>
      </c>
      <c r="V147" s="88">
        <f>全车数据表!AL148</f>
        <v>0</v>
      </c>
      <c r="W147" s="88">
        <f>全车数据表!AM148</f>
        <v>0</v>
      </c>
      <c r="X147" s="88">
        <f>全车数据表!AU148</f>
        <v>0</v>
      </c>
      <c r="Y147" s="88">
        <f>全车数据表!AV148</f>
        <v>0</v>
      </c>
      <c r="Z147" s="88">
        <f>全车数据表!AN148</f>
        <v>0</v>
      </c>
      <c r="AA147" s="88">
        <f>全车数据表!AP148</f>
        <v>0</v>
      </c>
      <c r="AB147" s="88">
        <f>全车数据表!AR148</f>
        <v>0</v>
      </c>
      <c r="AC147" s="88">
        <f>全车数据表!AW148</f>
        <v>0</v>
      </c>
      <c r="AD147" s="88">
        <f>全车数据表!AX148</f>
        <v>0</v>
      </c>
      <c r="AE147" s="88">
        <f>全车数据表!AY148</f>
        <v>0</v>
      </c>
      <c r="AF147" s="88" t="str">
        <f>IF(全车数据表!BA148="","",全车数据表!BA148)</f>
        <v>大奖赛</v>
      </c>
      <c r="AG147" s="88" t="str">
        <f>IF(全车数据表!BB148="","",全车数据表!BB148)</f>
        <v/>
      </c>
      <c r="AH147" s="88" t="str">
        <f>IF(全车数据表!BC148="","",全车数据表!BC148)</f>
        <v/>
      </c>
      <c r="AI147" s="88" t="str">
        <f>IF(全车数据表!BD148="","",全车数据表!BD148)</f>
        <v/>
      </c>
      <c r="AJ147" s="88" t="str">
        <f>IF(全车数据表!BE148="","",全车数据表!BE148)</f>
        <v/>
      </c>
      <c r="AK147" s="88" t="str">
        <f>IF(全车数据表!BF148="","",全车数据表!BF148)</f>
        <v/>
      </c>
      <c r="AL147" s="88" t="str">
        <f>IF(全车数据表!BG148="","",全车数据表!BG148)</f>
        <v/>
      </c>
      <c r="AM147" s="88" t="str">
        <f>IF(全车数据表!BH148="","",全车数据表!BH148)</f>
        <v/>
      </c>
      <c r="AN147" s="88" t="str">
        <f>IF(全车数据表!BI148="","",全车数据表!BI148)</f>
        <v/>
      </c>
      <c r="AO147" s="88" t="str">
        <f>IF(全车数据表!BJ148="","",全车数据表!BJ148)</f>
        <v/>
      </c>
      <c r="AP147" s="88" t="str">
        <f>IF(全车数据表!BK148="","",全车数据表!BK148)</f>
        <v/>
      </c>
      <c r="AQ147" s="88" t="str">
        <f>IF(全车数据表!BL148="","",全车数据表!BL148)</f>
        <v/>
      </c>
      <c r="AR147" s="88" t="str">
        <f>IF(全车数据表!BM148="","",全车数据表!BM148)</f>
        <v/>
      </c>
      <c r="AS147" s="88" t="str">
        <f>IF(全车数据表!BN148="","",全车数据表!BN148)</f>
        <v/>
      </c>
      <c r="AT147" s="88" t="str">
        <f>IF(全车数据表!BO148="","",全车数据表!BO148)</f>
        <v/>
      </c>
      <c r="AU147" s="88" t="str">
        <f>IF(全车数据表!BP148="","",全车数据表!BP148)</f>
        <v/>
      </c>
      <c r="AV147" s="88" t="str">
        <f>IF(全车数据表!BQ148="","",全车数据表!BQ148)</f>
        <v/>
      </c>
      <c r="AW147" s="88" t="str">
        <f>IF(全车数据表!BR148="","",全车数据表!BR148)</f>
        <v/>
      </c>
      <c r="AX147" s="88" t="str">
        <f>IF(全车数据表!BS148="","",全车数据表!BS148)</f>
        <v/>
      </c>
      <c r="AY147" s="88" t="str">
        <f>IF(全车数据表!BT148="","",全车数据表!BT148)</f>
        <v/>
      </c>
      <c r="AZ147" s="88" t="str">
        <f>IF(全车数据表!BU148="","",全车数据表!BU148)</f>
        <v/>
      </c>
      <c r="BA147" s="88" t="str">
        <f>IF(全车数据表!BV148="","",全车数据表!BV148)</f>
        <v>丰田</v>
      </c>
      <c r="BB147" s="91" t="str">
        <f>IF(全车数据表!AZ148="","",全车数据表!AZ148)</f>
        <v/>
      </c>
    </row>
    <row r="148" spans="1:54">
      <c r="A148" s="88">
        <f>全车数据表!A149</f>
        <v>147</v>
      </c>
      <c r="B148" s="88" t="str">
        <f>全车数据表!B149</f>
        <v>Lamborghini Invencible</v>
      </c>
      <c r="C148" s="89" t="str">
        <f>全车数据表!E149</f>
        <v>invencible</v>
      </c>
      <c r="D148" s="88" t="str">
        <f>IF(全车数据表!D149="","",全车数据表!D149)</f>
        <v>Lamborghini</v>
      </c>
      <c r="E148" s="89" t="str">
        <f>全车数据表!H149</f>
        <v>4.6</v>
      </c>
      <c r="F148" s="89" t="str">
        <f>全车数据表!C149</f>
        <v>无敌牛</v>
      </c>
      <c r="G148" s="89" t="str">
        <f>全车数据表!F149</f>
        <v>B</v>
      </c>
      <c r="H148" s="88">
        <f>LEN(全车数据表!G149)</f>
        <v>5</v>
      </c>
      <c r="I148" s="88" t="str">
        <f>VLOOKUP(全车数据表!P149,辅助计算!A:B,2,FALSE)</f>
        <v>epic</v>
      </c>
      <c r="J148" s="88">
        <f>全车数据表!Q149</f>
        <v>40</v>
      </c>
      <c r="K148" s="88">
        <f>全车数据表!R149</f>
        <v>30</v>
      </c>
      <c r="L148" s="88">
        <f>全车数据表!S149</f>
        <v>36</v>
      </c>
      <c r="M148" s="88">
        <f>全车数据表!T149</f>
        <v>42</v>
      </c>
      <c r="N148" s="88">
        <f>全车数据表!U149</f>
        <v>52</v>
      </c>
      <c r="O148" s="88">
        <f>全车数据表!V149</f>
        <v>0</v>
      </c>
      <c r="P148" s="88">
        <f>全车数据表!J149</f>
        <v>4091</v>
      </c>
      <c r="Q148" s="88">
        <f>全车数据表!K149</f>
        <v>340.4</v>
      </c>
      <c r="R148" s="88">
        <f>全车数据表!L149</f>
        <v>88.49</v>
      </c>
      <c r="S148" s="88">
        <f>全车数据表!M149</f>
        <v>75.739999999999995</v>
      </c>
      <c r="T148" s="88">
        <f>全车数据表!N149</f>
        <v>67.64</v>
      </c>
      <c r="U148" s="88">
        <f>全车数据表!O149</f>
        <v>0</v>
      </c>
      <c r="V148" s="88">
        <f>全车数据表!AL149</f>
        <v>7552000</v>
      </c>
      <c r="W148" s="88">
        <f>全车数据表!AM149</f>
        <v>56000</v>
      </c>
      <c r="X148" s="88">
        <f>全车数据表!AU149</f>
        <v>6720000</v>
      </c>
      <c r="Y148" s="88">
        <f>全车数据表!AV149</f>
        <v>14272000</v>
      </c>
      <c r="Z148" s="88">
        <f>全车数据表!AN149</f>
        <v>8</v>
      </c>
      <c r="AA148" s="88">
        <f>全车数据表!AP149</f>
        <v>5</v>
      </c>
      <c r="AB148" s="88">
        <f>全车数据表!AR149</f>
        <v>2</v>
      </c>
      <c r="AC148" s="88">
        <f>全车数据表!AW149</f>
        <v>0</v>
      </c>
      <c r="AD148" s="88">
        <f>全车数据表!AX149</f>
        <v>0</v>
      </c>
      <c r="AE148" s="88">
        <f>全车数据表!AY149</f>
        <v>0</v>
      </c>
      <c r="AF148" s="88" t="str">
        <f>IF(全车数据表!BA149="","",全车数据表!BA149)</f>
        <v>通行证</v>
      </c>
      <c r="AG148" s="88" t="str">
        <f>IF(全车数据表!BB149="","",全车数据表!BB149)</f>
        <v/>
      </c>
      <c r="AH148" s="88" t="str">
        <f>IF(全车数据表!BC149="","",全车数据表!BC149)</f>
        <v/>
      </c>
      <c r="AI148" s="88" t="str">
        <f>IF(全车数据表!BD149="","",全车数据表!BD149)</f>
        <v/>
      </c>
      <c r="AJ148" s="88" t="str">
        <f>IF(全车数据表!BE149="","",全车数据表!BE149)</f>
        <v/>
      </c>
      <c r="AK148" s="88" t="str">
        <f>IF(全车数据表!BF149="","",全车数据表!BF149)</f>
        <v/>
      </c>
      <c r="AL148" s="88" t="str">
        <f>IF(全车数据表!BG149="","",全车数据表!BG149)</f>
        <v/>
      </c>
      <c r="AM148" s="88">
        <f>IF(全车数据表!BH149="","",全车数据表!BH149)</f>
        <v>1</v>
      </c>
      <c r="AN148" s="88" t="str">
        <f>IF(全车数据表!BI149="","",全车数据表!BI149)</f>
        <v/>
      </c>
      <c r="AO148" s="88" t="str">
        <f>IF(全车数据表!BJ149="","",全车数据表!BJ149)</f>
        <v/>
      </c>
      <c r="AP148" s="88" t="str">
        <f>IF(全车数据表!BK149="","",全车数据表!BK149)</f>
        <v/>
      </c>
      <c r="AQ148" s="88" t="str">
        <f>IF(全车数据表!BL149="","",全车数据表!BL149)</f>
        <v/>
      </c>
      <c r="AR148" s="88" t="str">
        <f>IF(全车数据表!BM149="","",全车数据表!BM149)</f>
        <v/>
      </c>
      <c r="AS148" s="88" t="str">
        <f>IF(全车数据表!BN149="","",全车数据表!BN149)</f>
        <v/>
      </c>
      <c r="AT148" s="88" t="str">
        <f>IF(全车数据表!BO149="","",全车数据表!BO149)</f>
        <v/>
      </c>
      <c r="AU148" s="88" t="str">
        <f>IF(全车数据表!BP149="","",全车数据表!BP149)</f>
        <v/>
      </c>
      <c r="AV148" s="88" t="str">
        <f>IF(全车数据表!BQ149="","",全车数据表!BQ149)</f>
        <v/>
      </c>
      <c r="AW148" s="88" t="str">
        <f>IF(全车数据表!BR149="","",全车数据表!BR149)</f>
        <v/>
      </c>
      <c r="AX148" s="88" t="str">
        <f>IF(全车数据表!BS149="","",全车数据表!BS149)</f>
        <v/>
      </c>
      <c r="AY148" s="88" t="str">
        <f>IF(全车数据表!BT149="","",全车数据表!BT149)</f>
        <v/>
      </c>
      <c r="AZ148" s="88" t="str">
        <f>IF(全车数据表!BU149="","",全车数据表!BU149)</f>
        <v/>
      </c>
      <c r="BA148" s="88" t="str">
        <f>IF(全车数据表!BV149="","",全车数据表!BV149)</f>
        <v>兰博基尼</v>
      </c>
      <c r="BB148" s="91" t="str">
        <f>IF(全车数据表!AZ149="","",全车数据表!AZ149)</f>
        <v/>
      </c>
    </row>
    <row r="149" spans="1:54">
      <c r="A149" s="88">
        <f>全车数据表!A150</f>
        <v>148</v>
      </c>
      <c r="B149" s="88" t="str">
        <f>全车数据表!B150</f>
        <v>Lamborghini Huracan EVO Spyder</v>
      </c>
      <c r="C149" s="89" t="str">
        <f>全车数据表!E150</f>
        <v>evo</v>
      </c>
      <c r="D149" s="88" t="str">
        <f>IF(全车数据表!D150="","",全车数据表!D150)</f>
        <v>Lamborghini</v>
      </c>
      <c r="E149" s="89" t="str">
        <f>全车数据表!H150</f>
        <v>1.8</v>
      </c>
      <c r="F149" s="89" t="str">
        <f>全车数据表!C150</f>
        <v>EVO</v>
      </c>
      <c r="G149" s="89" t="str">
        <f>全车数据表!F150</f>
        <v>B</v>
      </c>
      <c r="H149" s="88">
        <f>LEN(全车数据表!G150)</f>
        <v>6</v>
      </c>
      <c r="I149" s="88" t="str">
        <f>VLOOKUP(全车数据表!P150,辅助计算!A:B,2,FALSE)</f>
        <v>rare</v>
      </c>
      <c r="J149" s="88">
        <f>全车数据表!Q150</f>
        <v>40</v>
      </c>
      <c r="K149" s="88">
        <f>全车数据表!R150</f>
        <v>30</v>
      </c>
      <c r="L149" s="88">
        <f>全车数据表!S150</f>
        <v>36</v>
      </c>
      <c r="M149" s="88">
        <f>全车数据表!T150</f>
        <v>38</v>
      </c>
      <c r="N149" s="88">
        <f>全车数据表!U150</f>
        <v>46</v>
      </c>
      <c r="O149" s="88">
        <f>全车数据表!V150</f>
        <v>52</v>
      </c>
      <c r="P149" s="88">
        <f>全车数据表!J150</f>
        <v>4108</v>
      </c>
      <c r="Q149" s="88">
        <f>全车数据表!K150</f>
        <v>344</v>
      </c>
      <c r="R149" s="88">
        <f>全车数据表!L150</f>
        <v>84.31</v>
      </c>
      <c r="S149" s="88">
        <f>全车数据表!M150</f>
        <v>75.97</v>
      </c>
      <c r="T149" s="88">
        <f>全车数据表!N150</f>
        <v>82.43</v>
      </c>
      <c r="U149" s="88">
        <f>全车数据表!O150</f>
        <v>11.516999999999999</v>
      </c>
      <c r="V149" s="88">
        <f>全车数据表!AL150</f>
        <v>10725800</v>
      </c>
      <c r="W149" s="88">
        <f>全车数据表!AM150</f>
        <v>35000</v>
      </c>
      <c r="X149" s="88">
        <f>全车数据表!AU150</f>
        <v>5040000</v>
      </c>
      <c r="Y149" s="88">
        <f>全车数据表!AV150</f>
        <v>15765800</v>
      </c>
      <c r="Z149" s="88">
        <f>全车数据表!AN150</f>
        <v>8</v>
      </c>
      <c r="AA149" s="88">
        <f>全车数据表!AP150</f>
        <v>5</v>
      </c>
      <c r="AB149" s="88">
        <f>全车数据表!AR150</f>
        <v>3</v>
      </c>
      <c r="AC149" s="88">
        <f>全车数据表!AW150</f>
        <v>358</v>
      </c>
      <c r="AD149" s="88">
        <f>全车数据表!AX150</f>
        <v>0</v>
      </c>
      <c r="AE149" s="88">
        <f>全车数据表!AY150</f>
        <v>468</v>
      </c>
      <c r="AF149" s="88" t="str">
        <f>IF(全车数据表!BA150="","",全车数据表!BA150)</f>
        <v>旧版寻车</v>
      </c>
      <c r="AG149" s="88" t="str">
        <f>IF(全车数据表!BB150="","",全车数据表!BB150)</f>
        <v/>
      </c>
      <c r="AH149" s="88" t="str">
        <f>IF(全车数据表!BC150="","",全车数据表!BC150)</f>
        <v/>
      </c>
      <c r="AI149" s="88" t="str">
        <f>IF(全车数据表!BD150="","",全车数据表!BD150)</f>
        <v/>
      </c>
      <c r="AJ149" s="88" t="str">
        <f>IF(全车数据表!BE150="","",全车数据表!BE150)</f>
        <v/>
      </c>
      <c r="AK149" s="88" t="str">
        <f>IF(全车数据表!BF150="","",全车数据表!BF150)</f>
        <v/>
      </c>
      <c r="AL149" s="88" t="str">
        <f>IF(全车数据表!BG150="","",全车数据表!BG150)</f>
        <v/>
      </c>
      <c r="AM149" s="88" t="str">
        <f>IF(全车数据表!BH150="","",全车数据表!BH150)</f>
        <v/>
      </c>
      <c r="AN149" s="88" t="str">
        <f>IF(全车数据表!BI150="","",全车数据表!BI150)</f>
        <v/>
      </c>
      <c r="AO149" s="88" t="str">
        <f>IF(全车数据表!BJ150="","",全车数据表!BJ150)</f>
        <v/>
      </c>
      <c r="AP149" s="88" t="str">
        <f>IF(全车数据表!BK150="","",全车数据表!BK150)</f>
        <v/>
      </c>
      <c r="AQ149" s="88" t="str">
        <f>IF(全车数据表!BL150="","",全车数据表!BL150)</f>
        <v/>
      </c>
      <c r="AR149" s="88" t="str">
        <f>IF(全车数据表!BM150="","",全车数据表!BM150)</f>
        <v/>
      </c>
      <c r="AS149" s="88" t="str">
        <f>IF(全车数据表!BN150="","",全车数据表!BN150)</f>
        <v/>
      </c>
      <c r="AT149" s="88" t="str">
        <f>IF(全车数据表!BO150="","",全车数据表!BO150)</f>
        <v/>
      </c>
      <c r="AU149" s="88">
        <f>IF(全车数据表!BP150="","",全车数据表!BP150)</f>
        <v>1</v>
      </c>
      <c r="AV149" s="88" t="str">
        <f>IF(全车数据表!BQ150="","",全车数据表!BQ150)</f>
        <v>3款</v>
      </c>
      <c r="AW149" s="88">
        <f>IF(全车数据表!BR150="","",全车数据表!BR150)</f>
        <v>1</v>
      </c>
      <c r="AX149" s="88" t="str">
        <f>IF(全车数据表!BS150="","",全车数据表!BS150)</f>
        <v>可开合</v>
      </c>
      <c r="AY149" s="88">
        <f>IF(全车数据表!BT150="","",全车数据表!BT150)</f>
        <v>1</v>
      </c>
      <c r="AZ149" s="88" t="str">
        <f>IF(全车数据表!BU150="","",全车数据表!BU150)</f>
        <v/>
      </c>
      <c r="BA149" s="88" t="str">
        <f>IF(全车数据表!BV150="","",全车数据表!BV150)</f>
        <v>4109 是人都有 飓风 小牛 胡乱砍</v>
      </c>
      <c r="BB149" s="91" t="str">
        <f>IF(全车数据表!AZ150="","",全车数据表!AZ150)</f>
        <v/>
      </c>
    </row>
    <row r="150" spans="1:54">
      <c r="A150" s="88">
        <f>全车数据表!A151</f>
        <v>149</v>
      </c>
      <c r="B150" s="88" t="str">
        <f>全车数据表!B151</f>
        <v>FV Frangivento GT65🔑</v>
      </c>
      <c r="C150" s="89" t="str">
        <f>全车数据表!E151</f>
        <v>gt65</v>
      </c>
      <c r="D150" s="88" t="str">
        <f>IF(全车数据表!D151="","",全车数据表!D151)</f>
        <v>FV Frangivento</v>
      </c>
      <c r="E150" s="89" t="str">
        <f>全车数据表!H151</f>
        <v>5.2</v>
      </c>
      <c r="F150" s="89" t="str">
        <f>全车数据表!C151</f>
        <v>GT65</v>
      </c>
      <c r="G150" s="89" t="str">
        <f>全车数据表!F151</f>
        <v>B</v>
      </c>
      <c r="H150" s="88">
        <f>LEN(全车数据表!G151)</f>
        <v>5</v>
      </c>
      <c r="I150" s="88" t="str">
        <f>VLOOKUP(全车数据表!P151,辅助计算!A:B,2,FALSE)</f>
        <v>epic</v>
      </c>
      <c r="J150" s="88" t="str">
        <f>全车数据表!Q151</f>
        <v>🔑</v>
      </c>
      <c r="K150" s="88">
        <f>全车数据表!R151</f>
        <v>35</v>
      </c>
      <c r="L150" s="88">
        <f>全车数据表!S151</f>
        <v>40</v>
      </c>
      <c r="M150" s="88">
        <f>全车数据表!T151</f>
        <v>52</v>
      </c>
      <c r="N150" s="88">
        <f>全车数据表!U151</f>
        <v>70</v>
      </c>
      <c r="O150" s="88">
        <f>全车数据表!V151</f>
        <v>0</v>
      </c>
      <c r="P150" s="88">
        <f>全车数据表!J151</f>
        <v>4127</v>
      </c>
      <c r="Q150" s="88">
        <f>全车数据表!K151</f>
        <v>371.1</v>
      </c>
      <c r="R150" s="88">
        <f>全车数据表!L151</f>
        <v>81.8</v>
      </c>
      <c r="S150" s="88">
        <f>全车数据表!M151</f>
        <v>51.98</v>
      </c>
      <c r="T150" s="88">
        <f>全车数据表!N151</f>
        <v>54.39</v>
      </c>
      <c r="U150" s="88">
        <f>全车数据表!O151</f>
        <v>0</v>
      </c>
      <c r="V150" s="88">
        <f>全车数据表!AL151</f>
        <v>5700000</v>
      </c>
      <c r="W150" s="88">
        <f>全车数据表!AM151</f>
        <v>35000</v>
      </c>
      <c r="X150" s="88">
        <f>全车数据表!AU151</f>
        <v>4200000</v>
      </c>
      <c r="Y150" s="88">
        <f>全车数据表!AV151</f>
        <v>9900000</v>
      </c>
      <c r="Z150" s="88">
        <f>全车数据表!AN151</f>
        <v>8</v>
      </c>
      <c r="AA150" s="88">
        <f>全车数据表!AP151</f>
        <v>5</v>
      </c>
      <c r="AB150" s="88">
        <f>全车数据表!AR151</f>
        <v>2</v>
      </c>
      <c r="AC150" s="88">
        <f>全车数据表!AW151</f>
        <v>0</v>
      </c>
      <c r="AD150" s="88">
        <f>全车数据表!AX151</f>
        <v>0</v>
      </c>
      <c r="AE150" s="88">
        <f>全车数据表!AY151</f>
        <v>0</v>
      </c>
      <c r="AF150" s="88" t="str">
        <f>IF(全车数据表!BA151="","",全车数据表!BA151)</f>
        <v>大奖赛</v>
      </c>
      <c r="AG150" s="88" t="str">
        <f>IF(全车数据表!BB151="","",全车数据表!BB151)</f>
        <v/>
      </c>
      <c r="AH150" s="88" t="str">
        <f>IF(全车数据表!BC151="","",全车数据表!BC151)</f>
        <v/>
      </c>
      <c r="AI150" s="88" t="str">
        <f>IF(全车数据表!BD151="","",全车数据表!BD151)</f>
        <v/>
      </c>
      <c r="AJ150" s="88" t="str">
        <f>IF(全车数据表!BE151="","",全车数据表!BE151)</f>
        <v/>
      </c>
      <c r="AK150" s="88" t="str">
        <f>IF(全车数据表!BF151="","",全车数据表!BF151)</f>
        <v/>
      </c>
      <c r="AL150" s="88" t="str">
        <f>IF(全车数据表!BG151="","",全车数据表!BG151)</f>
        <v/>
      </c>
      <c r="AM150" s="88" t="str">
        <f>IF(全车数据表!BH151="","",全车数据表!BH151)</f>
        <v/>
      </c>
      <c r="AN150" s="88" t="str">
        <f>IF(全车数据表!BI151="","",全车数据表!BI151)</f>
        <v/>
      </c>
      <c r="AO150" s="88" t="str">
        <f>IF(全车数据表!BJ151="","",全车数据表!BJ151)</f>
        <v/>
      </c>
      <c r="AP150" s="88" t="str">
        <f>IF(全车数据表!BK151="","",全车数据表!BK151)</f>
        <v/>
      </c>
      <c r="AQ150" s="88" t="str">
        <f>IF(全车数据表!BL151="","",全车数据表!BL151)</f>
        <v/>
      </c>
      <c r="AR150" s="88" t="str">
        <f>IF(全车数据表!BM151="","",全车数据表!BM151)</f>
        <v/>
      </c>
      <c r="AS150" s="88" t="str">
        <f>IF(全车数据表!BN151="","",全车数据表!BN151)</f>
        <v/>
      </c>
      <c r="AT150" s="88">
        <f>IF(全车数据表!BO151="","",全车数据表!BO151)</f>
        <v>1</v>
      </c>
      <c r="AU150" s="88" t="str">
        <f>IF(全车数据表!BP151="","",全车数据表!BP151)</f>
        <v/>
      </c>
      <c r="AV150" s="88" t="str">
        <f>IF(全车数据表!BQ151="","",全车数据表!BQ151)</f>
        <v/>
      </c>
      <c r="AW150" s="88" t="str">
        <f>IF(全车数据表!BR151="","",全车数据表!BR151)</f>
        <v/>
      </c>
      <c r="AX150" s="88" t="str">
        <f>IF(全车数据表!BS151="","",全车数据表!BS151)</f>
        <v/>
      </c>
      <c r="AY150" s="88" t="str">
        <f>IF(全车数据表!BT151="","",全车数据表!BT151)</f>
        <v/>
      </c>
      <c r="AZ150" s="88" t="str">
        <f>IF(全车数据表!BU151="","",全车数据表!BU151)</f>
        <v/>
      </c>
      <c r="BA150" s="88" t="str">
        <f>IF(全车数据表!BV151="","",全车数据表!BV151)</f>
        <v>废物</v>
      </c>
      <c r="BB150" s="91" t="str">
        <f>IF(全车数据表!AZ151="","",全车数据表!AZ151)</f>
        <v/>
      </c>
    </row>
    <row r="151" spans="1:54">
      <c r="A151" s="88">
        <f>全车数据表!A152</f>
        <v>150</v>
      </c>
      <c r="B151" s="88" t="str">
        <f>全车数据表!B152</f>
        <v>Lamborghini Sesto Elemento</v>
      </c>
      <c r="C151" s="89" t="str">
        <f>全车数据表!E152</f>
        <v>sesto</v>
      </c>
      <c r="D151" s="88" t="str">
        <f>IF(全车数据表!D152="","",全车数据表!D152)</f>
        <v>Lamborghini</v>
      </c>
      <c r="E151" s="89" t="str">
        <f>全车数据表!H152</f>
        <v>3.7</v>
      </c>
      <c r="F151" s="89" t="str">
        <f>全车数据表!C152</f>
        <v>第六元素</v>
      </c>
      <c r="G151" s="89" t="str">
        <f>全车数据表!F152</f>
        <v>B</v>
      </c>
      <c r="H151" s="88">
        <f>LEN(全车数据表!G152)</f>
        <v>6</v>
      </c>
      <c r="I151" s="88" t="str">
        <f>VLOOKUP(全车数据表!P152,辅助计算!A:B,2,FALSE)</f>
        <v>epic</v>
      </c>
      <c r="J151" s="88">
        <f>全车数据表!Q152</f>
        <v>40</v>
      </c>
      <c r="K151" s="88">
        <f>全车数据表!R152</f>
        <v>30</v>
      </c>
      <c r="L151" s="88">
        <f>全车数据表!S152</f>
        <v>36</v>
      </c>
      <c r="M151" s="88">
        <f>全车数据表!T152</f>
        <v>38</v>
      </c>
      <c r="N151" s="88">
        <f>全车数据表!U152</f>
        <v>46</v>
      </c>
      <c r="O151" s="88">
        <f>全车数据表!V152</f>
        <v>52</v>
      </c>
      <c r="P151" s="88">
        <f>全车数据表!J152</f>
        <v>4183</v>
      </c>
      <c r="Q151" s="88">
        <f>全车数据表!K152</f>
        <v>347.2</v>
      </c>
      <c r="R151" s="88">
        <f>全车数据表!L152</f>
        <v>88.16</v>
      </c>
      <c r="S151" s="88">
        <f>全车数据表!M152</f>
        <v>70.97</v>
      </c>
      <c r="T151" s="88">
        <f>全车数据表!N152</f>
        <v>74.78</v>
      </c>
      <c r="U151" s="88">
        <f>全车数据表!O152</f>
        <v>0</v>
      </c>
      <c r="V151" s="88">
        <f>全车数据表!AL152</f>
        <v>8593800</v>
      </c>
      <c r="W151" s="88">
        <f>全车数据表!AM152</f>
        <v>63000</v>
      </c>
      <c r="X151" s="88">
        <f>全车数据表!AU152</f>
        <v>9072000</v>
      </c>
      <c r="Y151" s="88">
        <f>全车数据表!AV152</f>
        <v>17665800</v>
      </c>
      <c r="Z151" s="88">
        <f>全车数据表!AN152</f>
        <v>8</v>
      </c>
      <c r="AA151" s="88">
        <f>全车数据表!AP152</f>
        <v>5</v>
      </c>
      <c r="AB151" s="88">
        <f>全车数据表!AR152</f>
        <v>3</v>
      </c>
      <c r="AC151" s="88">
        <f>全车数据表!AW152</f>
        <v>361</v>
      </c>
      <c r="AD151" s="88">
        <f>全车数据表!AX152</f>
        <v>0</v>
      </c>
      <c r="AE151" s="88">
        <f>全车数据表!AY152</f>
        <v>473</v>
      </c>
      <c r="AF151" s="88" t="str">
        <f>IF(全车数据表!BA152="","",全车数据表!BA152)</f>
        <v>特殊赛事</v>
      </c>
      <c r="AG151" s="88" t="str">
        <f>IF(全车数据表!BB152="","",全车数据表!BB152)</f>
        <v/>
      </c>
      <c r="AH151" s="88" t="str">
        <f>IF(全车数据表!BC152="","",全车数据表!BC152)</f>
        <v/>
      </c>
      <c r="AI151" s="88" t="str">
        <f>IF(全车数据表!BD152="","",全车数据表!BD152)</f>
        <v/>
      </c>
      <c r="AJ151" s="88" t="str">
        <f>IF(全车数据表!BE152="","",全车数据表!BE152)</f>
        <v/>
      </c>
      <c r="AK151" s="88" t="str">
        <f>IF(全车数据表!BF152="","",全车数据表!BF152)</f>
        <v/>
      </c>
      <c r="AL151" s="88" t="str">
        <f>IF(全车数据表!BG152="","",全车数据表!BG152)</f>
        <v/>
      </c>
      <c r="AM151" s="88" t="str">
        <f>IF(全车数据表!BH152="","",全车数据表!BH152)</f>
        <v/>
      </c>
      <c r="AN151" s="88" t="str">
        <f>IF(全车数据表!BI152="","",全车数据表!BI152)</f>
        <v/>
      </c>
      <c r="AO151" s="88" t="str">
        <f>IF(全车数据表!BJ152="","",全车数据表!BJ152)</f>
        <v/>
      </c>
      <c r="AP151" s="88" t="str">
        <f>IF(全车数据表!BK152="","",全车数据表!BK152)</f>
        <v/>
      </c>
      <c r="AQ151" s="88">
        <f>IF(全车数据表!BL152="","",全车数据表!BL152)</f>
        <v>1</v>
      </c>
      <c r="AR151" s="88" t="str">
        <f>IF(全车数据表!BM152="","",全车数据表!BM152)</f>
        <v/>
      </c>
      <c r="AS151" s="88" t="str">
        <f>IF(全车数据表!BN152="","",全车数据表!BN152)</f>
        <v/>
      </c>
      <c r="AT151" s="88" t="str">
        <f>IF(全车数据表!BO152="","",全车数据表!BO152)</f>
        <v/>
      </c>
      <c r="AU151" s="88">
        <f>IF(全车数据表!BP152="","",全车数据表!BP152)</f>
        <v>1</v>
      </c>
      <c r="AV151" s="88" t="str">
        <f>IF(全车数据表!BQ152="","",全车数据表!BQ152)</f>
        <v/>
      </c>
      <c r="AW151" s="88" t="str">
        <f>IF(全车数据表!BR152="","",全车数据表!BR152)</f>
        <v/>
      </c>
      <c r="AX151" s="88" t="str">
        <f>IF(全车数据表!BS152="","",全车数据表!BS152)</f>
        <v/>
      </c>
      <c r="AY151" s="88">
        <f>IF(全车数据表!BT152="","",全车数据表!BT152)</f>
        <v>1</v>
      </c>
      <c r="AZ151" s="88" t="str">
        <f>IF(全车数据表!BU152="","",全车数据表!BU152)</f>
        <v/>
      </c>
      <c r="BA151" s="88" t="str">
        <f>IF(全车数据表!BV152="","",全车数据表!BV152)</f>
        <v>兰博基尼 第六元素</v>
      </c>
      <c r="BB151" s="91" t="str">
        <f>IF(全车数据表!AZ152="","",全车数据表!AZ152)</f>
        <v/>
      </c>
    </row>
    <row r="152" spans="1:54">
      <c r="A152" s="88">
        <f>全车数据表!A153</f>
        <v>151</v>
      </c>
      <c r="B152" s="88" t="str">
        <f>全车数据表!B153</f>
        <v>Ford GT MK IV🔑</v>
      </c>
      <c r="C152" s="89" t="str">
        <f>全车数据表!E153</f>
        <v>mk4</v>
      </c>
      <c r="D152" s="88" t="str">
        <f>IF(全车数据表!D153="","",全车数据表!D153)</f>
        <v>Ford</v>
      </c>
      <c r="E152" s="89" t="str">
        <f>全车数据表!H153</f>
        <v>5.4</v>
      </c>
      <c r="F152" s="89" t="str">
        <f>全车数据表!C153</f>
        <v>MK4🔑</v>
      </c>
      <c r="G152" s="89" t="str">
        <f>全车数据表!F153</f>
        <v>B</v>
      </c>
      <c r="H152" s="88">
        <f>LEN(全车数据表!G153)</f>
        <v>6</v>
      </c>
      <c r="I152" s="88" t="str">
        <f>VLOOKUP(全车数据表!P153,辅助计算!A:B,2,FALSE)</f>
        <v>epic</v>
      </c>
      <c r="J152" s="88" t="str">
        <f>全车数据表!Q153</f>
        <v>🔑</v>
      </c>
      <c r="K152" s="88">
        <f>全车数据表!R153</f>
        <v>45</v>
      </c>
      <c r="L152" s="88">
        <f>全车数据表!S153</f>
        <v>50</v>
      </c>
      <c r="M152" s="88">
        <f>全车数据表!T153</f>
        <v>56</v>
      </c>
      <c r="N152" s="88">
        <f>全车数据表!U153</f>
        <v>62</v>
      </c>
      <c r="O152" s="88">
        <f>全车数据表!V153</f>
        <v>66</v>
      </c>
      <c r="P152" s="88">
        <f>全车数据表!J153</f>
        <v>4262</v>
      </c>
      <c r="Q152" s="88">
        <f>全车数据表!K153</f>
        <v>361.4</v>
      </c>
      <c r="R152" s="88">
        <f>全车数据表!L153</f>
        <v>87.26</v>
      </c>
      <c r="S152" s="88">
        <f>全车数据表!M153</f>
        <v>54.52</v>
      </c>
      <c r="T152" s="88">
        <f>全车数据表!N153</f>
        <v>59.57</v>
      </c>
      <c r="U152" s="88">
        <f>全车数据表!O153</f>
        <v>0</v>
      </c>
      <c r="V152" s="88">
        <f>全车数据表!AL153</f>
        <v>12000000</v>
      </c>
      <c r="W152" s="88">
        <f>全车数据表!AM153</f>
        <v>58500</v>
      </c>
      <c r="X152" s="88">
        <f>全车数据表!AU153</f>
        <v>8424000</v>
      </c>
      <c r="Y152" s="88">
        <f>全车数据表!AV153</f>
        <v>20424000</v>
      </c>
      <c r="Z152" s="88">
        <f>全车数据表!AN153</f>
        <v>8</v>
      </c>
      <c r="AA152" s="88">
        <f>全车数据表!AP153</f>
        <v>5</v>
      </c>
      <c r="AB152" s="88">
        <f>全车数据表!AR153</f>
        <v>3</v>
      </c>
      <c r="AC152" s="88">
        <f>全车数据表!AW153</f>
        <v>0</v>
      </c>
      <c r="AD152" s="88">
        <f>全车数据表!AX153</f>
        <v>0</v>
      </c>
      <c r="AE152" s="88">
        <f>全车数据表!AY153</f>
        <v>0</v>
      </c>
      <c r="AF152" s="88" t="str">
        <f>IF(全车数据表!BA153="","",全车数据表!BA153)</f>
        <v>特殊赛事</v>
      </c>
      <c r="AG152" s="88" t="str">
        <f>IF(全车数据表!BB153="","",全车数据表!BB153)</f>
        <v/>
      </c>
      <c r="AH152" s="88" t="str">
        <f>IF(全车数据表!BC153="","",全车数据表!BC153)</f>
        <v/>
      </c>
      <c r="AI152" s="88" t="str">
        <f>IF(全车数据表!BD153="","",全车数据表!BD153)</f>
        <v/>
      </c>
      <c r="AJ152" s="88" t="str">
        <f>IF(全车数据表!BE153="","",全车数据表!BE153)</f>
        <v/>
      </c>
      <c r="AK152" s="88" t="str">
        <f>IF(全车数据表!BF153="","",全车数据表!BF153)</f>
        <v/>
      </c>
      <c r="AL152" s="88" t="str">
        <f>IF(全车数据表!BG153="","",全车数据表!BG153)</f>
        <v/>
      </c>
      <c r="AM152" s="88" t="str">
        <f>IF(全车数据表!BH153="","",全车数据表!BH153)</f>
        <v/>
      </c>
      <c r="AN152" s="88" t="str">
        <f>IF(全车数据表!BI153="","",全车数据表!BI153)</f>
        <v/>
      </c>
      <c r="AO152" s="88" t="str">
        <f>IF(全车数据表!BJ153="","",全车数据表!BJ153)</f>
        <v/>
      </c>
      <c r="AP152" s="88" t="str">
        <f>IF(全车数据表!BK153="","",全车数据表!BK153)</f>
        <v/>
      </c>
      <c r="AQ152" s="88" t="str">
        <f>IF(全车数据表!BL153="","",全车数据表!BL153)</f>
        <v/>
      </c>
      <c r="AR152" s="88" t="str">
        <f>IF(全车数据表!BM153="","",全车数据表!BM153)</f>
        <v/>
      </c>
      <c r="AS152" s="88" t="str">
        <f>IF(全车数据表!BN153="","",全车数据表!BN153)</f>
        <v/>
      </c>
      <c r="AT152" s="88" t="str">
        <f>IF(全车数据表!BO153="","",全车数据表!BO153)</f>
        <v/>
      </c>
      <c r="AU152" s="88" t="str">
        <f>IF(全车数据表!BP153="","",全车数据表!BP153)</f>
        <v/>
      </c>
      <c r="AV152" s="88" t="str">
        <f>IF(全车数据表!BQ153="","",全车数据表!BQ153)</f>
        <v/>
      </c>
      <c r="AW152" s="88" t="str">
        <f>IF(全车数据表!BR153="","",全车数据表!BR153)</f>
        <v/>
      </c>
      <c r="AX152" s="88" t="str">
        <f>IF(全车数据表!BS153="","",全车数据表!BS153)</f>
        <v/>
      </c>
      <c r="AY152" s="88" t="str">
        <f>IF(全车数据表!BT153="","",全车数据表!BT153)</f>
        <v/>
      </c>
      <c r="AZ152" s="88" t="str">
        <f>IF(全车数据表!BU153="","",全车数据表!BU153)</f>
        <v/>
      </c>
      <c r="BA152" s="88" t="str">
        <f>IF(全车数据表!BV153="","",全车数据表!BV153)</f>
        <v/>
      </c>
      <c r="BB152" s="91" t="str">
        <f>IF(全车数据表!AZ153="","",全车数据表!AZ153)</f>
        <v/>
      </c>
    </row>
    <row r="153" spans="1:54">
      <c r="A153" s="88">
        <f>全车数据表!A154</f>
        <v>152</v>
      </c>
      <c r="B153" s="88" t="str">
        <f>全车数据表!B154</f>
        <v>LEGO Technic Lamborghini Revuelto</v>
      </c>
      <c r="C153" s="89" t="str">
        <f>全车数据表!E154</f>
        <v>legorevuelto</v>
      </c>
      <c r="D153" s="88" t="str">
        <f>IF(全车数据表!D154="","",全车数据表!D154)</f>
        <v>LEGO Technic</v>
      </c>
      <c r="E153" s="89" t="str">
        <f>全车数据表!H154</f>
        <v>5.3</v>
      </c>
      <c r="F153" s="89" t="str">
        <f>全车数据表!C154</f>
        <v>乐高R牛</v>
      </c>
      <c r="G153" s="89" t="str">
        <f>全车数据表!F154</f>
        <v>B</v>
      </c>
      <c r="H153" s="88">
        <f>LEN(全车数据表!G154)</f>
        <v>6</v>
      </c>
      <c r="I153" s="88" t="str">
        <f>VLOOKUP(全车数据表!P154,辅助计算!A:B,2,FALSE)</f>
        <v>epic</v>
      </c>
      <c r="J153" s="88">
        <f>全车数据表!Q154</f>
        <v>40</v>
      </c>
      <c r="K153" s="88">
        <f>全车数据表!R154</f>
        <v>30</v>
      </c>
      <c r="L153" s="88">
        <f>全车数据表!S154</f>
        <v>36</v>
      </c>
      <c r="M153" s="88">
        <f>全车数据表!T154</f>
        <v>38</v>
      </c>
      <c r="N153" s="88">
        <f>全车数据表!U154</f>
        <v>46</v>
      </c>
      <c r="O153" s="88">
        <f>全车数据表!V154</f>
        <v>52</v>
      </c>
      <c r="P153" s="88">
        <f>全车数据表!J154</f>
        <v>4264</v>
      </c>
      <c r="Q153" s="88">
        <f>全车数据表!K154</f>
        <v>368.2</v>
      </c>
      <c r="R153" s="88">
        <f>全车数据表!L154</f>
        <v>83.11</v>
      </c>
      <c r="S153" s="88">
        <f>全车数据表!M154</f>
        <v>70.61</v>
      </c>
      <c r="T153" s="88">
        <f>全车数据表!N154</f>
        <v>56.07</v>
      </c>
      <c r="U153" s="88">
        <f>全车数据表!O154</f>
        <v>0</v>
      </c>
      <c r="V153" s="88">
        <f>全车数据表!AL154</f>
        <v>12000000</v>
      </c>
      <c r="W153" s="88">
        <f>全车数据表!AM154</f>
        <v>72000</v>
      </c>
      <c r="X153" s="88">
        <f>全车数据表!AU154</f>
        <v>10368000</v>
      </c>
      <c r="Y153" s="88">
        <f>全车数据表!AV154</f>
        <v>22368000</v>
      </c>
      <c r="Z153" s="88">
        <f>全车数据表!AN154</f>
        <v>8</v>
      </c>
      <c r="AA153" s="88">
        <f>全车数据表!AP154</f>
        <v>5</v>
      </c>
      <c r="AB153" s="88">
        <f>全车数据表!AR154</f>
        <v>3</v>
      </c>
      <c r="AC153" s="88">
        <f>全车数据表!AW154</f>
        <v>0</v>
      </c>
      <c r="AD153" s="88">
        <f>全车数据表!AX154</f>
        <v>0</v>
      </c>
      <c r="AE153" s="88">
        <f>全车数据表!AY154</f>
        <v>0</v>
      </c>
      <c r="AF153" s="88" t="str">
        <f>IF(全车数据表!BA154="","",全车数据表!BA154)</f>
        <v>联动赛事</v>
      </c>
      <c r="AG153" s="88" t="str">
        <f>IF(全车数据表!BB154="","",全车数据表!BB154)</f>
        <v/>
      </c>
      <c r="AH153" s="88" t="str">
        <f>IF(全车数据表!BC154="","",全车数据表!BC154)</f>
        <v/>
      </c>
      <c r="AI153" s="88" t="str">
        <f>IF(全车数据表!BD154="","",全车数据表!BD154)</f>
        <v/>
      </c>
      <c r="AJ153" s="88" t="str">
        <f>IF(全车数据表!BE154="","",全车数据表!BE154)</f>
        <v/>
      </c>
      <c r="AK153" s="88" t="str">
        <f>IF(全车数据表!BF154="","",全车数据表!BF154)</f>
        <v/>
      </c>
      <c r="AL153" s="88" t="str">
        <f>IF(全车数据表!BG154="","",全车数据表!BG154)</f>
        <v/>
      </c>
      <c r="AM153" s="88" t="str">
        <f>IF(全车数据表!BH154="","",全车数据表!BH154)</f>
        <v/>
      </c>
      <c r="AN153" s="88" t="str">
        <f>IF(全车数据表!BI154="","",全车数据表!BI154)</f>
        <v/>
      </c>
      <c r="AO153" s="88" t="str">
        <f>IF(全车数据表!BJ154="","",全车数据表!BJ154)</f>
        <v/>
      </c>
      <c r="AP153" s="88" t="str">
        <f>IF(全车数据表!BK154="","",全车数据表!BK154)</f>
        <v/>
      </c>
      <c r="AQ153" s="88" t="str">
        <f>IF(全车数据表!BL154="","",全车数据表!BL154)</f>
        <v/>
      </c>
      <c r="AR153" s="88" t="str">
        <f>IF(全车数据表!BM154="","",全车数据表!BM154)</f>
        <v/>
      </c>
      <c r="AS153" s="88" t="str">
        <f>IF(全车数据表!BN154="","",全车数据表!BN154)</f>
        <v/>
      </c>
      <c r="AT153" s="88" t="str">
        <f>IF(全车数据表!BO154="","",全车数据表!BO154)</f>
        <v/>
      </c>
      <c r="AU153" s="88" t="str">
        <f>IF(全车数据表!BP154="","",全车数据表!BP154)</f>
        <v/>
      </c>
      <c r="AV153" s="88" t="str">
        <f>IF(全车数据表!BQ154="","",全车数据表!BQ154)</f>
        <v/>
      </c>
      <c r="AW153" s="88" t="str">
        <f>IF(全车数据表!BR154="","",全车数据表!BR154)</f>
        <v/>
      </c>
      <c r="AX153" s="88" t="str">
        <f>IF(全车数据表!BS154="","",全车数据表!BS154)</f>
        <v/>
      </c>
      <c r="AY153" s="88" t="str">
        <f>IF(全车数据表!BT154="","",全车数据表!BT154)</f>
        <v/>
      </c>
      <c r="AZ153" s="88" t="str">
        <f>IF(全车数据表!BU154="","",全车数据表!BU154)</f>
        <v/>
      </c>
      <c r="BA153" s="88" t="str">
        <f>IF(全车数据表!BV154="","",全车数据表!BV154)</f>
        <v>兰博基尼 橙牛</v>
      </c>
      <c r="BB153" s="91" t="str">
        <f>IF(全车数据表!AZ154="","",全车数据表!AZ154)</f>
        <v/>
      </c>
    </row>
    <row r="154" spans="1:54">
      <c r="A154" s="88">
        <f>全车数据表!A155</f>
        <v>153</v>
      </c>
      <c r="B154" s="88" t="str">
        <f>全车数据表!B155</f>
        <v>Apollo EVO</v>
      </c>
      <c r="C154" s="89" t="str">
        <f>全车数据表!E155</f>
        <v>apolloevo</v>
      </c>
      <c r="D154" s="88" t="str">
        <f>IF(全车数据表!D155="","",全车数据表!D155)</f>
        <v>Apollo</v>
      </c>
      <c r="E154" s="89" t="str">
        <f>全车数据表!H155</f>
        <v>4.2</v>
      </c>
      <c r="F154" s="89" t="str">
        <f>全车数据表!C155</f>
        <v>菠萝EVO</v>
      </c>
      <c r="G154" s="89" t="str">
        <f>全车数据表!F155</f>
        <v>B</v>
      </c>
      <c r="H154" s="88">
        <f>LEN(全车数据表!G155)</f>
        <v>6</v>
      </c>
      <c r="I154" s="88" t="str">
        <f>VLOOKUP(全车数据表!P155,辅助计算!A:B,2,FALSE)</f>
        <v>epic</v>
      </c>
      <c r="J154" s="88">
        <f>全车数据表!Q155</f>
        <v>40</v>
      </c>
      <c r="K154" s="88">
        <f>全车数据表!R155</f>
        <v>30</v>
      </c>
      <c r="L154" s="88">
        <f>全车数据表!S155</f>
        <v>36</v>
      </c>
      <c r="M154" s="88">
        <f>全车数据表!T155</f>
        <v>38</v>
      </c>
      <c r="N154" s="88">
        <f>全车数据表!U155</f>
        <v>46</v>
      </c>
      <c r="O154" s="88">
        <f>全车数据表!V155</f>
        <v>52</v>
      </c>
      <c r="P154" s="88">
        <f>全车数据表!J155</f>
        <v>4265</v>
      </c>
      <c r="Q154" s="88">
        <f>全车数据表!K155</f>
        <v>355</v>
      </c>
      <c r="R154" s="88">
        <f>全车数据表!L155</f>
        <v>85.46</v>
      </c>
      <c r="S154" s="88">
        <f>全车数据表!M155</f>
        <v>70.34</v>
      </c>
      <c r="T154" s="88">
        <f>全车数据表!N155</f>
        <v>65.790000000000006</v>
      </c>
      <c r="U154" s="88">
        <f>全车数据表!O155</f>
        <v>0</v>
      </c>
      <c r="V154" s="88">
        <f>全车数据表!AL155</f>
        <v>12000000</v>
      </c>
      <c r="W154" s="88">
        <f>全车数据表!AM155</f>
        <v>63000</v>
      </c>
      <c r="X154" s="88">
        <f>全车数据表!AU155</f>
        <v>9072000</v>
      </c>
      <c r="Y154" s="88">
        <f>全车数据表!AV155</f>
        <v>21072000</v>
      </c>
      <c r="Z154" s="88">
        <f>全车数据表!AN155</f>
        <v>8</v>
      </c>
      <c r="AA154" s="88">
        <f>全车数据表!AP155</f>
        <v>5</v>
      </c>
      <c r="AB154" s="88">
        <f>全车数据表!AR155</f>
        <v>3</v>
      </c>
      <c r="AC154" s="88">
        <f>全车数据表!AW155</f>
        <v>369</v>
      </c>
      <c r="AD154" s="88">
        <f>全车数据表!AX155</f>
        <v>0</v>
      </c>
      <c r="AE154" s="88">
        <f>全车数据表!AY155</f>
        <v>487</v>
      </c>
      <c r="AF154" s="88" t="str">
        <f>IF(全车数据表!BA155="","",全车数据表!BA155)</f>
        <v>特殊赛事</v>
      </c>
      <c r="AG154" s="88" t="str">
        <f>IF(全车数据表!BB155="","",全车数据表!BB155)</f>
        <v/>
      </c>
      <c r="AH154" s="88" t="str">
        <f>IF(全车数据表!BC155="","",全车数据表!BC155)</f>
        <v/>
      </c>
      <c r="AI154" s="88" t="str">
        <f>IF(全车数据表!BD155="","",全车数据表!BD155)</f>
        <v/>
      </c>
      <c r="AJ154" s="88" t="str">
        <f>IF(全车数据表!BE155="","",全车数据表!BE155)</f>
        <v/>
      </c>
      <c r="AK154" s="88" t="str">
        <f>IF(全车数据表!BF155="","",全车数据表!BF155)</f>
        <v/>
      </c>
      <c r="AL154" s="88" t="str">
        <f>IF(全车数据表!BG155="","",全车数据表!BG155)</f>
        <v/>
      </c>
      <c r="AM154" s="88" t="str">
        <f>IF(全车数据表!BH155="","",全车数据表!BH155)</f>
        <v/>
      </c>
      <c r="AN154" s="88" t="str">
        <f>IF(全车数据表!BI155="","",全车数据表!BI155)</f>
        <v/>
      </c>
      <c r="AO154" s="88" t="str">
        <f>IF(全车数据表!BJ155="","",全车数据表!BJ155)</f>
        <v/>
      </c>
      <c r="AP154" s="88" t="str">
        <f>IF(全车数据表!BK155="","",全车数据表!BK155)</f>
        <v/>
      </c>
      <c r="AQ154" s="88">
        <f>IF(全车数据表!BL155="","",全车数据表!BL155)</f>
        <v>1</v>
      </c>
      <c r="AR154" s="88" t="str">
        <f>IF(全车数据表!BM155="","",全车数据表!BM155)</f>
        <v/>
      </c>
      <c r="AS154" s="88" t="str">
        <f>IF(全车数据表!BN155="","",全车数据表!BN155)</f>
        <v/>
      </c>
      <c r="AT154" s="88" t="str">
        <f>IF(全车数据表!BO155="","",全车数据表!BO155)</f>
        <v/>
      </c>
      <c r="AU154" s="88" t="str">
        <f>IF(全车数据表!BP155="","",全车数据表!BP155)</f>
        <v/>
      </c>
      <c r="AV154" s="88" t="str">
        <f>IF(全车数据表!BQ155="","",全车数据表!BQ155)</f>
        <v/>
      </c>
      <c r="AW154" s="88" t="str">
        <f>IF(全车数据表!BR155="","",全车数据表!BR155)</f>
        <v/>
      </c>
      <c r="AX154" s="88" t="str">
        <f>IF(全车数据表!BS155="","",全车数据表!BS155)</f>
        <v/>
      </c>
      <c r="AY154" s="88" t="str">
        <f>IF(全车数据表!BT155="","",全车数据表!BT155)</f>
        <v/>
      </c>
      <c r="AZ154" s="88" t="str">
        <f>IF(全车数据表!BU155="","",全车数据表!BU155)</f>
        <v/>
      </c>
      <c r="BA154" s="88" t="str">
        <f>IF(全车数据表!BV155="","",全车数据表!BV155)</f>
        <v>阿波罗</v>
      </c>
      <c r="BB154" s="91" t="str">
        <f>IF(全车数据表!AZ155="","",全车数据表!AZ155)</f>
        <v/>
      </c>
    </row>
    <row r="155" spans="1:54">
      <c r="A155" s="88">
        <f>全车数据表!A156</f>
        <v>154</v>
      </c>
      <c r="B155" s="88" t="str">
        <f>全车数据表!B156</f>
        <v>Lotus E-R9🔑</v>
      </c>
      <c r="C155" s="89" t="str">
        <f>全车数据表!E156</f>
        <v>er9</v>
      </c>
      <c r="D155" s="88" t="str">
        <f>IF(全车数据表!D156="","",全车数据表!D156)</f>
        <v>Lotus</v>
      </c>
      <c r="E155" s="89" t="str">
        <f>全车数据表!H156</f>
        <v>4.9</v>
      </c>
      <c r="F155" s="89" t="str">
        <f>全车数据表!C156</f>
        <v>ER9</v>
      </c>
      <c r="G155" s="89" t="str">
        <f>全车数据表!F156</f>
        <v>B</v>
      </c>
      <c r="H155" s="88">
        <f>LEN(全车数据表!G156)</f>
        <v>6</v>
      </c>
      <c r="I155" s="88" t="str">
        <f>VLOOKUP(全车数据表!P156,辅助计算!A:B,2,FALSE)</f>
        <v>epic</v>
      </c>
      <c r="J155" s="88" t="str">
        <f>全车数据表!Q156</f>
        <v>🔑</v>
      </c>
      <c r="K155" s="88">
        <f>全车数据表!R156</f>
        <v>28</v>
      </c>
      <c r="L155" s="88">
        <f>全车数据表!S156</f>
        <v>36</v>
      </c>
      <c r="M155" s="88">
        <f>全车数据表!T156</f>
        <v>48</v>
      </c>
      <c r="N155" s="88">
        <f>全车数据表!U156</f>
        <v>58</v>
      </c>
      <c r="O155" s="88">
        <f>全车数据表!V156</f>
        <v>72</v>
      </c>
      <c r="P155" s="88">
        <f>全车数据表!J156</f>
        <v>4308</v>
      </c>
      <c r="Q155" s="88">
        <f>全车数据表!K156</f>
        <v>367.5</v>
      </c>
      <c r="R155" s="88">
        <f>全车数据表!L156</f>
        <v>87.44</v>
      </c>
      <c r="S155" s="88">
        <f>全车数据表!M156</f>
        <v>72.33</v>
      </c>
      <c r="T155" s="88">
        <f>全车数据表!N156</f>
        <v>49.35</v>
      </c>
      <c r="U155" s="88">
        <f>全车数据表!O156</f>
        <v>0</v>
      </c>
      <c r="V155" s="88">
        <f>全车数据表!AL156</f>
        <v>12000000</v>
      </c>
      <c r="W155" s="88">
        <f>全车数据表!AM156</f>
        <v>67500</v>
      </c>
      <c r="X155" s="88">
        <f>全车数据表!AU156</f>
        <v>9720000</v>
      </c>
      <c r="Y155" s="88">
        <f>全车数据表!AV156</f>
        <v>21720000</v>
      </c>
      <c r="Z155" s="88">
        <f>全车数据表!AN156</f>
        <v>8</v>
      </c>
      <c r="AA155" s="88">
        <f>全车数据表!AP156</f>
        <v>5</v>
      </c>
      <c r="AB155" s="88">
        <f>全车数据表!AR156</f>
        <v>3</v>
      </c>
      <c r="AC155" s="88">
        <f>全车数据表!AW156</f>
        <v>382</v>
      </c>
      <c r="AD155" s="88">
        <f>全车数据表!AX156</f>
        <v>0</v>
      </c>
      <c r="AE155" s="88">
        <f>全车数据表!AY156</f>
        <v>508</v>
      </c>
      <c r="AF155" s="88" t="str">
        <f>IF(全车数据表!BA156="","",全车数据表!BA156)</f>
        <v>特殊赛事</v>
      </c>
      <c r="AG155" s="88" t="str">
        <f>IF(全车数据表!BB156="","",全车数据表!BB156)</f>
        <v/>
      </c>
      <c r="AH155" s="88" t="str">
        <f>IF(全车数据表!BC156="","",全车数据表!BC156)</f>
        <v/>
      </c>
      <c r="AI155" s="88" t="str">
        <f>IF(全车数据表!BD156="","",全车数据表!BD156)</f>
        <v/>
      </c>
      <c r="AJ155" s="88" t="str">
        <f>IF(全车数据表!BE156="","",全车数据表!BE156)</f>
        <v/>
      </c>
      <c r="AK155" s="88" t="str">
        <f>IF(全车数据表!BF156="","",全车数据表!BF156)</f>
        <v/>
      </c>
      <c r="AL155" s="88" t="str">
        <f>IF(全车数据表!BG156="","",全车数据表!BG156)</f>
        <v/>
      </c>
      <c r="AM155" s="88" t="str">
        <f>IF(全车数据表!BH156="","",全车数据表!BH156)</f>
        <v/>
      </c>
      <c r="AN155" s="88" t="str">
        <f>IF(全车数据表!BI156="","",全车数据表!BI156)</f>
        <v/>
      </c>
      <c r="AO155" s="88" t="str">
        <f>IF(全车数据表!BJ156="","",全车数据表!BJ156)</f>
        <v/>
      </c>
      <c r="AP155" s="88" t="str">
        <f>IF(全车数据表!BK156="","",全车数据表!BK156)</f>
        <v/>
      </c>
      <c r="AQ155" s="88">
        <f>IF(全车数据表!BL156="","",全车数据表!BL156)</f>
        <v>1</v>
      </c>
      <c r="AR155" s="88" t="str">
        <f>IF(全车数据表!BM156="","",全车数据表!BM156)</f>
        <v/>
      </c>
      <c r="AS155" s="88" t="str">
        <f>IF(全车数据表!BN156="","",全车数据表!BN156)</f>
        <v/>
      </c>
      <c r="AT155" s="88">
        <f>IF(全车数据表!BO156="","",全车数据表!BO156)</f>
        <v>1</v>
      </c>
      <c r="AU155" s="88" t="str">
        <f>IF(全车数据表!BP156="","",全车数据表!BP156)</f>
        <v/>
      </c>
      <c r="AV155" s="88" t="str">
        <f>IF(全车数据表!BQ156="","",全车数据表!BQ156)</f>
        <v/>
      </c>
      <c r="AW155" s="88" t="str">
        <f>IF(全车数据表!BR156="","",全车数据表!BR156)</f>
        <v/>
      </c>
      <c r="AX155" s="88" t="str">
        <f>IF(全车数据表!BS156="","",全车数据表!BS156)</f>
        <v/>
      </c>
      <c r="AY155" s="88" t="str">
        <f>IF(全车数据表!BT156="","",全车数据表!BT156)</f>
        <v/>
      </c>
      <c r="AZ155" s="88" t="str">
        <f>IF(全车数据表!BU156="","",全车数据表!BU156)</f>
        <v/>
      </c>
      <c r="BA155" s="88" t="str">
        <f>IF(全车数据表!BV156="","",全车数据表!BV156)</f>
        <v>莲花</v>
      </c>
      <c r="BB155" s="91" t="str">
        <f>IF(全车数据表!AZ156="","",全车数据表!AZ156)</f>
        <v/>
      </c>
    </row>
    <row r="156" spans="1:54">
      <c r="A156" s="88">
        <f>全车数据表!A157</f>
        <v>155</v>
      </c>
      <c r="B156" s="88" t="str">
        <f>全车数据表!B157</f>
        <v>Lamborghini Revuelto</v>
      </c>
      <c r="C156" s="89" t="str">
        <f>全车数据表!E157</f>
        <v>revuelto</v>
      </c>
      <c r="D156" s="88" t="str">
        <f>IF(全车数据表!D157="","",全车数据表!D157)</f>
        <v>Lamborghini</v>
      </c>
      <c r="E156" s="89" t="str">
        <f>全车数据表!H157</f>
        <v>4.1</v>
      </c>
      <c r="F156" s="89" t="str">
        <f>全车数据表!C157</f>
        <v>R牛</v>
      </c>
      <c r="G156" s="89" t="str">
        <f>全车数据表!F157</f>
        <v>B</v>
      </c>
      <c r="H156" s="88">
        <f>LEN(全车数据表!G157)</f>
        <v>6</v>
      </c>
      <c r="I156" s="88" t="str">
        <f>VLOOKUP(全车数据表!P157,辅助计算!A:B,2,FALSE)</f>
        <v>epic</v>
      </c>
      <c r="J156" s="88">
        <f>全车数据表!Q157</f>
        <v>40</v>
      </c>
      <c r="K156" s="88">
        <f>全车数据表!R157</f>
        <v>30</v>
      </c>
      <c r="L156" s="88">
        <f>全车数据表!S157</f>
        <v>36</v>
      </c>
      <c r="M156" s="88">
        <f>全车数据表!T157</f>
        <v>38</v>
      </c>
      <c r="N156" s="88">
        <f>全车数据表!U157</f>
        <v>46</v>
      </c>
      <c r="O156" s="88">
        <f>全车数据表!V157</f>
        <v>52</v>
      </c>
      <c r="P156" s="88">
        <f>全车数据表!J157</f>
        <v>4375</v>
      </c>
      <c r="Q156" s="88">
        <f>全车数据表!K157</f>
        <v>361.5</v>
      </c>
      <c r="R156" s="88">
        <f>全车数据表!L157</f>
        <v>86.36</v>
      </c>
      <c r="S156" s="88">
        <f>全车数据表!M157</f>
        <v>76.33</v>
      </c>
      <c r="T156" s="88">
        <f>全车数据表!N157</f>
        <v>54.22</v>
      </c>
      <c r="U156" s="88">
        <f>全车数据表!O157</f>
        <v>0</v>
      </c>
      <c r="V156" s="88">
        <f>全车数据表!AL157</f>
        <v>12000000</v>
      </c>
      <c r="W156" s="88">
        <f>全车数据表!AM157</f>
        <v>67500</v>
      </c>
      <c r="X156" s="88">
        <f>全车数据表!AU157</f>
        <v>9720000</v>
      </c>
      <c r="Y156" s="88">
        <f>全车数据表!AV157</f>
        <v>21720000</v>
      </c>
      <c r="Z156" s="88">
        <f>全车数据表!AN157</f>
        <v>8</v>
      </c>
      <c r="AA156" s="88">
        <f>全车数据表!AP157</f>
        <v>5</v>
      </c>
      <c r="AB156" s="88">
        <f>全车数据表!AR157</f>
        <v>3</v>
      </c>
      <c r="AC156" s="88">
        <f>全车数据表!AW157</f>
        <v>376</v>
      </c>
      <c r="AD156" s="88">
        <f>全车数据表!AX157</f>
        <v>0</v>
      </c>
      <c r="AE156" s="88">
        <f>全车数据表!AY157</f>
        <v>498</v>
      </c>
      <c r="AF156" s="88" t="str">
        <f>IF(全车数据表!BA157="","",全车数据表!BA157)</f>
        <v>狂飙寻宝</v>
      </c>
      <c r="AG156" s="88" t="str">
        <f>IF(全车数据表!BB157="","",全车数据表!BB157)</f>
        <v/>
      </c>
      <c r="AH156" s="88" t="str">
        <f>IF(全车数据表!BC157="","",全车数据表!BC157)</f>
        <v/>
      </c>
      <c r="AI156" s="88" t="str">
        <f>IF(全车数据表!BD157="","",全车数据表!BD157)</f>
        <v/>
      </c>
      <c r="AJ156" s="88" t="str">
        <f>IF(全车数据表!BE157="","",全车数据表!BE157)</f>
        <v/>
      </c>
      <c r="AK156" s="88" t="str">
        <f>IF(全车数据表!BF157="","",全车数据表!BF157)</f>
        <v/>
      </c>
      <c r="AL156" s="88" t="str">
        <f>IF(全车数据表!BG157="","",全车数据表!BG157)</f>
        <v/>
      </c>
      <c r="AM156" s="88" t="str">
        <f>IF(全车数据表!BH157="","",全车数据表!BH157)</f>
        <v/>
      </c>
      <c r="AN156" s="88" t="str">
        <f>IF(全车数据表!BI157="","",全车数据表!BI157)</f>
        <v/>
      </c>
      <c r="AO156" s="88" t="str">
        <f>IF(全车数据表!BJ157="","",全车数据表!BJ157)</f>
        <v/>
      </c>
      <c r="AP156" s="88" t="str">
        <f>IF(全车数据表!BK157="","",全车数据表!BK157)</f>
        <v/>
      </c>
      <c r="AQ156" s="88" t="str">
        <f>IF(全车数据表!BL157="","",全车数据表!BL157)</f>
        <v/>
      </c>
      <c r="AR156" s="88" t="str">
        <f>IF(全车数据表!BM157="","",全车数据表!BM157)</f>
        <v/>
      </c>
      <c r="AS156" s="88" t="str">
        <f>IF(全车数据表!BN157="","",全车数据表!BN157)</f>
        <v/>
      </c>
      <c r="AT156" s="88" t="str">
        <f>IF(全车数据表!BO157="","",全车数据表!BO157)</f>
        <v/>
      </c>
      <c r="AU156" s="88" t="str">
        <f>IF(全车数据表!BP157="","",全车数据表!BP157)</f>
        <v/>
      </c>
      <c r="AV156" s="88" t="str">
        <f>IF(全车数据表!BQ157="","",全车数据表!BQ157)</f>
        <v/>
      </c>
      <c r="AW156" s="88" t="str">
        <f>IF(全车数据表!BR157="","",全车数据表!BR157)</f>
        <v/>
      </c>
      <c r="AX156" s="88" t="str">
        <f>IF(全车数据表!BS157="","",全车数据表!BS157)</f>
        <v/>
      </c>
      <c r="AY156" s="88" t="str">
        <f>IF(全车数据表!BT157="","",全车数据表!BT157)</f>
        <v/>
      </c>
      <c r="AZ156" s="88" t="str">
        <f>IF(全车数据表!BU157="","",全车数据表!BU157)</f>
        <v/>
      </c>
      <c r="BA156" s="88" t="str">
        <f>IF(全车数据表!BV157="","",全车数据表!BV157)</f>
        <v>兰博基尼 大牛 橙牛</v>
      </c>
      <c r="BB156" s="91" t="str">
        <f>IF(全车数据表!AZ157="","",全车数据表!AZ157)</f>
        <v/>
      </c>
    </row>
    <row r="157" spans="1:54">
      <c r="A157" s="88">
        <f>全车数据表!A158</f>
        <v>156</v>
      </c>
      <c r="B157" s="88" t="str">
        <f>全车数据表!B158</f>
        <v>Ferrari LaFerrari</v>
      </c>
      <c r="C157" s="89" t="str">
        <f>全车数据表!E158</f>
        <v>laferrari</v>
      </c>
      <c r="D157" s="88" t="str">
        <f>IF(全车数据表!D158="","",全车数据表!D158)</f>
        <v>Ferrari</v>
      </c>
      <c r="E157" s="89" t="str">
        <f>全车数据表!H158</f>
        <v>1.3</v>
      </c>
      <c r="F157" s="89" t="str">
        <f>全车数据表!C158</f>
        <v>拉法</v>
      </c>
      <c r="G157" s="89" t="str">
        <f>全车数据表!F158</f>
        <v>A</v>
      </c>
      <c r="H157" s="88">
        <f>LEN(全车数据表!G158)</f>
        <v>5</v>
      </c>
      <c r="I157" s="88" t="str">
        <f>VLOOKUP(全车数据表!P158,辅助计算!A:B,2,FALSE)</f>
        <v>rare</v>
      </c>
      <c r="J157" s="88">
        <f>全车数据表!Q158</f>
        <v>35</v>
      </c>
      <c r="K157" s="88">
        <f>全车数据表!R158</f>
        <v>15</v>
      </c>
      <c r="L157" s="88">
        <f>全车数据表!S158</f>
        <v>21</v>
      </c>
      <c r="M157" s="88">
        <f>全车数据表!T158</f>
        <v>24</v>
      </c>
      <c r="N157" s="88">
        <f>全车数据表!U158</f>
        <v>36</v>
      </c>
      <c r="O157" s="88">
        <f>全车数据表!V158</f>
        <v>0</v>
      </c>
      <c r="P157" s="88">
        <f>全车数据表!J158</f>
        <v>3445</v>
      </c>
      <c r="Q157" s="88">
        <f>全车数据表!K158</f>
        <v>364.6</v>
      </c>
      <c r="R157" s="88">
        <f>全车数据表!L158</f>
        <v>80.23</v>
      </c>
      <c r="S157" s="88">
        <f>全车数据表!M158</f>
        <v>43.06</v>
      </c>
      <c r="T157" s="88">
        <f>全车数据表!N158</f>
        <v>71.400000000000006</v>
      </c>
      <c r="U157" s="88">
        <f>全车数据表!O158</f>
        <v>7.45</v>
      </c>
      <c r="V157" s="88">
        <f>全车数据表!AL158</f>
        <v>4648400</v>
      </c>
      <c r="W157" s="88">
        <f>全车数据表!AM158</f>
        <v>22500</v>
      </c>
      <c r="X157" s="88">
        <f>全车数据表!AU158</f>
        <v>3060000</v>
      </c>
      <c r="Y157" s="88">
        <f>全车数据表!AV158</f>
        <v>7708400</v>
      </c>
      <c r="Z157" s="88">
        <f>全车数据表!AN158</f>
        <v>6</v>
      </c>
      <c r="AA157" s="88">
        <f>全车数据表!AP158</f>
        <v>5</v>
      </c>
      <c r="AB157" s="88">
        <f>全车数据表!AR158</f>
        <v>3</v>
      </c>
      <c r="AC157" s="88">
        <f>全车数据表!AW158</f>
        <v>379</v>
      </c>
      <c r="AD157" s="88">
        <f>全车数据表!AX158</f>
        <v>0</v>
      </c>
      <c r="AE157" s="88">
        <f>全车数据表!AY158</f>
        <v>503</v>
      </c>
      <c r="AF157" s="88" t="str">
        <f>IF(全车数据表!BA158="","",全车数据表!BA158)</f>
        <v>级别杯</v>
      </c>
      <c r="AG157" s="88">
        <f>IF(全车数据表!BB158="","",全车数据表!BB158)</f>
        <v>1</v>
      </c>
      <c r="AH157" s="88" t="str">
        <f>IF(全车数据表!BC158="","",全车数据表!BC158)</f>
        <v/>
      </c>
      <c r="AI157" s="88">
        <f>IF(全车数据表!BD158="","",全车数据表!BD158)</f>
        <v>1</v>
      </c>
      <c r="AJ157" s="88">
        <f>IF(全车数据表!BE158="","",全车数据表!BE158)</f>
        <v>1</v>
      </c>
      <c r="AK157" s="88" t="str">
        <f>IF(全车数据表!BF158="","",全车数据表!BF158)</f>
        <v/>
      </c>
      <c r="AL157" s="88" t="str">
        <f>IF(全车数据表!BG158="","",全车数据表!BG158)</f>
        <v/>
      </c>
      <c r="AM157" s="88" t="str">
        <f>IF(全车数据表!BH158="","",全车数据表!BH158)</f>
        <v/>
      </c>
      <c r="AN157" s="88" t="str">
        <f>IF(全车数据表!BI158="","",全车数据表!BI158)</f>
        <v/>
      </c>
      <c r="AO157" s="88" t="str">
        <f>IF(全车数据表!BJ158="","",全车数据表!BJ158)</f>
        <v/>
      </c>
      <c r="AP157" s="88" t="str">
        <f>IF(全车数据表!BK158="","",全车数据表!BK158)</f>
        <v/>
      </c>
      <c r="AQ157" s="88" t="str">
        <f>IF(全车数据表!BL158="","",全车数据表!BL158)</f>
        <v/>
      </c>
      <c r="AR157" s="88" t="str">
        <f>IF(全车数据表!BM158="","",全车数据表!BM158)</f>
        <v/>
      </c>
      <c r="AS157" s="88" t="str">
        <f>IF(全车数据表!BN158="","",全车数据表!BN158)</f>
        <v/>
      </c>
      <c r="AT157" s="88" t="str">
        <f>IF(全车数据表!BO158="","",全车数据表!BO158)</f>
        <v/>
      </c>
      <c r="AU157" s="88" t="str">
        <f>IF(全车数据表!BP158="","",全车数据表!BP158)</f>
        <v/>
      </c>
      <c r="AV157" s="88" t="str">
        <f>IF(全车数据表!BQ158="","",全车数据表!BQ158)</f>
        <v/>
      </c>
      <c r="AW157" s="88" t="str">
        <f>IF(全车数据表!BR158="","",全车数据表!BR158)</f>
        <v/>
      </c>
      <c r="AX157" s="88" t="str">
        <f>IF(全车数据表!BS158="","",全车数据表!BS158)</f>
        <v/>
      </c>
      <c r="AY157" s="88" t="str">
        <f>IF(全车数据表!BT158="","",全车数据表!BT158)</f>
        <v/>
      </c>
      <c r="AZ157" s="88">
        <f>IF(全车数据表!BU158="","",全车数据表!BU158)</f>
        <v>1</v>
      </c>
      <c r="BA157" s="88" t="str">
        <f>IF(全车数据表!BV158="","",全车数据表!BV158)</f>
        <v>法拉利 拉法</v>
      </c>
      <c r="BB157" s="91">
        <f>IF(全车数据表!AZ158="","",全车数据表!AZ158)</f>
        <v>1</v>
      </c>
    </row>
    <row r="158" spans="1:54">
      <c r="A158" s="88">
        <f>全车数据表!A159</f>
        <v>157</v>
      </c>
      <c r="B158" s="88" t="str">
        <f>全车数据表!B159</f>
        <v>LEGO Technic Ferrari FXX K</v>
      </c>
      <c r="C158" s="89" t="str">
        <f>全车数据表!E159</f>
        <v>legofxxk</v>
      </c>
      <c r="D158" s="88" t="str">
        <f>IF(全车数据表!D159="","",全车数据表!D159)</f>
        <v>LEGO Technic</v>
      </c>
      <c r="E158" s="89" t="str">
        <f>全车数据表!H159</f>
        <v>5.3</v>
      </c>
      <c r="F158" s="89" t="str">
        <f>全车数据表!C159</f>
        <v>乐高FXX K</v>
      </c>
      <c r="G158" s="89" t="str">
        <f>全车数据表!F159</f>
        <v>A</v>
      </c>
      <c r="H158" s="88">
        <f>LEN(全车数据表!G159)</f>
        <v>6</v>
      </c>
      <c r="I158" s="88" t="str">
        <f>VLOOKUP(全车数据表!P159,辅助计算!A:B,2,FALSE)</f>
        <v>epic</v>
      </c>
      <c r="J158" s="88">
        <f>全车数据表!Q159</f>
        <v>40</v>
      </c>
      <c r="K158" s="88">
        <f>全车数据表!R159</f>
        <v>30</v>
      </c>
      <c r="L158" s="88">
        <f>全车数据表!S159</f>
        <v>35</v>
      </c>
      <c r="M158" s="88">
        <f>全车数据表!T159</f>
        <v>40</v>
      </c>
      <c r="N158" s="88">
        <f>全车数据表!U159</f>
        <v>50</v>
      </c>
      <c r="O158" s="88">
        <f>全车数据表!V159</f>
        <v>55</v>
      </c>
      <c r="P158" s="88">
        <f>全车数据表!J159</f>
        <v>3522</v>
      </c>
      <c r="Q158" s="88">
        <f>全车数据表!K159</f>
        <v>364.6</v>
      </c>
      <c r="R158" s="88">
        <f>全车数据表!L159</f>
        <v>81.819999999999993</v>
      </c>
      <c r="S158" s="88">
        <f>全车数据表!M159</f>
        <v>45.96</v>
      </c>
      <c r="T158" s="88">
        <f>全车数据表!N159</f>
        <v>64.44</v>
      </c>
      <c r="U158" s="88">
        <f>全车数据表!O159</f>
        <v>0</v>
      </c>
      <c r="V158" s="88">
        <f>全车数据表!AL159</f>
        <v>22000000</v>
      </c>
      <c r="W158" s="88">
        <f>全车数据表!AM159</f>
        <v>27000</v>
      </c>
      <c r="X158" s="88">
        <f>全车数据表!AU159</f>
        <v>4320000</v>
      </c>
      <c r="Y158" s="88">
        <f>全车数据表!AV159</f>
        <v>26320000</v>
      </c>
      <c r="Z158" s="88">
        <f>全车数据表!AN159</f>
        <v>6</v>
      </c>
      <c r="AA158" s="88">
        <f>全车数据表!AP159</f>
        <v>5</v>
      </c>
      <c r="AB158" s="88">
        <f>全车数据表!AR159</f>
        <v>4</v>
      </c>
      <c r="AC158" s="88">
        <f>全车数据表!AW159</f>
        <v>0</v>
      </c>
      <c r="AD158" s="88">
        <f>全车数据表!AX159</f>
        <v>0</v>
      </c>
      <c r="AE158" s="88">
        <f>全车数据表!AY159</f>
        <v>0</v>
      </c>
      <c r="AF158" s="88" t="str">
        <f>IF(全车数据表!BA159="","",全车数据表!BA159)</f>
        <v>惊艳亮相</v>
      </c>
      <c r="AG158" s="88" t="str">
        <f>IF(全车数据表!BB159="","",全车数据表!BB159)</f>
        <v/>
      </c>
      <c r="AH158" s="88" t="str">
        <f>IF(全车数据表!BC159="","",全车数据表!BC159)</f>
        <v/>
      </c>
      <c r="AI158" s="88" t="str">
        <f>IF(全车数据表!BD159="","",全车数据表!BD159)</f>
        <v/>
      </c>
      <c r="AJ158" s="88" t="str">
        <f>IF(全车数据表!BE159="","",全车数据表!BE159)</f>
        <v/>
      </c>
      <c r="AK158" s="88" t="str">
        <f>IF(全车数据表!BF159="","",全车数据表!BF159)</f>
        <v/>
      </c>
      <c r="AL158" s="88" t="str">
        <f>IF(全车数据表!BG159="","",全车数据表!BG159)</f>
        <v/>
      </c>
      <c r="AM158" s="88" t="str">
        <f>IF(全车数据表!BH159="","",全车数据表!BH159)</f>
        <v/>
      </c>
      <c r="AN158" s="88" t="str">
        <f>IF(全车数据表!BI159="","",全车数据表!BI159)</f>
        <v/>
      </c>
      <c r="AO158" s="88" t="str">
        <f>IF(全车数据表!BJ159="","",全车数据表!BJ159)</f>
        <v/>
      </c>
      <c r="AP158" s="88" t="str">
        <f>IF(全车数据表!BK159="","",全车数据表!BK159)</f>
        <v/>
      </c>
      <c r="AQ158" s="88" t="str">
        <f>IF(全车数据表!BL159="","",全车数据表!BL159)</f>
        <v/>
      </c>
      <c r="AR158" s="88" t="str">
        <f>IF(全车数据表!BM159="","",全车数据表!BM159)</f>
        <v/>
      </c>
      <c r="AS158" s="88" t="str">
        <f>IF(全车数据表!BN159="","",全车数据表!BN159)</f>
        <v/>
      </c>
      <c r="AT158" s="88" t="str">
        <f>IF(全车数据表!BO159="","",全车数据表!BO159)</f>
        <v/>
      </c>
      <c r="AU158" s="88" t="str">
        <f>IF(全车数据表!BP159="","",全车数据表!BP159)</f>
        <v/>
      </c>
      <c r="AV158" s="88" t="str">
        <f>IF(全车数据表!BQ159="","",全车数据表!BQ159)</f>
        <v/>
      </c>
      <c r="AW158" s="88" t="str">
        <f>IF(全车数据表!BR159="","",全车数据表!BR159)</f>
        <v/>
      </c>
      <c r="AX158" s="88" t="str">
        <f>IF(全车数据表!BS159="","",全车数据表!BS159)</f>
        <v/>
      </c>
      <c r="AY158" s="88" t="str">
        <f>IF(全车数据表!BT159="","",全车数据表!BT159)</f>
        <v/>
      </c>
      <c r="AZ158" s="88" t="str">
        <f>IF(全车数据表!BU159="","",全车数据表!BU159)</f>
        <v/>
      </c>
      <c r="BA158" s="88" t="str">
        <f>IF(全车数据表!BV159="","",全车数据表!BV159)</f>
        <v>法拉利 马王</v>
      </c>
      <c r="BB158" s="91" t="str">
        <f>IF(全车数据表!AZ159="","",全车数据表!AZ159)</f>
        <v/>
      </c>
    </row>
    <row r="159" spans="1:54">
      <c r="A159" s="88">
        <f>全车数据表!A160</f>
        <v>158</v>
      </c>
      <c r="B159" s="88" t="str">
        <f>全车数据表!B160</f>
        <v>Glickenhaus 003S</v>
      </c>
      <c r="C159" s="89" t="str">
        <f>全车数据表!E160</f>
        <v>003</v>
      </c>
      <c r="D159" s="88" t="str">
        <f>IF(全车数据表!D160="","",全车数据表!D160)</f>
        <v>Glickenhaus</v>
      </c>
      <c r="E159" s="89" t="str">
        <f>全车数据表!H160</f>
        <v>1.3</v>
      </c>
      <c r="F159" s="89" t="str">
        <f>全车数据表!C160</f>
        <v>003</v>
      </c>
      <c r="G159" s="89" t="str">
        <f>全车数据表!F160</f>
        <v>A</v>
      </c>
      <c r="H159" s="88">
        <f>LEN(全车数据表!G160)</f>
        <v>4</v>
      </c>
      <c r="I159" s="88" t="str">
        <f>VLOOKUP(全车数据表!P160,辅助计算!A:B,2,FALSE)</f>
        <v>rare</v>
      </c>
      <c r="J159" s="88">
        <f>全车数据表!Q160</f>
        <v>35</v>
      </c>
      <c r="K159" s="88">
        <f>全车数据表!R160</f>
        <v>21</v>
      </c>
      <c r="L159" s="88">
        <f>全车数据表!S160</f>
        <v>28</v>
      </c>
      <c r="M159" s="88">
        <f>全车数据表!T160</f>
        <v>42</v>
      </c>
      <c r="N159" s="88">
        <f>全车数据表!U160</f>
        <v>0</v>
      </c>
      <c r="O159" s="88">
        <f>全车数据表!V160</f>
        <v>0</v>
      </c>
      <c r="P159" s="88">
        <f>全车数据表!J160</f>
        <v>3534</v>
      </c>
      <c r="Q159" s="88">
        <f>全车数据表!K160</f>
        <v>369</v>
      </c>
      <c r="R159" s="88">
        <f>全车数据表!L160</f>
        <v>79.44</v>
      </c>
      <c r="S159" s="88">
        <f>全车数据表!M160</f>
        <v>38.58</v>
      </c>
      <c r="T159" s="88">
        <f>全车数据表!N160</f>
        <v>63.11</v>
      </c>
      <c r="U159" s="88">
        <f>全车数据表!O160</f>
        <v>6.1660000000000004</v>
      </c>
      <c r="V159" s="88">
        <f>全车数据表!AL160</f>
        <v>4342000</v>
      </c>
      <c r="W159" s="88">
        <f>全车数据表!AM160</f>
        <v>22500</v>
      </c>
      <c r="X159" s="88">
        <f>全车数据表!AU160</f>
        <v>2430000</v>
      </c>
      <c r="Y159" s="88">
        <f>全车数据表!AV160</f>
        <v>6772000</v>
      </c>
      <c r="Z159" s="88">
        <f>全车数据表!AN160</f>
        <v>5</v>
      </c>
      <c r="AA159" s="88">
        <f>全车数据表!AP160</f>
        <v>5</v>
      </c>
      <c r="AB159" s="88">
        <f>全车数据表!AR160</f>
        <v>2</v>
      </c>
      <c r="AC159" s="88">
        <f>全车数据表!AW160</f>
        <v>384</v>
      </c>
      <c r="AD159" s="88">
        <f>全车数据表!AX160</f>
        <v>0</v>
      </c>
      <c r="AE159" s="88">
        <f>全车数据表!AY160</f>
        <v>511</v>
      </c>
      <c r="AF159" s="88" t="str">
        <f>IF(全车数据表!BA160="","",全车数据表!BA160)</f>
        <v>级别杯</v>
      </c>
      <c r="AG159" s="88" t="str">
        <f>IF(全车数据表!BB160="","",全车数据表!BB160)</f>
        <v/>
      </c>
      <c r="AH159" s="88" t="str">
        <f>IF(全车数据表!BC160="","",全车数据表!BC160)</f>
        <v/>
      </c>
      <c r="AI159" s="88">
        <f>IF(全车数据表!BD160="","",全车数据表!BD160)</f>
        <v>1</v>
      </c>
      <c r="AJ159" s="88">
        <f>IF(全车数据表!BE160="","",全车数据表!BE160)</f>
        <v>1</v>
      </c>
      <c r="AK159" s="88" t="str">
        <f>IF(全车数据表!BF160="","",全车数据表!BF160)</f>
        <v/>
      </c>
      <c r="AL159" s="88">
        <f>IF(全车数据表!BG160="","",全车数据表!BG160)</f>
        <v>1</v>
      </c>
      <c r="AM159" s="88" t="str">
        <f>IF(全车数据表!BH160="","",全车数据表!BH160)</f>
        <v/>
      </c>
      <c r="AN159" s="88" t="str">
        <f>IF(全车数据表!BI160="","",全车数据表!BI160)</f>
        <v/>
      </c>
      <c r="AO159" s="88" t="str">
        <f>IF(全车数据表!BJ160="","",全车数据表!BJ160)</f>
        <v/>
      </c>
      <c r="AP159" s="88" t="str">
        <f>IF(全车数据表!BK160="","",全车数据表!BK160)</f>
        <v/>
      </c>
      <c r="AQ159" s="88" t="str">
        <f>IF(全车数据表!BL160="","",全车数据表!BL160)</f>
        <v/>
      </c>
      <c r="AR159" s="88" t="str">
        <f>IF(全车数据表!BM160="","",全车数据表!BM160)</f>
        <v/>
      </c>
      <c r="AS159" s="88" t="str">
        <f>IF(全车数据表!BN160="","",全车数据表!BN160)</f>
        <v/>
      </c>
      <c r="AT159" s="88" t="str">
        <f>IF(全车数据表!BO160="","",全车数据表!BO160)</f>
        <v/>
      </c>
      <c r="AU159" s="88" t="str">
        <f>IF(全车数据表!BP160="","",全车数据表!BP160)</f>
        <v/>
      </c>
      <c r="AV159" s="88" t="str">
        <f>IF(全车数据表!BQ160="","",全车数据表!BQ160)</f>
        <v/>
      </c>
      <c r="AW159" s="88" t="str">
        <f>IF(全车数据表!BR160="","",全车数据表!BR160)</f>
        <v/>
      </c>
      <c r="AX159" s="88" t="str">
        <f>IF(全车数据表!BS160="","",全车数据表!BS160)</f>
        <v/>
      </c>
      <c r="AY159" s="88" t="str">
        <f>IF(全车数据表!BT160="","",全车数据表!BT160)</f>
        <v/>
      </c>
      <c r="AZ159" s="88">
        <f>IF(全车数据表!BU160="","",全车数据表!BU160)</f>
        <v>1</v>
      </c>
      <c r="BA159" s="88" t="str">
        <f>IF(全车数据表!BV160="","",全车数据表!BV160)</f>
        <v/>
      </c>
      <c r="BB159" s="91">
        <f>IF(全车数据表!AZ160="","",全车数据表!AZ160)</f>
        <v>1</v>
      </c>
    </row>
    <row r="160" spans="1:54">
      <c r="A160" s="88">
        <f>全车数据表!A161</f>
        <v>159</v>
      </c>
      <c r="B160" s="88" t="str">
        <f>全车数据表!B161</f>
        <v>Apollo N</v>
      </c>
      <c r="C160" s="89" t="str">
        <f>全车数据表!E161</f>
        <v>n</v>
      </c>
      <c r="D160" s="88" t="str">
        <f>IF(全车数据表!D161="","",全车数据表!D161)</f>
        <v>Apollo</v>
      </c>
      <c r="E160" s="89" t="str">
        <f>全车数据表!H161</f>
        <v>1.3</v>
      </c>
      <c r="F160" s="89" t="str">
        <f>全车数据表!C161</f>
        <v>菠萝</v>
      </c>
      <c r="G160" s="89" t="str">
        <f>全车数据表!F161</f>
        <v>A</v>
      </c>
      <c r="H160" s="88">
        <f>LEN(全车数据表!G161)</f>
        <v>5</v>
      </c>
      <c r="I160" s="88" t="str">
        <f>VLOOKUP(全车数据表!P161,辅助计算!A:B,2,FALSE)</f>
        <v>rare</v>
      </c>
      <c r="J160" s="88">
        <f>全车数据表!Q161</f>
        <v>35</v>
      </c>
      <c r="K160" s="88">
        <f>全车数据表!R161</f>
        <v>15</v>
      </c>
      <c r="L160" s="88">
        <f>全车数据表!S161</f>
        <v>21</v>
      </c>
      <c r="M160" s="88">
        <f>全车数据表!T161</f>
        <v>24</v>
      </c>
      <c r="N160" s="88">
        <f>全车数据表!U161</f>
        <v>36</v>
      </c>
      <c r="O160" s="88">
        <f>全车数据表!V161</f>
        <v>0</v>
      </c>
      <c r="P160" s="88">
        <f>全车数据表!J161</f>
        <v>3548</v>
      </c>
      <c r="Q160" s="88">
        <f>全车数据表!K161</f>
        <v>369.6</v>
      </c>
      <c r="R160" s="88">
        <f>全车数据表!L161</f>
        <v>80.319999999999993</v>
      </c>
      <c r="S160" s="88">
        <f>全车数据表!M161</f>
        <v>58.13</v>
      </c>
      <c r="T160" s="88">
        <f>全车数据表!N161</f>
        <v>60.57</v>
      </c>
      <c r="U160" s="88">
        <f>全车数据表!O161</f>
        <v>5.8159999999999998</v>
      </c>
      <c r="V160" s="88">
        <f>全车数据表!AL161</f>
        <v>4648400</v>
      </c>
      <c r="W160" s="88">
        <f>全车数据表!AM161</f>
        <v>22500</v>
      </c>
      <c r="X160" s="88">
        <f>全车数据表!AU161</f>
        <v>3060000</v>
      </c>
      <c r="Y160" s="88">
        <f>全车数据表!AV161</f>
        <v>7708400</v>
      </c>
      <c r="Z160" s="88">
        <f>全车数据表!AN161</f>
        <v>6</v>
      </c>
      <c r="AA160" s="88">
        <f>全车数据表!AP161</f>
        <v>5</v>
      </c>
      <c r="AB160" s="88">
        <f>全车数据表!AR161</f>
        <v>3</v>
      </c>
      <c r="AC160" s="88">
        <f>全车数据表!AW161</f>
        <v>384</v>
      </c>
      <c r="AD160" s="88">
        <f>全车数据表!AX161</f>
        <v>0</v>
      </c>
      <c r="AE160" s="88">
        <f>全车数据表!AY161</f>
        <v>512</v>
      </c>
      <c r="AF160" s="88" t="str">
        <f>IF(全车数据表!BA161="","",全车数据表!BA161)</f>
        <v>级别杯</v>
      </c>
      <c r="AG160" s="88" t="str">
        <f>IF(全车数据表!BB161="","",全车数据表!BB161)</f>
        <v/>
      </c>
      <c r="AH160" s="88" t="str">
        <f>IF(全车数据表!BC161="","",全车数据表!BC161)</f>
        <v/>
      </c>
      <c r="AI160" s="88">
        <f>IF(全车数据表!BD161="","",全车数据表!BD161)</f>
        <v>1</v>
      </c>
      <c r="AJ160" s="88" t="str">
        <f>IF(全车数据表!BE161="","",全车数据表!BE161)</f>
        <v/>
      </c>
      <c r="AK160" s="88" t="str">
        <f>IF(全车数据表!BF161="","",全车数据表!BF161)</f>
        <v/>
      </c>
      <c r="AL160" s="88">
        <f>IF(全车数据表!BG161="","",全车数据表!BG161)</f>
        <v>1</v>
      </c>
      <c r="AM160" s="88" t="str">
        <f>IF(全车数据表!BH161="","",全车数据表!BH161)</f>
        <v/>
      </c>
      <c r="AN160" s="88" t="str">
        <f>IF(全车数据表!BI161="","",全车数据表!BI161)</f>
        <v/>
      </c>
      <c r="AO160" s="88" t="str">
        <f>IF(全车数据表!BJ161="","",全车数据表!BJ161)</f>
        <v/>
      </c>
      <c r="AP160" s="88" t="str">
        <f>IF(全车数据表!BK161="","",全车数据表!BK161)</f>
        <v/>
      </c>
      <c r="AQ160" s="88" t="str">
        <f>IF(全车数据表!BL161="","",全车数据表!BL161)</f>
        <v/>
      </c>
      <c r="AR160" s="88" t="str">
        <f>IF(全车数据表!BM161="","",全车数据表!BM161)</f>
        <v/>
      </c>
      <c r="AS160" s="88" t="str">
        <f>IF(全车数据表!BN161="","",全车数据表!BN161)</f>
        <v/>
      </c>
      <c r="AT160" s="88" t="str">
        <f>IF(全车数据表!BO161="","",全车数据表!BO161)</f>
        <v/>
      </c>
      <c r="AU160" s="88" t="str">
        <f>IF(全车数据表!BP161="","",全车数据表!BP161)</f>
        <v/>
      </c>
      <c r="AV160" s="88" t="str">
        <f>IF(全车数据表!BQ161="","",全车数据表!BQ161)</f>
        <v/>
      </c>
      <c r="AW160" s="88" t="str">
        <f>IF(全车数据表!BR161="","",全车数据表!BR161)</f>
        <v/>
      </c>
      <c r="AX160" s="88" t="str">
        <f>IF(全车数据表!BS161="","",全车数据表!BS161)</f>
        <v/>
      </c>
      <c r="AY160" s="88" t="str">
        <f>IF(全车数据表!BT161="","",全车数据表!BT161)</f>
        <v/>
      </c>
      <c r="AZ160" s="88">
        <f>IF(全车数据表!BU161="","",全车数据表!BU161)</f>
        <v>1</v>
      </c>
      <c r="BA160" s="88" t="str">
        <f>IF(全车数据表!BV161="","",全车数据表!BV161)</f>
        <v>阿波罗 菠萝</v>
      </c>
      <c r="BB160" s="91">
        <f>IF(全车数据表!AZ161="","",全车数据表!AZ161)</f>
        <v>12</v>
      </c>
    </row>
    <row r="161" spans="1:54">
      <c r="A161" s="88">
        <f>全车数据表!A162</f>
        <v>160</v>
      </c>
      <c r="B161" s="88" t="str">
        <f>全车数据表!B162</f>
        <v>McLaren P1™</v>
      </c>
      <c r="C161" s="89" t="str">
        <f>全车数据表!E162</f>
        <v>p1</v>
      </c>
      <c r="D161" s="88" t="str">
        <f>IF(全车数据表!D162="","",全车数据表!D162)</f>
        <v>McLaren</v>
      </c>
      <c r="E161" s="89" t="str">
        <f>全车数据表!H162</f>
        <v>1.3</v>
      </c>
      <c r="F161" s="89" t="str">
        <f>全车数据表!C162</f>
        <v>P1</v>
      </c>
      <c r="G161" s="89" t="str">
        <f>全车数据表!F162</f>
        <v>A</v>
      </c>
      <c r="H161" s="88">
        <f>LEN(全车数据表!G162)</f>
        <v>5</v>
      </c>
      <c r="I161" s="88" t="str">
        <f>VLOOKUP(全车数据表!P162,辅助计算!A:B,2,FALSE)</f>
        <v>rare</v>
      </c>
      <c r="J161" s="88">
        <f>全车数据表!Q162</f>
        <v>35</v>
      </c>
      <c r="K161" s="88">
        <f>全车数据表!R162</f>
        <v>15</v>
      </c>
      <c r="L161" s="88">
        <f>全车数据表!S162</f>
        <v>21</v>
      </c>
      <c r="M161" s="88">
        <f>全车数据表!T162</f>
        <v>24</v>
      </c>
      <c r="N161" s="88">
        <f>全车数据表!U162</f>
        <v>36</v>
      </c>
      <c r="O161" s="88">
        <f>全车数据表!V162</f>
        <v>0</v>
      </c>
      <c r="P161" s="88">
        <f>全车数据表!J162</f>
        <v>3602</v>
      </c>
      <c r="Q161" s="88">
        <f>全车数据表!K162</f>
        <v>364.6</v>
      </c>
      <c r="R161" s="88">
        <f>全车数据表!L162</f>
        <v>83.64</v>
      </c>
      <c r="S161" s="88">
        <f>全车数据表!M162</f>
        <v>47.54</v>
      </c>
      <c r="T161" s="88">
        <f>全车数据表!N162</f>
        <v>62.89</v>
      </c>
      <c r="U161" s="88">
        <f>全车数据表!O162</f>
        <v>6.02</v>
      </c>
      <c r="V161" s="88">
        <f>全车数据表!AL162</f>
        <v>5950600</v>
      </c>
      <c r="W161" s="88">
        <f>全车数据表!AM162</f>
        <v>25000</v>
      </c>
      <c r="X161" s="88">
        <f>全车数据表!AU162</f>
        <v>3400000</v>
      </c>
      <c r="Y161" s="88">
        <f>全车数据表!AV162</f>
        <v>9350600</v>
      </c>
      <c r="Z161" s="88">
        <f>全车数据表!AN162</f>
        <v>6</v>
      </c>
      <c r="AA161" s="88">
        <f>全车数据表!AP162</f>
        <v>5</v>
      </c>
      <c r="AB161" s="88">
        <f>全车数据表!AR162</f>
        <v>3</v>
      </c>
      <c r="AC161" s="88">
        <f>全车数据表!AW162</f>
        <v>379</v>
      </c>
      <c r="AD161" s="88">
        <f>全车数据表!AX162</f>
        <v>0</v>
      </c>
      <c r="AE161" s="88">
        <f>全车数据表!AY162</f>
        <v>503</v>
      </c>
      <c r="AF161" s="88" t="str">
        <f>IF(全车数据表!BA162="","",全车数据表!BA162)</f>
        <v>寻车</v>
      </c>
      <c r="AG161" s="88" t="str">
        <f>IF(全车数据表!BB162="","",全车数据表!BB162)</f>
        <v/>
      </c>
      <c r="AH161" s="88" t="str">
        <f>IF(全车数据表!BC162="","",全车数据表!BC162)</f>
        <v/>
      </c>
      <c r="AI161" s="88" t="str">
        <f>IF(全车数据表!BD162="","",全车数据表!BD162)</f>
        <v/>
      </c>
      <c r="AJ161" s="88" t="str">
        <f>IF(全车数据表!BE162="","",全车数据表!BE162)</f>
        <v/>
      </c>
      <c r="AK161" s="88" t="str">
        <f>IF(全车数据表!BF162="","",全车数据表!BF162)</f>
        <v/>
      </c>
      <c r="AL161" s="88">
        <f>IF(全车数据表!BG162="","",全车数据表!BG162)</f>
        <v>1</v>
      </c>
      <c r="AM161" s="88" t="str">
        <f>IF(全车数据表!BH162="","",全车数据表!BH162)</f>
        <v/>
      </c>
      <c r="AN161" s="88" t="str">
        <f>IF(全车数据表!BI162="","",全车数据表!BI162)</f>
        <v/>
      </c>
      <c r="AO161" s="88" t="str">
        <f>IF(全车数据表!BJ162="","",全车数据表!BJ162)</f>
        <v/>
      </c>
      <c r="AP161" s="88" t="str">
        <f>IF(全车数据表!BK162="","",全车数据表!BK162)</f>
        <v/>
      </c>
      <c r="AQ161" s="88" t="str">
        <f>IF(全车数据表!BL162="","",全车数据表!BL162)</f>
        <v/>
      </c>
      <c r="AR161" s="88" t="str">
        <f>IF(全车数据表!BM162="","",全车数据表!BM162)</f>
        <v/>
      </c>
      <c r="AS161" s="88" t="str">
        <f>IF(全车数据表!BN162="","",全车数据表!BN162)</f>
        <v/>
      </c>
      <c r="AT161" s="88" t="str">
        <f>IF(全车数据表!BO162="","",全车数据表!BO162)</f>
        <v/>
      </c>
      <c r="AU161" s="88" t="str">
        <f>IF(全车数据表!BP162="","",全车数据表!BP162)</f>
        <v/>
      </c>
      <c r="AV161" s="88" t="str">
        <f>IF(全车数据表!BQ162="","",全车数据表!BQ162)</f>
        <v>1款</v>
      </c>
      <c r="AW161" s="88" t="str">
        <f>IF(全车数据表!BR162="","",全车数据表!BR162)</f>
        <v/>
      </c>
      <c r="AX161" s="88" t="str">
        <f>IF(全车数据表!BS162="","",全车数据表!BS162)</f>
        <v/>
      </c>
      <c r="AY161" s="88" t="str">
        <f>IF(全车数据表!BT162="","",全车数据表!BT162)</f>
        <v/>
      </c>
      <c r="AZ161" s="88">
        <f>IF(全车数据表!BU162="","",全车数据表!BU162)</f>
        <v>1</v>
      </c>
      <c r="BA161" s="88" t="str">
        <f>IF(全车数据表!BV162="","",全车数据表!BV162)</f>
        <v>迈凯伦</v>
      </c>
      <c r="BB161" s="91">
        <f>IF(全车数据表!AZ162="","",全车数据表!AZ162)</f>
        <v>1</v>
      </c>
    </row>
    <row r="162" spans="1:54">
      <c r="A162" s="88">
        <f>全车数据表!A163</f>
        <v>161</v>
      </c>
      <c r="B162" s="88" t="str">
        <f>全车数据表!B163</f>
        <v>Pagani Zonda HP Barchetta🔑</v>
      </c>
      <c r="C162" s="89" t="str">
        <f>全车数据表!E163</f>
        <v>barchetta</v>
      </c>
      <c r="D162" s="88" t="str">
        <f>IF(全车数据表!D163="","",全车数据表!D163)</f>
        <v>Pagani</v>
      </c>
      <c r="E162" s="89" t="str">
        <f>全车数据表!H163</f>
        <v>3.2</v>
      </c>
      <c r="F162" s="89" t="str">
        <f>全车数据表!C163</f>
        <v>Barchetta</v>
      </c>
      <c r="G162" s="89" t="str">
        <f>全车数据表!F163</f>
        <v>A</v>
      </c>
      <c r="H162" s="88">
        <f>LEN(全车数据表!G163)</f>
        <v>5</v>
      </c>
      <c r="I162" s="88" t="str">
        <f>VLOOKUP(全车数据表!P163,辅助计算!A:B,2,FALSE)</f>
        <v>epic</v>
      </c>
      <c r="J162" s="88" t="str">
        <f>全车数据表!Q163</f>
        <v>🔑</v>
      </c>
      <c r="K162" s="88">
        <f>全车数据表!R163</f>
        <v>30</v>
      </c>
      <c r="L162" s="88">
        <f>全车数据表!S163</f>
        <v>38</v>
      </c>
      <c r="M162" s="88">
        <f>全车数据表!T163</f>
        <v>55</v>
      </c>
      <c r="N162" s="88">
        <f>全车数据表!U163</f>
        <v>77</v>
      </c>
      <c r="O162" s="88">
        <f>全车数据表!V163</f>
        <v>0</v>
      </c>
      <c r="P162" s="88">
        <f>全车数据表!J163</f>
        <v>3678</v>
      </c>
      <c r="Q162" s="88">
        <f>全车数据表!K163</f>
        <v>350.1</v>
      </c>
      <c r="R162" s="88">
        <f>全车数据表!L163</f>
        <v>79.44</v>
      </c>
      <c r="S162" s="88">
        <f>全车数据表!M163</f>
        <v>73.510000000000005</v>
      </c>
      <c r="T162" s="88">
        <f>全车数据表!N163</f>
        <v>73.66</v>
      </c>
      <c r="U162" s="88">
        <f>全车数据表!O163</f>
        <v>0</v>
      </c>
      <c r="V162" s="88">
        <f>全车数据表!AL163</f>
        <v>5950600</v>
      </c>
      <c r="W162" s="88">
        <f>全车数据表!AM163</f>
        <v>25000</v>
      </c>
      <c r="X162" s="88">
        <f>全车数据表!AU163</f>
        <v>3400000</v>
      </c>
      <c r="Y162" s="88">
        <f>全车数据表!AV163</f>
        <v>9350600</v>
      </c>
      <c r="Z162" s="88">
        <f>全车数据表!AN163</f>
        <v>6</v>
      </c>
      <c r="AA162" s="88">
        <f>全车数据表!AP163</f>
        <v>5</v>
      </c>
      <c r="AB162" s="88">
        <f>全车数据表!AR163</f>
        <v>3</v>
      </c>
      <c r="AC162" s="88">
        <f>全车数据表!AW163</f>
        <v>364</v>
      </c>
      <c r="AD162" s="88">
        <f>全车数据表!AX163</f>
        <v>0</v>
      </c>
      <c r="AE162" s="88">
        <f>全车数据表!AY163</f>
        <v>478</v>
      </c>
      <c r="AF162" s="88" t="str">
        <f>IF(全车数据表!BA163="","",全车数据表!BA163)</f>
        <v>大奖赛</v>
      </c>
      <c r="AG162" s="88" t="str">
        <f>IF(全车数据表!BB163="","",全车数据表!BB163)</f>
        <v/>
      </c>
      <c r="AH162" s="88" t="str">
        <f>IF(全车数据表!BC163="","",全车数据表!BC163)</f>
        <v/>
      </c>
      <c r="AI162" s="88" t="str">
        <f>IF(全车数据表!BD163="","",全车数据表!BD163)</f>
        <v/>
      </c>
      <c r="AJ162" s="88" t="str">
        <f>IF(全车数据表!BE163="","",全车数据表!BE163)</f>
        <v/>
      </c>
      <c r="AK162" s="88" t="str">
        <f>IF(全车数据表!BF163="","",全车数据表!BF163)</f>
        <v/>
      </c>
      <c r="AL162" s="88" t="str">
        <f>IF(全车数据表!BG163="","",全车数据表!BG163)</f>
        <v/>
      </c>
      <c r="AM162" s="88" t="str">
        <f>IF(全车数据表!BH163="","",全车数据表!BH163)</f>
        <v/>
      </c>
      <c r="AN162" s="88" t="str">
        <f>IF(全车数据表!BI163="","",全车数据表!BI163)</f>
        <v/>
      </c>
      <c r="AO162" s="88" t="str">
        <f>IF(全车数据表!BJ163="","",全车数据表!BJ163)</f>
        <v/>
      </c>
      <c r="AP162" s="88" t="str">
        <f>IF(全车数据表!BK163="","",全车数据表!BK163)</f>
        <v/>
      </c>
      <c r="AQ162" s="88" t="str">
        <f>IF(全车数据表!BL163="","",全车数据表!BL163)</f>
        <v/>
      </c>
      <c r="AR162" s="88">
        <f>IF(全车数据表!BM163="","",全车数据表!BM163)</f>
        <v>1</v>
      </c>
      <c r="AS162" s="88" t="str">
        <f>IF(全车数据表!BN163="","",全车数据表!BN163)</f>
        <v/>
      </c>
      <c r="AT162" s="88">
        <f>IF(全车数据表!BO163="","",全车数据表!BO163)</f>
        <v>1</v>
      </c>
      <c r="AU162" s="88">
        <f>IF(全车数据表!BP163="","",全车数据表!BP163)</f>
        <v>1</v>
      </c>
      <c r="AV162" s="88" t="str">
        <f>IF(全车数据表!BQ163="","",全车数据表!BQ163)</f>
        <v/>
      </c>
      <c r="AW162" s="88" t="str">
        <f>IF(全车数据表!BR163="","",全车数据表!BR163)</f>
        <v/>
      </c>
      <c r="AX162" s="88" t="str">
        <f>IF(全车数据表!BS163="","",全车数据表!BS163)</f>
        <v>无顶</v>
      </c>
      <c r="AY162" s="88" t="str">
        <f>IF(全车数据表!BT163="","",全车数据表!BT163)</f>
        <v/>
      </c>
      <c r="AZ162" s="88" t="str">
        <f>IF(全车数据表!BU163="","",全车数据表!BU163)</f>
        <v/>
      </c>
      <c r="BA162" s="88" t="str">
        <f>IF(全车数据表!BV163="","",全车数据表!BV163)</f>
        <v>帕加尼 惠普</v>
      </c>
      <c r="BB162" s="91" t="str">
        <f>IF(全车数据表!AZ163="","",全车数据表!AZ163)</f>
        <v/>
      </c>
    </row>
    <row r="163" spans="1:54">
      <c r="A163" s="88">
        <f>全车数据表!A164</f>
        <v>162</v>
      </c>
      <c r="B163" s="88" t="str">
        <f>全车数据表!B164</f>
        <v>Lamborghini Centenario</v>
      </c>
      <c r="C163" s="89" t="str">
        <f>全车数据表!E164</f>
        <v>centenario</v>
      </c>
      <c r="D163" s="88" t="str">
        <f>IF(全车数据表!D164="","",全车数据表!D164)</f>
        <v>Lamborghini</v>
      </c>
      <c r="E163" s="89" t="str">
        <f>全车数据表!H164</f>
        <v>1.3</v>
      </c>
      <c r="F163" s="89" t="str">
        <f>全车数据表!C164</f>
        <v>百年牛</v>
      </c>
      <c r="G163" s="89" t="str">
        <f>全车数据表!F164</f>
        <v>A</v>
      </c>
      <c r="H163" s="88">
        <f>LEN(全车数据表!G164)</f>
        <v>5</v>
      </c>
      <c r="I163" s="88" t="str">
        <f>VLOOKUP(全车数据表!P164,辅助计算!A:B,2,FALSE)</f>
        <v>rare</v>
      </c>
      <c r="J163" s="88">
        <f>全车数据表!Q164</f>
        <v>35</v>
      </c>
      <c r="K163" s="88">
        <f>全车数据表!R164</f>
        <v>15</v>
      </c>
      <c r="L163" s="88">
        <f>全车数据表!S164</f>
        <v>21</v>
      </c>
      <c r="M163" s="88">
        <f>全车数据表!T164</f>
        <v>24</v>
      </c>
      <c r="N163" s="88">
        <f>全车数据表!U164</f>
        <v>36</v>
      </c>
      <c r="O163" s="88">
        <f>全车数据表!V164</f>
        <v>0</v>
      </c>
      <c r="P163" s="88">
        <f>全车数据表!J164</f>
        <v>3696</v>
      </c>
      <c r="Q163" s="88">
        <f>全车数据表!K164</f>
        <v>363.7</v>
      </c>
      <c r="R163" s="88">
        <f>全车数据表!L164</f>
        <v>80.48</v>
      </c>
      <c r="S163" s="88">
        <f>全车数据表!M164</f>
        <v>47.46</v>
      </c>
      <c r="T163" s="88">
        <f>全车数据表!N164</f>
        <v>70.31</v>
      </c>
      <c r="U163" s="88">
        <f>全车数据表!O164</f>
        <v>7.25</v>
      </c>
      <c r="V163" s="88">
        <f>全车数据表!AL164</f>
        <v>5950600</v>
      </c>
      <c r="W163" s="88">
        <f>全车数据表!AM164</f>
        <v>25000</v>
      </c>
      <c r="X163" s="88">
        <f>全车数据表!AU164</f>
        <v>3400000</v>
      </c>
      <c r="Y163" s="88">
        <f>全车数据表!AV164</f>
        <v>9350600</v>
      </c>
      <c r="Z163" s="88">
        <f>全车数据表!AN164</f>
        <v>6</v>
      </c>
      <c r="AA163" s="88">
        <f>全车数据表!AP164</f>
        <v>5</v>
      </c>
      <c r="AB163" s="88">
        <f>全车数据表!AR164</f>
        <v>3</v>
      </c>
      <c r="AC163" s="88">
        <f>全车数据表!AW164</f>
        <v>378</v>
      </c>
      <c r="AD163" s="88">
        <f>全车数据表!AX164</f>
        <v>0</v>
      </c>
      <c r="AE163" s="88">
        <f>全车数据表!AY164</f>
        <v>502</v>
      </c>
      <c r="AF163" s="88" t="str">
        <f>IF(全车数据表!BA164="","",全车数据表!BA164)</f>
        <v>寻车</v>
      </c>
      <c r="AG163" s="88" t="str">
        <f>IF(全车数据表!BB164="","",全车数据表!BB164)</f>
        <v/>
      </c>
      <c r="AH163" s="88" t="str">
        <f>IF(全车数据表!BC164="","",全车数据表!BC164)</f>
        <v/>
      </c>
      <c r="AI163" s="88">
        <f>IF(全车数据表!BD164="","",全车数据表!BD164)</f>
        <v>1</v>
      </c>
      <c r="AJ163" s="88" t="str">
        <f>IF(全车数据表!BE164="","",全车数据表!BE164)</f>
        <v/>
      </c>
      <c r="AK163" s="88" t="str">
        <f>IF(全车数据表!BF164="","",全车数据表!BF164)</f>
        <v/>
      </c>
      <c r="AL163" s="88">
        <f>IF(全车数据表!BG164="","",全车数据表!BG164)</f>
        <v>1</v>
      </c>
      <c r="AM163" s="88" t="str">
        <f>IF(全车数据表!BH164="","",全车数据表!BH164)</f>
        <v/>
      </c>
      <c r="AN163" s="88" t="str">
        <f>IF(全车数据表!BI164="","",全车数据表!BI164)</f>
        <v/>
      </c>
      <c r="AO163" s="88" t="str">
        <f>IF(全车数据表!BJ164="","",全车数据表!BJ164)</f>
        <v/>
      </c>
      <c r="AP163" s="88" t="str">
        <f>IF(全车数据表!BK164="","",全车数据表!BK164)</f>
        <v/>
      </c>
      <c r="AQ163" s="88" t="str">
        <f>IF(全车数据表!BL164="","",全车数据表!BL164)</f>
        <v/>
      </c>
      <c r="AR163" s="88" t="str">
        <f>IF(全车数据表!BM164="","",全车数据表!BM164)</f>
        <v/>
      </c>
      <c r="AS163" s="88" t="str">
        <f>IF(全车数据表!BN164="","",全车数据表!BN164)</f>
        <v/>
      </c>
      <c r="AT163" s="88" t="str">
        <f>IF(全车数据表!BO164="","",全车数据表!BO164)</f>
        <v/>
      </c>
      <c r="AU163" s="88" t="str">
        <f>IF(全车数据表!BP164="","",全车数据表!BP164)</f>
        <v/>
      </c>
      <c r="AV163" s="88" t="str">
        <f>IF(全车数据表!BQ164="","",全车数据表!BQ164)</f>
        <v>1款</v>
      </c>
      <c r="AW163" s="88" t="str">
        <f>IF(全车数据表!BR164="","",全车数据表!BR164)</f>
        <v/>
      </c>
      <c r="AX163" s="88" t="str">
        <f>IF(全车数据表!BS164="","",全车数据表!BS164)</f>
        <v/>
      </c>
      <c r="AY163" s="88" t="str">
        <f>IF(全车数据表!BT164="","",全车数据表!BT164)</f>
        <v/>
      </c>
      <c r="AZ163" s="88">
        <f>IF(全车数据表!BU164="","",全车数据表!BU164)</f>
        <v>1</v>
      </c>
      <c r="BA163" s="88" t="str">
        <f>IF(全车数据表!BV164="","",全车数据表!BV164)</f>
        <v>兰博基尼 百年牛</v>
      </c>
      <c r="BB163" s="91">
        <f>IF(全车数据表!AZ164="","",全车数据表!AZ164)</f>
        <v>1</v>
      </c>
    </row>
    <row r="164" spans="1:54">
      <c r="A164" s="88">
        <f>全车数据表!A165</f>
        <v>163</v>
      </c>
      <c r="B164" s="88" t="str">
        <f>全车数据表!B165</f>
        <v>Ferrari F12tdf</v>
      </c>
      <c r="C164" s="89" t="str">
        <f>全车数据表!E165</f>
        <v>f12tdf</v>
      </c>
      <c r="D164" s="88" t="str">
        <f>IF(全车数据表!D165="","",全车数据表!D165)</f>
        <v>Ferrari</v>
      </c>
      <c r="E164" s="89" t="str">
        <f>全车数据表!H165</f>
        <v>1.4</v>
      </c>
      <c r="F164" s="89" t="str">
        <f>全车数据表!C165</f>
        <v>TDF</v>
      </c>
      <c r="G164" s="89" t="str">
        <f>全车数据表!F165</f>
        <v>A</v>
      </c>
      <c r="H164" s="88">
        <f>LEN(全车数据表!G165)</f>
        <v>5</v>
      </c>
      <c r="I164" s="88" t="str">
        <f>VLOOKUP(全车数据表!P165,辅助计算!A:B,2,FALSE)</f>
        <v>rare</v>
      </c>
      <c r="J164" s="88">
        <f>全车数据表!Q165</f>
        <v>40</v>
      </c>
      <c r="K164" s="88">
        <f>全车数据表!R165</f>
        <v>18</v>
      </c>
      <c r="L164" s="88">
        <f>全车数据表!S165</f>
        <v>21</v>
      </c>
      <c r="M164" s="88">
        <f>全车数据表!T165</f>
        <v>25</v>
      </c>
      <c r="N164" s="88">
        <f>全车数据表!U165</f>
        <v>36</v>
      </c>
      <c r="O164" s="88">
        <f>全车数据表!V165</f>
        <v>0</v>
      </c>
      <c r="P164" s="88">
        <f>全车数据表!J165</f>
        <v>3705</v>
      </c>
      <c r="Q164" s="88">
        <f>全车数据表!K165</f>
        <v>360.3</v>
      </c>
      <c r="R164" s="88">
        <f>全车数据表!L165</f>
        <v>78.38</v>
      </c>
      <c r="S164" s="88">
        <f>全车数据表!M165</f>
        <v>40.119999999999997</v>
      </c>
      <c r="T164" s="88">
        <f>全车数据表!N165</f>
        <v>80.180000000000007</v>
      </c>
      <c r="U164" s="88">
        <f>全车数据表!O165</f>
        <v>9.6660000000000004</v>
      </c>
      <c r="V164" s="88">
        <f>全车数据表!AL165</f>
        <v>5950600</v>
      </c>
      <c r="W164" s="88">
        <f>全车数据表!AM165</f>
        <v>25000</v>
      </c>
      <c r="X164" s="88">
        <f>全车数据表!AU165</f>
        <v>3400000</v>
      </c>
      <c r="Y164" s="88">
        <f>全车数据表!AV165</f>
        <v>9350600</v>
      </c>
      <c r="Z164" s="88">
        <f>全车数据表!AN165</f>
        <v>6</v>
      </c>
      <c r="AA164" s="88">
        <f>全车数据表!AP165</f>
        <v>5</v>
      </c>
      <c r="AB164" s="88">
        <f>全车数据表!AR165</f>
        <v>3</v>
      </c>
      <c r="AC164" s="88">
        <f>全车数据表!AW165</f>
        <v>375</v>
      </c>
      <c r="AD164" s="88">
        <f>全车数据表!AX165</f>
        <v>0</v>
      </c>
      <c r="AE164" s="88">
        <f>全车数据表!AY165</f>
        <v>496</v>
      </c>
      <c r="AF164" s="88" t="str">
        <f>IF(全车数据表!BA165="","",全车数据表!BA165)</f>
        <v>旧版寻车</v>
      </c>
      <c r="AG164" s="88" t="str">
        <f>IF(全车数据表!BB165="","",全车数据表!BB165)</f>
        <v/>
      </c>
      <c r="AH164" s="88" t="str">
        <f>IF(全车数据表!BC165="","",全车数据表!BC165)</f>
        <v/>
      </c>
      <c r="AI164" s="88">
        <f>IF(全车数据表!BD165="","",全车数据表!BD165)</f>
        <v>1</v>
      </c>
      <c r="AJ164" s="88" t="str">
        <f>IF(全车数据表!BE165="","",全车数据表!BE165)</f>
        <v/>
      </c>
      <c r="AK164" s="88" t="str">
        <f>IF(全车数据表!BF165="","",全车数据表!BF165)</f>
        <v/>
      </c>
      <c r="AL164" s="88">
        <f>IF(全车数据表!BG165="","",全车数据表!BG165)</f>
        <v>1</v>
      </c>
      <c r="AM164" s="88" t="str">
        <f>IF(全车数据表!BH165="","",全车数据表!BH165)</f>
        <v/>
      </c>
      <c r="AN164" s="88" t="str">
        <f>IF(全车数据表!BI165="","",全车数据表!BI165)</f>
        <v/>
      </c>
      <c r="AO164" s="88" t="str">
        <f>IF(全车数据表!BJ165="","",全车数据表!BJ165)</f>
        <v/>
      </c>
      <c r="AP164" s="88" t="str">
        <f>IF(全车数据表!BK165="","",全车数据表!BK165)</f>
        <v/>
      </c>
      <c r="AQ164" s="88" t="str">
        <f>IF(全车数据表!BL165="","",全车数据表!BL165)</f>
        <v/>
      </c>
      <c r="AR164" s="88" t="str">
        <f>IF(全车数据表!BM165="","",全车数据表!BM165)</f>
        <v/>
      </c>
      <c r="AS164" s="88" t="str">
        <f>IF(全车数据表!BN165="","",全车数据表!BN165)</f>
        <v/>
      </c>
      <c r="AT164" s="88" t="str">
        <f>IF(全车数据表!BO165="","",全车数据表!BO165)</f>
        <v/>
      </c>
      <c r="AU164" s="88" t="str">
        <f>IF(全车数据表!BP165="","",全车数据表!BP165)</f>
        <v/>
      </c>
      <c r="AV164" s="88" t="str">
        <f>IF(全车数据表!BQ165="","",全车数据表!BQ165)</f>
        <v/>
      </c>
      <c r="AW164" s="88" t="str">
        <f>IF(全车数据表!BR165="","",全车数据表!BR165)</f>
        <v/>
      </c>
      <c r="AX164" s="88" t="str">
        <f>IF(全车数据表!BS165="","",全车数据表!BS165)</f>
        <v/>
      </c>
      <c r="AY164" s="88" t="str">
        <f>IF(全车数据表!BT165="","",全车数据表!BT165)</f>
        <v/>
      </c>
      <c r="AZ164" s="88">
        <f>IF(全车数据表!BU165="","",全车数据表!BU165)</f>
        <v>1</v>
      </c>
      <c r="BA164" s="88" t="str">
        <f>IF(全车数据表!BV165="","",全车数据表!BV165)</f>
        <v>法拉利 掏大粪 土豆粉</v>
      </c>
      <c r="BB164" s="91">
        <f>IF(全车数据表!AZ165="","",全车数据表!AZ165)</f>
        <v>1</v>
      </c>
    </row>
    <row r="165" spans="1:54">
      <c r="A165" s="88">
        <f>全车数据表!A166</f>
        <v>164</v>
      </c>
      <c r="B165" s="88" t="str">
        <f>全车数据表!B166</f>
        <v>Lamborghini Gallardo LP 560-4</v>
      </c>
      <c r="C165" s="89" t="str">
        <f>全车数据表!E166</f>
        <v>gallardo</v>
      </c>
      <c r="D165" s="88" t="str">
        <f>IF(全车数据表!D166="","",全车数据表!D166)</f>
        <v>Lamborghini</v>
      </c>
      <c r="E165" s="89" t="str">
        <f>全车数据表!H166</f>
        <v>2.4</v>
      </c>
      <c r="F165" s="89" t="str">
        <f>全车数据表!C166</f>
        <v>盖拉多</v>
      </c>
      <c r="G165" s="89" t="str">
        <f>全车数据表!F166</f>
        <v>A</v>
      </c>
      <c r="H165" s="88">
        <f>LEN(全车数据表!G166)</f>
        <v>6</v>
      </c>
      <c r="I165" s="88" t="str">
        <f>VLOOKUP(全车数据表!P166,辅助计算!A:B,2,FALSE)</f>
        <v>rare</v>
      </c>
      <c r="J165" s="88">
        <f>全车数据表!Q166</f>
        <v>50</v>
      </c>
      <c r="K165" s="88">
        <f>全车数据表!R166</f>
        <v>15</v>
      </c>
      <c r="L165" s="88">
        <f>全车数据表!S166</f>
        <v>18</v>
      </c>
      <c r="M165" s="88">
        <f>全车数据表!T166</f>
        <v>24</v>
      </c>
      <c r="N165" s="88">
        <f>全车数据表!U166</f>
        <v>38</v>
      </c>
      <c r="O165" s="88">
        <f>全车数据表!V166</f>
        <v>45</v>
      </c>
      <c r="P165" s="88">
        <f>全车数据表!J166</f>
        <v>3706</v>
      </c>
      <c r="Q165" s="88">
        <f>全车数据表!K166</f>
        <v>331.2</v>
      </c>
      <c r="R165" s="88">
        <f>全车数据表!L166</f>
        <v>76.48</v>
      </c>
      <c r="S165" s="88">
        <f>全车数据表!M166</f>
        <v>75.430000000000007</v>
      </c>
      <c r="T165" s="88">
        <f>全车数据表!N166</f>
        <v>59.41</v>
      </c>
      <c r="U165" s="88">
        <f>全车数据表!O166</f>
        <v>0</v>
      </c>
      <c r="V165" s="88">
        <f>全车数据表!AL166</f>
        <v>5950200</v>
      </c>
      <c r="W165" s="88">
        <f>全车数据表!AM166</f>
        <v>25000</v>
      </c>
      <c r="X165" s="88">
        <f>全车数据表!AU166</f>
        <v>4000000</v>
      </c>
      <c r="Y165" s="88">
        <f>全车数据表!AV166</f>
        <v>9950200</v>
      </c>
      <c r="Z165" s="88">
        <f>全车数据表!AN166</f>
        <v>6</v>
      </c>
      <c r="AA165" s="88">
        <f>全车数据表!AP166</f>
        <v>5</v>
      </c>
      <c r="AB165" s="88">
        <f>全车数据表!AR166</f>
        <v>4</v>
      </c>
      <c r="AC165" s="88">
        <f>全车数据表!AW166</f>
        <v>345</v>
      </c>
      <c r="AD165" s="88">
        <f>全车数据表!AX166</f>
        <v>0</v>
      </c>
      <c r="AE165" s="88">
        <f>全车数据表!AY166</f>
        <v>445</v>
      </c>
      <c r="AF165" s="88" t="str">
        <f>IF(全车数据表!BA166="","",全车数据表!BA166)</f>
        <v>通行证</v>
      </c>
      <c r="AG165" s="88" t="str">
        <f>IF(全车数据表!BB166="","",全车数据表!BB166)</f>
        <v/>
      </c>
      <c r="AH165" s="88" t="str">
        <f>IF(全车数据表!BC166="","",全车数据表!BC166)</f>
        <v/>
      </c>
      <c r="AI165" s="88" t="str">
        <f>IF(全车数据表!BD166="","",全车数据表!BD166)</f>
        <v/>
      </c>
      <c r="AJ165" s="88" t="str">
        <f>IF(全车数据表!BE166="","",全车数据表!BE166)</f>
        <v/>
      </c>
      <c r="AK165" s="88" t="str">
        <f>IF(全车数据表!BF166="","",全车数据表!BF166)</f>
        <v/>
      </c>
      <c r="AL165" s="88" t="str">
        <f>IF(全车数据表!BG166="","",全车数据表!BG166)</f>
        <v/>
      </c>
      <c r="AM165" s="88">
        <f>IF(全车数据表!BH166="","",全车数据表!BH166)</f>
        <v>1</v>
      </c>
      <c r="AN165" s="88" t="str">
        <f>IF(全车数据表!BI166="","",全车数据表!BI166)</f>
        <v/>
      </c>
      <c r="AO165" s="88" t="str">
        <f>IF(全车数据表!BJ166="","",全车数据表!BJ166)</f>
        <v/>
      </c>
      <c r="AP165" s="88" t="str">
        <f>IF(全车数据表!BK166="","",全车数据表!BK166)</f>
        <v/>
      </c>
      <c r="AQ165" s="88" t="str">
        <f>IF(全车数据表!BL166="","",全车数据表!BL166)</f>
        <v/>
      </c>
      <c r="AR165" s="88" t="str">
        <f>IF(全车数据表!BM166="","",全车数据表!BM166)</f>
        <v/>
      </c>
      <c r="AS165" s="88" t="str">
        <f>IF(全车数据表!BN166="","",全车数据表!BN166)</f>
        <v/>
      </c>
      <c r="AT165" s="88" t="str">
        <f>IF(全车数据表!BO166="","",全车数据表!BO166)</f>
        <v/>
      </c>
      <c r="AU165" s="88">
        <f>IF(全车数据表!BP166="","",全车数据表!BP166)</f>
        <v>1</v>
      </c>
      <c r="AV165" s="88" t="str">
        <f>IF(全车数据表!BQ166="","",全车数据表!BQ166)</f>
        <v/>
      </c>
      <c r="AW165" s="88" t="str">
        <f>IF(全车数据表!BR166="","",全车数据表!BR166)</f>
        <v/>
      </c>
      <c r="AX165" s="88" t="str">
        <f>IF(全车数据表!BS166="","",全车数据表!BS166)</f>
        <v/>
      </c>
      <c r="AY165" s="88" t="str">
        <f>IF(全车数据表!BT166="","",全车数据表!BT166)</f>
        <v/>
      </c>
      <c r="AZ165" s="88">
        <f>IF(全车数据表!BU166="","",全车数据表!BU166)</f>
        <v>1</v>
      </c>
      <c r="BA165" s="88" t="str">
        <f>IF(全车数据表!BV166="","",全车数据表!BV166)</f>
        <v>兰博基尼 盖拉多</v>
      </c>
      <c r="BB165" s="91">
        <f>IF(全车数据表!AZ166="","",全车数据表!AZ166)</f>
        <v>11</v>
      </c>
    </row>
    <row r="166" spans="1:54">
      <c r="A166" s="88">
        <f>全车数据表!A167</f>
        <v>165</v>
      </c>
      <c r="B166" s="88" t="str">
        <f>全车数据表!B167</f>
        <v>Lamborghini Aventador SV Coupe</v>
      </c>
      <c r="C166" s="89" t="str">
        <f>全车数据表!E167</f>
        <v>sv</v>
      </c>
      <c r="D166" s="88" t="str">
        <f>IF(全车数据表!D167="","",全车数据表!D167)</f>
        <v>Lamborghini</v>
      </c>
      <c r="E166" s="89" t="str">
        <f>全车数据表!H167</f>
        <v>1.4</v>
      </c>
      <c r="F166" s="89" t="str">
        <f>全车数据表!C167</f>
        <v>SV</v>
      </c>
      <c r="G166" s="89" t="str">
        <f>全车数据表!F167</f>
        <v>A</v>
      </c>
      <c r="H166" s="88">
        <f>LEN(全车数据表!G167)</f>
        <v>5</v>
      </c>
      <c r="I166" s="88" t="str">
        <f>VLOOKUP(全车数据表!P167,辅助计算!A:B,2,FALSE)</f>
        <v>epic</v>
      </c>
      <c r="J166" s="88">
        <f>全车数据表!Q167</f>
        <v>40</v>
      </c>
      <c r="K166" s="88">
        <f>全车数据表!R167</f>
        <v>18</v>
      </c>
      <c r="L166" s="88">
        <f>全车数据表!S167</f>
        <v>21</v>
      </c>
      <c r="M166" s="88">
        <f>全车数据表!T167</f>
        <v>25</v>
      </c>
      <c r="N166" s="88">
        <f>全车数据表!U167</f>
        <v>36</v>
      </c>
      <c r="O166" s="88">
        <f>全车数据表!V167</f>
        <v>0</v>
      </c>
      <c r="P166" s="88">
        <f>全车数据表!J167</f>
        <v>3763</v>
      </c>
      <c r="Q166" s="88">
        <f>全车数据表!K167</f>
        <v>367.9</v>
      </c>
      <c r="R166" s="88">
        <f>全车数据表!L167</f>
        <v>80.83</v>
      </c>
      <c r="S166" s="88">
        <f>全车数据表!M167</f>
        <v>50.14</v>
      </c>
      <c r="T166" s="88">
        <f>全车数据表!N167</f>
        <v>70.599999999999994</v>
      </c>
      <c r="U166" s="88">
        <f>全车数据表!O167</f>
        <v>7.2329999999999997</v>
      </c>
      <c r="V166" s="88">
        <f>全车数据表!AL167</f>
        <v>5950600</v>
      </c>
      <c r="W166" s="88">
        <f>全车数据表!AM167</f>
        <v>25000</v>
      </c>
      <c r="X166" s="88">
        <f>全车数据表!AU167</f>
        <v>3400000</v>
      </c>
      <c r="Y166" s="88">
        <f>全车数据表!AV167</f>
        <v>9350600</v>
      </c>
      <c r="Z166" s="88">
        <f>全车数据表!AN167</f>
        <v>6</v>
      </c>
      <c r="AA166" s="88">
        <f>全车数据表!AP167</f>
        <v>5</v>
      </c>
      <c r="AB166" s="88">
        <f>全车数据表!AR167</f>
        <v>3</v>
      </c>
      <c r="AC166" s="88">
        <f>全车数据表!AW167</f>
        <v>382</v>
      </c>
      <c r="AD166" s="88">
        <f>全车数据表!AX167</f>
        <v>0</v>
      </c>
      <c r="AE166" s="88">
        <f>全车数据表!AY167</f>
        <v>509</v>
      </c>
      <c r="AF166" s="88" t="str">
        <f>IF(全车数据表!BA167="","",全车数据表!BA167)</f>
        <v>旧版寻车</v>
      </c>
      <c r="AG166" s="88" t="str">
        <f>IF(全车数据表!BB167="","",全车数据表!BB167)</f>
        <v/>
      </c>
      <c r="AH166" s="88" t="str">
        <f>IF(全车数据表!BC167="","",全车数据表!BC167)</f>
        <v/>
      </c>
      <c r="AI166" s="88" t="str">
        <f>IF(全车数据表!BD167="","",全车数据表!BD167)</f>
        <v/>
      </c>
      <c r="AJ166" s="88" t="str">
        <f>IF(全车数据表!BE167="","",全车数据表!BE167)</f>
        <v/>
      </c>
      <c r="AK166" s="88" t="str">
        <f>IF(全车数据表!BF167="","",全车数据表!BF167)</f>
        <v/>
      </c>
      <c r="AL166" s="88" t="str">
        <f>IF(全车数据表!BG167="","",全车数据表!BG167)</f>
        <v/>
      </c>
      <c r="AM166" s="88" t="str">
        <f>IF(全车数据表!BH167="","",全车数据表!BH167)</f>
        <v/>
      </c>
      <c r="AN166" s="88" t="str">
        <f>IF(全车数据表!BI167="","",全车数据表!BI167)</f>
        <v/>
      </c>
      <c r="AO166" s="88" t="str">
        <f>IF(全车数据表!BJ167="","",全车数据表!BJ167)</f>
        <v/>
      </c>
      <c r="AP166" s="88" t="str">
        <f>IF(全车数据表!BK167="","",全车数据表!BK167)</f>
        <v/>
      </c>
      <c r="AQ166" s="88" t="str">
        <f>IF(全车数据表!BL167="","",全车数据表!BL167)</f>
        <v/>
      </c>
      <c r="AR166" s="88" t="str">
        <f>IF(全车数据表!BM167="","",全车数据表!BM167)</f>
        <v/>
      </c>
      <c r="AS166" s="88" t="str">
        <f>IF(全车数据表!BN167="","",全车数据表!BN167)</f>
        <v/>
      </c>
      <c r="AT166" s="88" t="str">
        <f>IF(全车数据表!BO167="","",全车数据表!BO167)</f>
        <v/>
      </c>
      <c r="AU166" s="88" t="str">
        <f>IF(全车数据表!BP167="","",全车数据表!BP167)</f>
        <v/>
      </c>
      <c r="AV166" s="88" t="str">
        <f>IF(全车数据表!BQ167="","",全车数据表!BQ167)</f>
        <v/>
      </c>
      <c r="AW166" s="88">
        <f>IF(全车数据表!BR167="","",全车数据表!BR167)</f>
        <v>1</v>
      </c>
      <c r="AX166" s="88" t="str">
        <f>IF(全车数据表!BS167="","",全车数据表!BS167)</f>
        <v/>
      </c>
      <c r="AY166" s="88" t="str">
        <f>IF(全车数据表!BT167="","",全车数据表!BT167)</f>
        <v/>
      </c>
      <c r="AZ166" s="88">
        <f>IF(全车数据表!BU167="","",全车数据表!BU167)</f>
        <v>1</v>
      </c>
      <c r="BA166" s="88" t="str">
        <f>IF(全车数据表!BV167="","",全车数据表!BV167)</f>
        <v>兰博基尼 大牛</v>
      </c>
      <c r="BB166" s="91">
        <f>IF(全车数据表!AZ167="","",全车数据表!AZ167)</f>
        <v>13</v>
      </c>
    </row>
    <row r="167" spans="1:54">
      <c r="A167" s="88">
        <f>全车数据表!A168</f>
        <v>166</v>
      </c>
      <c r="B167" s="88" t="str">
        <f>全车数据表!B168</f>
        <v>Ferrari FXX K</v>
      </c>
      <c r="C167" s="89" t="str">
        <f>全车数据表!E168</f>
        <v>fxxk</v>
      </c>
      <c r="D167" s="88" t="str">
        <f>IF(全车数据表!D168="","",全车数据表!D168)</f>
        <v>Ferrari</v>
      </c>
      <c r="E167" s="89" t="str">
        <f>全车数据表!H168</f>
        <v>1.9</v>
      </c>
      <c r="F167" s="89" t="str">
        <f>全车数据表!C168</f>
        <v>FXXK</v>
      </c>
      <c r="G167" s="89" t="str">
        <f>全车数据表!F168</f>
        <v>A</v>
      </c>
      <c r="H167" s="88">
        <f>LEN(全车数据表!G168)</f>
        <v>5</v>
      </c>
      <c r="I167" s="88" t="str">
        <f>VLOOKUP(全车数据表!P168,辅助计算!A:B,2,FALSE)</f>
        <v>epic</v>
      </c>
      <c r="J167" s="88">
        <f>全车数据表!Q168</f>
        <v>40</v>
      </c>
      <c r="K167" s="88">
        <f>全车数据表!R168</f>
        <v>18</v>
      </c>
      <c r="L167" s="88">
        <f>全车数据表!S168</f>
        <v>21</v>
      </c>
      <c r="M167" s="88">
        <f>全车数据表!T168</f>
        <v>25</v>
      </c>
      <c r="N167" s="88">
        <f>全车数据表!U168</f>
        <v>36</v>
      </c>
      <c r="O167" s="88">
        <f>全车数据表!V168</f>
        <v>0</v>
      </c>
      <c r="P167" s="88">
        <f>全车数据表!J168</f>
        <v>3821</v>
      </c>
      <c r="Q167" s="88">
        <f>全车数据表!K168</f>
        <v>363.1</v>
      </c>
      <c r="R167" s="88">
        <f>全车数据表!L168</f>
        <v>83.9</v>
      </c>
      <c r="S167" s="88">
        <f>全车数据表!M168</f>
        <v>43.75</v>
      </c>
      <c r="T167" s="88">
        <f>全车数据表!N168</f>
        <v>72.39</v>
      </c>
      <c r="U167" s="88">
        <f>全车数据表!O168</f>
        <v>7.6669999999999998</v>
      </c>
      <c r="V167" s="88">
        <f>全车数据表!AL168</f>
        <v>7546400</v>
      </c>
      <c r="W167" s="88">
        <f>全车数据表!AM168</f>
        <v>30000</v>
      </c>
      <c r="X167" s="88">
        <f>全车数据表!AU168</f>
        <v>4080000</v>
      </c>
      <c r="Y167" s="88">
        <f>全车数据表!AV168</f>
        <v>11626400</v>
      </c>
      <c r="Z167" s="88">
        <f>全车数据表!AN168</f>
        <v>6</v>
      </c>
      <c r="AA167" s="88">
        <f>全车数据表!AP168</f>
        <v>5</v>
      </c>
      <c r="AB167" s="88">
        <f>全车数据表!AR168</f>
        <v>3</v>
      </c>
      <c r="AC167" s="88">
        <f>全车数据表!AW168</f>
        <v>376</v>
      </c>
      <c r="AD167" s="88">
        <f>全车数据表!AX168</f>
        <v>0</v>
      </c>
      <c r="AE167" s="88">
        <f>全车数据表!AY168</f>
        <v>497</v>
      </c>
      <c r="AF167" s="88" t="str">
        <f>IF(全车数据表!BA168="","",全车数据表!BA168)</f>
        <v>旧版寻车</v>
      </c>
      <c r="AG167" s="88" t="str">
        <f>IF(全车数据表!BB168="","",全车数据表!BB168)</f>
        <v/>
      </c>
      <c r="AH167" s="88" t="str">
        <f>IF(全车数据表!BC168="","",全车数据表!BC168)</f>
        <v/>
      </c>
      <c r="AI167" s="88" t="str">
        <f>IF(全车数据表!BD168="","",全车数据表!BD168)</f>
        <v/>
      </c>
      <c r="AJ167" s="88" t="str">
        <f>IF(全车数据表!BE168="","",全车数据表!BE168)</f>
        <v/>
      </c>
      <c r="AK167" s="88" t="str">
        <f>IF(全车数据表!BF168="","",全车数据表!BF168)</f>
        <v/>
      </c>
      <c r="AL167" s="88" t="str">
        <f>IF(全车数据表!BG168="","",全车数据表!BG168)</f>
        <v/>
      </c>
      <c r="AM167" s="88" t="str">
        <f>IF(全车数据表!BH168="","",全车数据表!BH168)</f>
        <v/>
      </c>
      <c r="AN167" s="88" t="str">
        <f>IF(全车数据表!BI168="","",全车数据表!BI168)</f>
        <v/>
      </c>
      <c r="AO167" s="88" t="str">
        <f>IF(全车数据表!BJ168="","",全车数据表!BJ168)</f>
        <v/>
      </c>
      <c r="AP167" s="88" t="str">
        <f>IF(全车数据表!BK168="","",全车数据表!BK168)</f>
        <v/>
      </c>
      <c r="AQ167" s="88" t="str">
        <f>IF(全车数据表!BL168="","",全车数据表!BL168)</f>
        <v/>
      </c>
      <c r="AR167" s="88" t="str">
        <f>IF(全车数据表!BM168="","",全车数据表!BM168)</f>
        <v/>
      </c>
      <c r="AS167" s="88" t="str">
        <f>IF(全车数据表!BN168="","",全车数据表!BN168)</f>
        <v/>
      </c>
      <c r="AT167" s="88" t="str">
        <f>IF(全车数据表!BO168="","",全车数据表!BO168)</f>
        <v/>
      </c>
      <c r="AU167" s="88" t="str">
        <f>IF(全车数据表!BP168="","",全车数据表!BP168)</f>
        <v/>
      </c>
      <c r="AV167" s="88" t="str">
        <f>IF(全车数据表!BQ168="","",全车数据表!BQ168)</f>
        <v/>
      </c>
      <c r="AW167" s="88" t="str">
        <f>IF(全车数据表!BR168="","",全车数据表!BR168)</f>
        <v/>
      </c>
      <c r="AX167" s="88" t="str">
        <f>IF(全车数据表!BS168="","",全车数据表!BS168)</f>
        <v/>
      </c>
      <c r="AY167" s="88" t="str">
        <f>IF(全车数据表!BT168="","",全车数据表!BT168)</f>
        <v/>
      </c>
      <c r="AZ167" s="88">
        <f>IF(全车数据表!BU168="","",全车数据表!BU168)</f>
        <v>1</v>
      </c>
      <c r="BA167" s="88" t="str">
        <f>IF(全车数据表!BV168="","",全车数据表!BV168)</f>
        <v>法拉利 马王</v>
      </c>
      <c r="BB167" s="91" t="str">
        <f>IF(全车数据表!AZ168="","",全车数据表!AZ168)</f>
        <v/>
      </c>
    </row>
    <row r="168" spans="1:54">
      <c r="A168" s="88">
        <f>全车数据表!A169</f>
        <v>167</v>
      </c>
      <c r="B168" s="88" t="str">
        <f>全车数据表!B169</f>
        <v>LEGO Technic Mclaren Senna GTR</v>
      </c>
      <c r="C168" s="89" t="str">
        <f>全车数据表!E169</f>
        <v>legosennagtr</v>
      </c>
      <c r="D168" s="88" t="str">
        <f>IF(全车数据表!D169="","",全车数据表!D169)</f>
        <v>LEGO Technic</v>
      </c>
      <c r="E168" s="89" t="str">
        <f>全车数据表!H169</f>
        <v>5.2</v>
      </c>
      <c r="F168" s="89" t="str">
        <f>全车数据表!C169</f>
        <v>乐高塞纳GTR</v>
      </c>
      <c r="G168" s="89" t="str">
        <f>全车数据表!F169</f>
        <v>A</v>
      </c>
      <c r="H168" s="88">
        <f>LEN(全车数据表!G169)</f>
        <v>5</v>
      </c>
      <c r="I168" s="88" t="str">
        <f>VLOOKUP(全车数据表!P169,辅助计算!A:B,2,FALSE)</f>
        <v>epic</v>
      </c>
      <c r="J168" s="88">
        <f>全车数据表!Q169</f>
        <v>40</v>
      </c>
      <c r="K168" s="88">
        <f>全车数据表!R169</f>
        <v>33</v>
      </c>
      <c r="L168" s="88">
        <f>全车数据表!S169</f>
        <v>38</v>
      </c>
      <c r="M168" s="88">
        <f>全车数据表!T169</f>
        <v>43</v>
      </c>
      <c r="N168" s="88">
        <f>全车数据表!U169</f>
        <v>48</v>
      </c>
      <c r="O168" s="88">
        <f>全车数据表!V169</f>
        <v>0</v>
      </c>
      <c r="P168" s="88">
        <f>全车数据表!J169</f>
        <v>3846</v>
      </c>
      <c r="Q168" s="88">
        <f>全车数据表!K169</f>
        <v>349.8</v>
      </c>
      <c r="R168" s="88">
        <f>全车数据表!L169</f>
        <v>82.43</v>
      </c>
      <c r="S168" s="88">
        <f>全车数据表!M169</f>
        <v>79.319999999999993</v>
      </c>
      <c r="T168" s="88">
        <f>全车数据表!N169</f>
        <v>65.28</v>
      </c>
      <c r="U168" s="88">
        <f>全车数据表!O169</f>
        <v>0</v>
      </c>
      <c r="V168" s="88">
        <f>全车数据表!AL169</f>
        <v>7546400</v>
      </c>
      <c r="W168" s="88">
        <f>全车数据表!AM169</f>
        <v>30000</v>
      </c>
      <c r="X168" s="88">
        <f>全车数据表!AU169</f>
        <v>4080000</v>
      </c>
      <c r="Y168" s="88">
        <f>全车数据表!AV169</f>
        <v>11626400</v>
      </c>
      <c r="Z168" s="88">
        <f>全车数据表!AN169</f>
        <v>6</v>
      </c>
      <c r="AA168" s="88">
        <f>全车数据表!AP169</f>
        <v>5</v>
      </c>
      <c r="AB168" s="88">
        <f>全车数据表!AR169</f>
        <v>3</v>
      </c>
      <c r="AC168" s="88">
        <f>全车数据表!AW169</f>
        <v>0</v>
      </c>
      <c r="AD168" s="88">
        <f>全车数据表!AX169</f>
        <v>0</v>
      </c>
      <c r="AE168" s="88">
        <f>全车数据表!AY169</f>
        <v>0</v>
      </c>
      <c r="AF168" s="88" t="str">
        <f>IF(全车数据表!BA169="","",全车数据表!BA169)</f>
        <v>惊艳亮相</v>
      </c>
      <c r="AG168" s="88" t="str">
        <f>IF(全车数据表!BB169="","",全车数据表!BB169)</f>
        <v/>
      </c>
      <c r="AH168" s="88" t="str">
        <f>IF(全车数据表!BC169="","",全车数据表!BC169)</f>
        <v/>
      </c>
      <c r="AI168" s="88" t="str">
        <f>IF(全车数据表!BD169="","",全车数据表!BD169)</f>
        <v/>
      </c>
      <c r="AJ168" s="88" t="str">
        <f>IF(全车数据表!BE169="","",全车数据表!BE169)</f>
        <v/>
      </c>
      <c r="AK168" s="88" t="str">
        <f>IF(全车数据表!BF169="","",全车数据表!BF169)</f>
        <v/>
      </c>
      <c r="AL168" s="88" t="str">
        <f>IF(全车数据表!BG169="","",全车数据表!BG169)</f>
        <v/>
      </c>
      <c r="AM168" s="88" t="str">
        <f>IF(全车数据表!BH169="","",全车数据表!BH169)</f>
        <v/>
      </c>
      <c r="AN168" s="88" t="str">
        <f>IF(全车数据表!BI169="","",全车数据表!BI169)</f>
        <v/>
      </c>
      <c r="AO168" s="88" t="str">
        <f>IF(全车数据表!BJ169="","",全车数据表!BJ169)</f>
        <v/>
      </c>
      <c r="AP168" s="88" t="str">
        <f>IF(全车数据表!BK169="","",全车数据表!BK169)</f>
        <v/>
      </c>
      <c r="AQ168" s="88" t="str">
        <f>IF(全车数据表!BL169="","",全车数据表!BL169)</f>
        <v/>
      </c>
      <c r="AR168" s="88" t="str">
        <f>IF(全车数据表!BM169="","",全车数据表!BM169)</f>
        <v/>
      </c>
      <c r="AS168" s="88" t="str">
        <f>IF(全车数据表!BN169="","",全车数据表!BN169)</f>
        <v/>
      </c>
      <c r="AT168" s="88" t="str">
        <f>IF(全车数据表!BO169="","",全车数据表!BO169)</f>
        <v/>
      </c>
      <c r="AU168" s="88" t="str">
        <f>IF(全车数据表!BP169="","",全车数据表!BP169)</f>
        <v/>
      </c>
      <c r="AV168" s="88" t="str">
        <f>IF(全车数据表!BQ169="","",全车数据表!BQ169)</f>
        <v/>
      </c>
      <c r="AW168" s="88" t="str">
        <f>IF(全车数据表!BR169="","",全车数据表!BR169)</f>
        <v/>
      </c>
      <c r="AX168" s="88" t="str">
        <f>IF(全车数据表!BS169="","",全车数据表!BS169)</f>
        <v/>
      </c>
      <c r="AY168" s="88" t="str">
        <f>IF(全车数据表!BT169="","",全车数据表!BT169)</f>
        <v/>
      </c>
      <c r="AZ168" s="88" t="str">
        <f>IF(全车数据表!BU169="","",全车数据表!BU169)</f>
        <v/>
      </c>
      <c r="BA168" s="88" t="str">
        <f>IF(全车数据表!BV169="","",全车数据表!BV169)</f>
        <v/>
      </c>
      <c r="BB168" s="91" t="str">
        <f>IF(全车数据表!AZ169="","",全车数据表!AZ169)</f>
        <v/>
      </c>
    </row>
    <row r="169" spans="1:54">
      <c r="A169" s="88">
        <f>全车数据表!A170</f>
        <v>168</v>
      </c>
      <c r="B169" s="88" t="str">
        <f>全车数据表!B170</f>
        <v>Lamborghini Autentica🔑</v>
      </c>
      <c r="C169" s="89" t="str">
        <f>全车数据表!E170</f>
        <v>autentica</v>
      </c>
      <c r="D169" s="88" t="str">
        <f>IF(全车数据表!D170="","",全车数据表!D170)</f>
        <v>Lamborghini</v>
      </c>
      <c r="E169" s="89" t="str">
        <f>全车数据表!H170</f>
        <v>5.0</v>
      </c>
      <c r="F169" s="89" t="str">
        <f>全车数据表!C170</f>
        <v>Autentica</v>
      </c>
      <c r="G169" s="89" t="str">
        <f>全车数据表!F170</f>
        <v>A</v>
      </c>
      <c r="H169" s="88">
        <f>LEN(全车数据表!G170)</f>
        <v>5</v>
      </c>
      <c r="I169" s="88" t="str">
        <f>VLOOKUP(全车数据表!P170,辅助计算!A:B,2,FALSE)</f>
        <v>epic</v>
      </c>
      <c r="J169" s="88" t="str">
        <f>全车数据表!Q170</f>
        <v>🔑</v>
      </c>
      <c r="K169" s="88">
        <f>全车数据表!R170</f>
        <v>30</v>
      </c>
      <c r="L169" s="88">
        <f>全车数据表!S170</f>
        <v>38</v>
      </c>
      <c r="M169" s="88">
        <f>全车数据表!T170</f>
        <v>55</v>
      </c>
      <c r="N169" s="88">
        <f>全车数据表!U170</f>
        <v>77</v>
      </c>
      <c r="O169" s="88">
        <f>全车数据表!V170</f>
        <v>0</v>
      </c>
      <c r="P169" s="88">
        <f>全车数据表!J170</f>
        <v>3884</v>
      </c>
      <c r="Q169" s="88">
        <f>全车数据表!K170</f>
        <v>366.8</v>
      </c>
      <c r="R169" s="88">
        <f>全车数据表!L170</f>
        <v>78.819999999999993</v>
      </c>
      <c r="S169" s="88">
        <f>全车数据表!M170</f>
        <v>47.2</v>
      </c>
      <c r="T169" s="88">
        <f>全车数据表!N170</f>
        <v>68.72</v>
      </c>
      <c r="U169" s="88">
        <f>全车数据表!O170</f>
        <v>0</v>
      </c>
      <c r="V169" s="88">
        <f>全车数据表!AL170</f>
        <v>5950600</v>
      </c>
      <c r="W169" s="88">
        <f>全车数据表!AM170</f>
        <v>36000</v>
      </c>
      <c r="X169" s="88">
        <f>全车数据表!AU170</f>
        <v>4896000</v>
      </c>
      <c r="Y169" s="88">
        <f>全车数据表!AV170</f>
        <v>10846600</v>
      </c>
      <c r="Z169" s="88">
        <f>全车数据表!AN170</f>
        <v>6</v>
      </c>
      <c r="AA169" s="88">
        <f>全车数据表!AP170</f>
        <v>5</v>
      </c>
      <c r="AB169" s="88">
        <f>全车数据表!AR170</f>
        <v>3</v>
      </c>
      <c r="AC169" s="88">
        <f>全车数据表!AW170</f>
        <v>381</v>
      </c>
      <c r="AD169" s="88">
        <f>全车数据表!AX170</f>
        <v>0</v>
      </c>
      <c r="AE169" s="88">
        <f>全车数据表!AY170</f>
        <v>507</v>
      </c>
      <c r="AF169" s="88" t="str">
        <f>IF(全车数据表!BA170="","",全车数据表!BA170)</f>
        <v>大奖赛</v>
      </c>
      <c r="AG169" s="88" t="str">
        <f>IF(全车数据表!BB170="","",全车数据表!BB170)</f>
        <v/>
      </c>
      <c r="AH169" s="88" t="str">
        <f>IF(全车数据表!BC170="","",全车数据表!BC170)</f>
        <v/>
      </c>
      <c r="AI169" s="88" t="str">
        <f>IF(全车数据表!BD170="","",全车数据表!BD170)</f>
        <v/>
      </c>
      <c r="AJ169" s="88" t="str">
        <f>IF(全车数据表!BE170="","",全车数据表!BE170)</f>
        <v/>
      </c>
      <c r="AK169" s="88" t="str">
        <f>IF(全车数据表!BF170="","",全车数据表!BF170)</f>
        <v/>
      </c>
      <c r="AL169" s="88" t="str">
        <f>IF(全车数据表!BG170="","",全车数据表!BG170)</f>
        <v/>
      </c>
      <c r="AM169" s="88" t="str">
        <f>IF(全车数据表!BH170="","",全车数据表!BH170)</f>
        <v/>
      </c>
      <c r="AN169" s="88" t="str">
        <f>IF(全车数据表!BI170="","",全车数据表!BI170)</f>
        <v/>
      </c>
      <c r="AO169" s="88" t="str">
        <f>IF(全车数据表!BJ170="","",全车数据表!BJ170)</f>
        <v/>
      </c>
      <c r="AP169" s="88" t="str">
        <f>IF(全车数据表!BK170="","",全车数据表!BK170)</f>
        <v/>
      </c>
      <c r="AQ169" s="88" t="str">
        <f>IF(全车数据表!BL170="","",全车数据表!BL170)</f>
        <v/>
      </c>
      <c r="AR169" s="88" t="str">
        <f>IF(全车数据表!BM170="","",全车数据表!BM170)</f>
        <v/>
      </c>
      <c r="AS169" s="88" t="str">
        <f>IF(全车数据表!BN170="","",全车数据表!BN170)</f>
        <v/>
      </c>
      <c r="AT169" s="88" t="str">
        <f>IF(全车数据表!BO170="","",全车数据表!BO170)</f>
        <v/>
      </c>
      <c r="AU169" s="88" t="str">
        <f>IF(全车数据表!BP170="","",全车数据表!BP170)</f>
        <v/>
      </c>
      <c r="AV169" s="88" t="str">
        <f>IF(全车数据表!BQ170="","",全车数据表!BQ170)</f>
        <v/>
      </c>
      <c r="AW169" s="88" t="str">
        <f>IF(全车数据表!BR170="","",全车数据表!BR170)</f>
        <v/>
      </c>
      <c r="AX169" s="88" t="str">
        <f>IF(全车数据表!BS170="","",全车数据表!BS170)</f>
        <v/>
      </c>
      <c r="AY169" s="88" t="str">
        <f>IF(全车数据表!BT170="","",全车数据表!BT170)</f>
        <v/>
      </c>
      <c r="AZ169" s="88" t="str">
        <f>IF(全车数据表!BU170="","",全车数据表!BU170)</f>
        <v/>
      </c>
      <c r="BA169" s="88" t="str">
        <f>IF(全车数据表!BV170="","",全车数据表!BV170)</f>
        <v>兰博基尼</v>
      </c>
      <c r="BB169" s="91" t="str">
        <f>IF(全车数据表!AZ170="","",全车数据表!AZ170)</f>
        <v/>
      </c>
    </row>
    <row r="170" spans="1:54">
      <c r="A170" s="88">
        <f>全车数据表!A171</f>
        <v>169</v>
      </c>
      <c r="B170" s="88" t="str">
        <f>全车数据表!B171</f>
        <v>Jaguar C-X75</v>
      </c>
      <c r="C170" s="89" t="str">
        <f>全车数据表!E171</f>
        <v>c-x75</v>
      </c>
      <c r="D170" s="88" t="str">
        <f>IF(全车数据表!D171="","",全车数据表!D171)</f>
        <v>Jaguar</v>
      </c>
      <c r="E170" s="89" t="str">
        <f>全车数据表!H171</f>
        <v>2.5</v>
      </c>
      <c r="F170" s="89" t="str">
        <f>全车数据表!C171</f>
        <v>大捷豹</v>
      </c>
      <c r="G170" s="89" t="str">
        <f>全车数据表!F171</f>
        <v>A</v>
      </c>
      <c r="H170" s="88">
        <f>LEN(全车数据表!G171)</f>
        <v>5</v>
      </c>
      <c r="I170" s="88" t="str">
        <f>VLOOKUP(全车数据表!P171,辅助计算!A:B,2,FALSE)</f>
        <v>epic</v>
      </c>
      <c r="J170" s="88">
        <f>全车数据表!Q171</f>
        <v>35</v>
      </c>
      <c r="K170" s="88">
        <f>全车数据表!R171</f>
        <v>15</v>
      </c>
      <c r="L170" s="88">
        <f>全车数据表!S171</f>
        <v>21</v>
      </c>
      <c r="M170" s="88">
        <f>全车数据表!T171</f>
        <v>24</v>
      </c>
      <c r="N170" s="88">
        <f>全车数据表!U171</f>
        <v>36</v>
      </c>
      <c r="O170" s="88">
        <f>全车数据表!V171</f>
        <v>0</v>
      </c>
      <c r="P170" s="88">
        <f>全车数据表!J171</f>
        <v>3900</v>
      </c>
      <c r="Q170" s="88">
        <f>全车数据表!K171</f>
        <v>368.9</v>
      </c>
      <c r="R170" s="88">
        <f>全车数据表!L171</f>
        <v>75.58</v>
      </c>
      <c r="S170" s="88">
        <f>全车数据表!M171</f>
        <v>73.150000000000006</v>
      </c>
      <c r="T170" s="88">
        <f>全车数据表!N171</f>
        <v>74.14</v>
      </c>
      <c r="U170" s="88">
        <f>全车数据表!O171</f>
        <v>0</v>
      </c>
      <c r="V170" s="88">
        <f>全车数据表!AL171</f>
        <v>7546400</v>
      </c>
      <c r="W170" s="88">
        <f>全车数据表!AM171</f>
        <v>30000</v>
      </c>
      <c r="X170" s="88">
        <f>全车数据表!AU171</f>
        <v>4080000</v>
      </c>
      <c r="Y170" s="88">
        <f>全车数据表!AV171</f>
        <v>11626400</v>
      </c>
      <c r="Z170" s="88">
        <f>全车数据表!AN171</f>
        <v>6</v>
      </c>
      <c r="AA170" s="88">
        <f>全车数据表!AP171</f>
        <v>5</v>
      </c>
      <c r="AB170" s="88">
        <f>全车数据表!AR171</f>
        <v>3</v>
      </c>
      <c r="AC170" s="88">
        <f>全车数据表!AW171</f>
        <v>383</v>
      </c>
      <c r="AD170" s="88">
        <f>全车数据表!AX171</f>
        <v>0</v>
      </c>
      <c r="AE170" s="88">
        <f>全车数据表!AY171</f>
        <v>510</v>
      </c>
      <c r="AF170" s="88" t="str">
        <f>IF(全车数据表!BA171="","",全车数据表!BA171)</f>
        <v>惊艳亮相</v>
      </c>
      <c r="AG170" s="88" t="str">
        <f>IF(全车数据表!BB171="","",全车数据表!BB171)</f>
        <v/>
      </c>
      <c r="AH170" s="88" t="str">
        <f>IF(全车数据表!BC171="","",全车数据表!BC171)</f>
        <v/>
      </c>
      <c r="AI170" s="88" t="str">
        <f>IF(全车数据表!BD171="","",全车数据表!BD171)</f>
        <v/>
      </c>
      <c r="AJ170" s="88" t="str">
        <f>IF(全车数据表!BE171="","",全车数据表!BE171)</f>
        <v/>
      </c>
      <c r="AK170" s="88" t="str">
        <f>IF(全车数据表!BF171="","",全车数据表!BF171)</f>
        <v/>
      </c>
      <c r="AL170" s="88" t="str">
        <f>IF(全车数据表!BG171="","",全车数据表!BG171)</f>
        <v/>
      </c>
      <c r="AM170" s="88" t="str">
        <f>IF(全车数据表!BH171="","",全车数据表!BH171)</f>
        <v/>
      </c>
      <c r="AN170" s="88">
        <f>IF(全车数据表!BI171="","",全车数据表!BI171)</f>
        <v>1</v>
      </c>
      <c r="AO170" s="88" t="str">
        <f>IF(全车数据表!BJ171="","",全车数据表!BJ171)</f>
        <v/>
      </c>
      <c r="AP170" s="88" t="str">
        <f>IF(全车数据表!BK171="","",全车数据表!BK171)</f>
        <v/>
      </c>
      <c r="AQ170" s="88" t="str">
        <f>IF(全车数据表!BL171="","",全车数据表!BL171)</f>
        <v/>
      </c>
      <c r="AR170" s="88" t="str">
        <f>IF(全车数据表!BM171="","",全车数据表!BM171)</f>
        <v/>
      </c>
      <c r="AS170" s="88" t="str">
        <f>IF(全车数据表!BN171="","",全车数据表!BN171)</f>
        <v/>
      </c>
      <c r="AT170" s="88" t="str">
        <f>IF(全车数据表!BO171="","",全车数据表!BO171)</f>
        <v/>
      </c>
      <c r="AU170" s="88" t="str">
        <f>IF(全车数据表!BP171="","",全车数据表!BP171)</f>
        <v/>
      </c>
      <c r="AV170" s="88" t="str">
        <f>IF(全车数据表!BQ171="","",全车数据表!BQ171)</f>
        <v>豹纹车贴</v>
      </c>
      <c r="AW170" s="88" t="str">
        <f>IF(全车数据表!BR171="","",全车数据表!BR171)</f>
        <v/>
      </c>
      <c r="AX170" s="88" t="str">
        <f>IF(全车数据表!BS171="","",全车数据表!BS171)</f>
        <v/>
      </c>
      <c r="AY170" s="88" t="str">
        <f>IF(全车数据表!BT171="","",全车数据表!BT171)</f>
        <v/>
      </c>
      <c r="AZ170" s="88" t="str">
        <f>IF(全车数据表!BU171="","",全车数据表!BU171)</f>
        <v/>
      </c>
      <c r="BA170" s="88" t="str">
        <f>IF(全车数据表!BV171="","",全车数据表!BV171)</f>
        <v>大捷豹 cx75</v>
      </c>
      <c r="BB170" s="91" t="str">
        <f>IF(全车数据表!AZ171="","",全车数据表!AZ171)</f>
        <v/>
      </c>
    </row>
    <row r="171" spans="1:54">
      <c r="A171" s="88">
        <f>全车数据表!A172</f>
        <v>170</v>
      </c>
      <c r="B171" s="88" t="str">
        <f>全车数据表!B172</f>
        <v>Chevrolet Corvette Grand Sport</v>
      </c>
      <c r="C171" s="89" t="str">
        <f>全车数据表!E172</f>
        <v>cgs</v>
      </c>
      <c r="D171" s="88" t="str">
        <f>IF(全车数据表!D172="","",全车数据表!D172)</f>
        <v>Chevrolet Corvette</v>
      </c>
      <c r="E171" s="89" t="str">
        <f>全车数据表!H172</f>
        <v>1.4</v>
      </c>
      <c r="F171" s="89" t="str">
        <f>全车数据表!C172</f>
        <v>五菱</v>
      </c>
      <c r="G171" s="89" t="str">
        <f>全车数据表!F172</f>
        <v>A</v>
      </c>
      <c r="H171" s="88">
        <f>LEN(全车数据表!G172)</f>
        <v>5</v>
      </c>
      <c r="I171" s="88" t="str">
        <f>VLOOKUP(全车数据表!P172,辅助计算!A:B,2,FALSE)</f>
        <v>epic</v>
      </c>
      <c r="J171" s="88">
        <f>全车数据表!Q172</f>
        <v>40</v>
      </c>
      <c r="K171" s="88">
        <f>全车数据表!R172</f>
        <v>18</v>
      </c>
      <c r="L171" s="88">
        <f>全车数据表!S172</f>
        <v>21</v>
      </c>
      <c r="M171" s="88">
        <f>全车数据表!T172</f>
        <v>25</v>
      </c>
      <c r="N171" s="88">
        <f>全车数据表!U172</f>
        <v>36</v>
      </c>
      <c r="O171" s="88">
        <f>全车数据表!V172</f>
        <v>0</v>
      </c>
      <c r="P171" s="88">
        <f>全车数据表!J172</f>
        <v>3906</v>
      </c>
      <c r="Q171" s="88">
        <f>全车数据表!K172</f>
        <v>334.6</v>
      </c>
      <c r="R171" s="88">
        <f>全车数据表!L172</f>
        <v>76.55</v>
      </c>
      <c r="S171" s="88">
        <f>全车数据表!M172</f>
        <v>94.52</v>
      </c>
      <c r="T171" s="88">
        <f>全车数据表!N172</f>
        <v>81.88</v>
      </c>
      <c r="U171" s="88">
        <f>全车数据表!O172</f>
        <v>12.03</v>
      </c>
      <c r="V171" s="88">
        <f>全车数据表!AL172</f>
        <v>7546400</v>
      </c>
      <c r="W171" s="88">
        <f>全车数据表!AM172</f>
        <v>30000</v>
      </c>
      <c r="X171" s="88">
        <f>全车数据表!AU172</f>
        <v>4080000</v>
      </c>
      <c r="Y171" s="88">
        <f>全车数据表!AV172</f>
        <v>11626400</v>
      </c>
      <c r="Z171" s="88">
        <f>全车数据表!AN172</f>
        <v>6</v>
      </c>
      <c r="AA171" s="88">
        <f>全车数据表!AP172</f>
        <v>5</v>
      </c>
      <c r="AB171" s="88">
        <f>全车数据表!AR172</f>
        <v>3</v>
      </c>
      <c r="AC171" s="88">
        <f>全车数据表!AW172</f>
        <v>348</v>
      </c>
      <c r="AD171" s="88">
        <f>全车数据表!AX172</f>
        <v>0</v>
      </c>
      <c r="AE171" s="88">
        <f>全车数据表!AY172</f>
        <v>451</v>
      </c>
      <c r="AF171" s="88" t="str">
        <f>IF(全车数据表!BA172="","",全车数据表!BA172)</f>
        <v>旧版寻车</v>
      </c>
      <c r="AG171" s="88" t="str">
        <f>IF(全车数据表!BB172="","",全车数据表!BB172)</f>
        <v/>
      </c>
      <c r="AH171" s="88" t="str">
        <f>IF(全车数据表!BC172="","",全车数据表!BC172)</f>
        <v/>
      </c>
      <c r="AI171" s="88" t="str">
        <f>IF(全车数据表!BD172="","",全车数据表!BD172)</f>
        <v/>
      </c>
      <c r="AJ171" s="88" t="str">
        <f>IF(全车数据表!BE172="","",全车数据表!BE172)</f>
        <v/>
      </c>
      <c r="AK171" s="88" t="str">
        <f>IF(全车数据表!BF172="","",全车数据表!BF172)</f>
        <v/>
      </c>
      <c r="AL171" s="88">
        <f>IF(全车数据表!BG172="","",全车数据表!BG172)</f>
        <v>1</v>
      </c>
      <c r="AM171" s="88" t="str">
        <f>IF(全车数据表!BH172="","",全车数据表!BH172)</f>
        <v/>
      </c>
      <c r="AN171" s="88" t="str">
        <f>IF(全车数据表!BI172="","",全车数据表!BI172)</f>
        <v/>
      </c>
      <c r="AO171" s="88" t="str">
        <f>IF(全车数据表!BJ172="","",全车数据表!BJ172)</f>
        <v/>
      </c>
      <c r="AP171" s="88" t="str">
        <f>IF(全车数据表!BK172="","",全车数据表!BK172)</f>
        <v/>
      </c>
      <c r="AQ171" s="88" t="str">
        <f>IF(全车数据表!BL172="","",全车数据表!BL172)</f>
        <v/>
      </c>
      <c r="AR171" s="88" t="str">
        <f>IF(全车数据表!BM172="","",全车数据表!BM172)</f>
        <v/>
      </c>
      <c r="AS171" s="88" t="str">
        <f>IF(全车数据表!BN172="","",全车数据表!BN172)</f>
        <v/>
      </c>
      <c r="AT171" s="88" t="str">
        <f>IF(全车数据表!BO172="","",全车数据表!BO172)</f>
        <v/>
      </c>
      <c r="AU171" s="88">
        <f>IF(全车数据表!BP172="","",全车数据表!BP172)</f>
        <v>1</v>
      </c>
      <c r="AV171" s="88" t="str">
        <f>IF(全车数据表!BQ172="","",全车数据表!BQ172)</f>
        <v/>
      </c>
      <c r="AW171" s="88">
        <f>IF(全车数据表!BR172="","",全车数据表!BR172)</f>
        <v>1</v>
      </c>
      <c r="AX171" s="88" t="str">
        <f>IF(全车数据表!BS172="","",全车数据表!BS172)</f>
        <v>可开合</v>
      </c>
      <c r="AY171" s="88" t="str">
        <f>IF(全车数据表!BT172="","",全车数据表!BT172)</f>
        <v/>
      </c>
      <c r="AZ171" s="88">
        <f>IF(全车数据表!BU172="","",全车数据表!BU172)</f>
        <v>1</v>
      </c>
      <c r="BA171" s="88" t="str">
        <f>IF(全车数据表!BV172="","",全车数据表!BV172)</f>
        <v>cgs 雪佛兰 克尔维特 五菱</v>
      </c>
      <c r="BB171" s="91" t="str">
        <f>IF(全车数据表!AZ172="","",全车数据表!AZ172)</f>
        <v/>
      </c>
    </row>
    <row r="172" spans="1:54">
      <c r="A172" s="88">
        <f>全车数据表!A173</f>
        <v>171</v>
      </c>
      <c r="B172" s="88" t="str">
        <f>全车数据表!B173</f>
        <v>Arrinera Hussarya 33</v>
      </c>
      <c r="C172" s="89" t="str">
        <f>全车数据表!E173</f>
        <v>33</v>
      </c>
      <c r="D172" s="88" t="str">
        <f>IF(全车数据表!D173="","",全车数据表!D173)</f>
        <v>Arrinera</v>
      </c>
      <c r="E172" s="89" t="str">
        <f>全车数据表!H173</f>
        <v>1.7</v>
      </c>
      <c r="F172" s="89" t="str">
        <f>全车数据表!C173</f>
        <v>33</v>
      </c>
      <c r="G172" s="89" t="str">
        <f>全车数据表!F173</f>
        <v>A</v>
      </c>
      <c r="H172" s="88">
        <f>LEN(全车数据表!G173)</f>
        <v>5</v>
      </c>
      <c r="I172" s="88" t="str">
        <f>VLOOKUP(全车数据表!P173,辅助计算!A:B,2,FALSE)</f>
        <v>epic</v>
      </c>
      <c r="J172" s="88">
        <f>全车数据表!Q173</f>
        <v>35</v>
      </c>
      <c r="K172" s="88">
        <f>全车数据表!R173</f>
        <v>15</v>
      </c>
      <c r="L172" s="88">
        <f>全车数据表!S173</f>
        <v>21</v>
      </c>
      <c r="M172" s="88">
        <f>全车数据表!T173</f>
        <v>24</v>
      </c>
      <c r="N172" s="88">
        <f>全车数据表!U173</f>
        <v>36</v>
      </c>
      <c r="O172" s="88">
        <f>全车数据表!V173</f>
        <v>0</v>
      </c>
      <c r="P172" s="88">
        <f>全车数据表!J173</f>
        <v>3910</v>
      </c>
      <c r="Q172" s="88">
        <f>全车数据表!K173</f>
        <v>352.1</v>
      </c>
      <c r="R172" s="88">
        <f>全车数据表!L173</f>
        <v>78.53</v>
      </c>
      <c r="S172" s="88">
        <f>全车数据表!M173</f>
        <v>59.47</v>
      </c>
      <c r="T172" s="88">
        <f>全车数据表!N173</f>
        <v>47.71</v>
      </c>
      <c r="U172" s="88">
        <f>全车数据表!O173</f>
        <v>4.9000000000000004</v>
      </c>
      <c r="V172" s="88">
        <f>全车数据表!AL173</f>
        <v>7546400</v>
      </c>
      <c r="W172" s="88">
        <f>全车数据表!AM173</f>
        <v>30000</v>
      </c>
      <c r="X172" s="88">
        <f>全车数据表!AU173</f>
        <v>4080000</v>
      </c>
      <c r="Y172" s="88">
        <f>全车数据表!AV173</f>
        <v>11626400</v>
      </c>
      <c r="Z172" s="88">
        <f>全车数据表!AN173</f>
        <v>6</v>
      </c>
      <c r="AA172" s="88">
        <f>全车数据表!AP173</f>
        <v>5</v>
      </c>
      <c r="AB172" s="88">
        <f>全车数据表!AR173</f>
        <v>3</v>
      </c>
      <c r="AC172" s="88">
        <f>全车数据表!AW173</f>
        <v>366</v>
      </c>
      <c r="AD172" s="88">
        <f>全车数据表!AX173</f>
        <v>0</v>
      </c>
      <c r="AE172" s="88">
        <f>全车数据表!AY173</f>
        <v>482</v>
      </c>
      <c r="AF172" s="88" t="str">
        <f>IF(全车数据表!BA173="","",全车数据表!BA173)</f>
        <v>寻车</v>
      </c>
      <c r="AG172" s="88" t="str">
        <f>IF(全车数据表!BB173="","",全车数据表!BB173)</f>
        <v/>
      </c>
      <c r="AH172" s="88" t="str">
        <f>IF(全车数据表!BC173="","",全车数据表!BC173)</f>
        <v/>
      </c>
      <c r="AI172" s="88" t="str">
        <f>IF(全车数据表!BD173="","",全车数据表!BD173)</f>
        <v/>
      </c>
      <c r="AJ172" s="88" t="str">
        <f>IF(全车数据表!BE173="","",全车数据表!BE173)</f>
        <v/>
      </c>
      <c r="AK172" s="88" t="str">
        <f>IF(全车数据表!BF173="","",全车数据表!BF173)</f>
        <v/>
      </c>
      <c r="AL172" s="88">
        <f>IF(全车数据表!BG173="","",全车数据表!BG173)</f>
        <v>1</v>
      </c>
      <c r="AM172" s="88" t="str">
        <f>IF(全车数据表!BH173="","",全车数据表!BH173)</f>
        <v/>
      </c>
      <c r="AN172" s="88" t="str">
        <f>IF(全车数据表!BI173="","",全车数据表!BI173)</f>
        <v/>
      </c>
      <c r="AO172" s="88">
        <f>IF(全车数据表!BJ173="","",全车数据表!BJ173)</f>
        <v>1</v>
      </c>
      <c r="AP172" s="88" t="str">
        <f>IF(全车数据表!BK173="","",全车数据表!BK173)</f>
        <v/>
      </c>
      <c r="AQ172" s="88" t="str">
        <f>IF(全车数据表!BL173="","",全车数据表!BL173)</f>
        <v/>
      </c>
      <c r="AR172" s="88" t="str">
        <f>IF(全车数据表!BM173="","",全车数据表!BM173)</f>
        <v/>
      </c>
      <c r="AS172" s="88" t="str">
        <f>IF(全车数据表!BN173="","",全车数据表!BN173)</f>
        <v/>
      </c>
      <c r="AT172" s="88" t="str">
        <f>IF(全车数据表!BO173="","",全车数据表!BO173)</f>
        <v/>
      </c>
      <c r="AU172" s="88" t="str">
        <f>IF(全车数据表!BP173="","",全车数据表!BP173)</f>
        <v/>
      </c>
      <c r="AV172" s="88" t="str">
        <f>IF(全车数据表!BQ173="","",全车数据表!BQ173)</f>
        <v/>
      </c>
      <c r="AW172" s="88" t="str">
        <f>IF(全车数据表!BR173="","",全车数据表!BR173)</f>
        <v/>
      </c>
      <c r="AX172" s="88" t="str">
        <f>IF(全车数据表!BS173="","",全车数据表!BS173)</f>
        <v/>
      </c>
      <c r="AY172" s="88" t="str">
        <f>IF(全车数据表!BT173="","",全车数据表!BT173)</f>
        <v/>
      </c>
      <c r="AZ172" s="88" t="str">
        <f>IF(全车数据表!BU173="","",全车数据表!BU173)</f>
        <v/>
      </c>
      <c r="BA172" s="88" t="str">
        <f>IF(全车数据表!BV173="","",全车数据表!BV173)</f>
        <v>波兰车</v>
      </c>
      <c r="BB172" s="91" t="str">
        <f>IF(全车数据表!AZ173="","",全车数据表!AZ173)</f>
        <v/>
      </c>
    </row>
    <row r="173" spans="1:54">
      <c r="A173" s="88">
        <f>全车数据表!A174</f>
        <v>172</v>
      </c>
      <c r="B173" s="88" t="str">
        <f>全车数据表!B174</f>
        <v>LEGO Technic Aston Martin Valkyrie</v>
      </c>
      <c r="C173" s="89" t="str">
        <f>全车数据表!E174</f>
        <v>legovalkyrie</v>
      </c>
      <c r="D173" s="88" t="str">
        <f>IF(全车数据表!D174="","",全车数据表!D174)</f>
        <v>LEGO Technic</v>
      </c>
      <c r="E173" s="89" t="str">
        <f>全车数据表!H174</f>
        <v>5.2</v>
      </c>
      <c r="F173" s="89" t="str">
        <f>全车数据表!C174</f>
        <v>乐高女武神</v>
      </c>
      <c r="G173" s="89" t="str">
        <f>全车数据表!F174</f>
        <v>A</v>
      </c>
      <c r="H173" s="88">
        <f>LEN(全车数据表!G174)</f>
        <v>5</v>
      </c>
      <c r="I173" s="88" t="str">
        <f>VLOOKUP(全车数据表!P174,辅助计算!A:B,2,FALSE)</f>
        <v>epic</v>
      </c>
      <c r="J173" s="88">
        <f>全车数据表!Q174</f>
        <v>40</v>
      </c>
      <c r="K173" s="88">
        <f>全车数据表!R174</f>
        <v>33</v>
      </c>
      <c r="L173" s="88">
        <f>全车数据表!S174</f>
        <v>38</v>
      </c>
      <c r="M173" s="88">
        <f>全车数据表!T174</f>
        <v>43</v>
      </c>
      <c r="N173" s="88">
        <f>全车数据表!U174</f>
        <v>48</v>
      </c>
      <c r="O173" s="88">
        <f>全车数据表!V174</f>
        <v>0</v>
      </c>
      <c r="P173" s="88">
        <f>全车数据表!J174</f>
        <v>3920</v>
      </c>
      <c r="Q173" s="88">
        <f>全车数据表!K174</f>
        <v>372.3</v>
      </c>
      <c r="R173" s="88">
        <f>全车数据表!L174</f>
        <v>81.040000000000006</v>
      </c>
      <c r="S173" s="88">
        <f>全车数据表!M174</f>
        <v>65.739999999999995</v>
      </c>
      <c r="T173" s="88">
        <f>全车数据表!N174</f>
        <v>59.77</v>
      </c>
      <c r="U173" s="88">
        <f>全车数据表!O174</f>
        <v>0</v>
      </c>
      <c r="V173" s="88">
        <f>全车数据表!AL174</f>
        <v>5950600</v>
      </c>
      <c r="W173" s="88">
        <f>全车数据表!AM174</f>
        <v>42000</v>
      </c>
      <c r="X173" s="88">
        <f>全车数据表!AU174</f>
        <v>5712000</v>
      </c>
      <c r="Y173" s="88">
        <f>全车数据表!AV174</f>
        <v>11662600</v>
      </c>
      <c r="Z173" s="88">
        <f>全车数据表!AN174</f>
        <v>6</v>
      </c>
      <c r="AA173" s="88">
        <f>全车数据表!AP174</f>
        <v>5</v>
      </c>
      <c r="AB173" s="88">
        <f>全车数据表!AR174</f>
        <v>3</v>
      </c>
      <c r="AC173" s="88">
        <f>全车数据表!AW174</f>
        <v>387</v>
      </c>
      <c r="AD173" s="88">
        <f>全车数据表!AX174</f>
        <v>0</v>
      </c>
      <c r="AE173" s="88">
        <f>全车数据表!AY174</f>
        <v>516</v>
      </c>
      <c r="AF173" s="88" t="str">
        <f>IF(全车数据表!BA174="","",全车数据表!BA174)</f>
        <v>史诗大奖赛</v>
      </c>
      <c r="AG173" s="88" t="str">
        <f>IF(全车数据表!BB174="","",全车数据表!BB174)</f>
        <v/>
      </c>
      <c r="AH173" s="88" t="str">
        <f>IF(全车数据表!BC174="","",全车数据表!BC174)</f>
        <v/>
      </c>
      <c r="AI173" s="88" t="str">
        <f>IF(全车数据表!BD174="","",全车数据表!BD174)</f>
        <v/>
      </c>
      <c r="AJ173" s="88" t="str">
        <f>IF(全车数据表!BE174="","",全车数据表!BE174)</f>
        <v/>
      </c>
      <c r="AK173" s="88" t="str">
        <f>IF(全车数据表!BF174="","",全车数据表!BF174)</f>
        <v/>
      </c>
      <c r="AL173" s="88" t="str">
        <f>IF(全车数据表!BG174="","",全车数据表!BG174)</f>
        <v/>
      </c>
      <c r="AM173" s="88" t="str">
        <f>IF(全车数据表!BH174="","",全车数据表!BH174)</f>
        <v/>
      </c>
      <c r="AN173" s="88" t="str">
        <f>IF(全车数据表!BI174="","",全车数据表!BI174)</f>
        <v/>
      </c>
      <c r="AO173" s="88" t="str">
        <f>IF(全车数据表!BJ174="","",全车数据表!BJ174)</f>
        <v/>
      </c>
      <c r="AP173" s="88" t="str">
        <f>IF(全车数据表!BK174="","",全车数据表!BK174)</f>
        <v/>
      </c>
      <c r="AQ173" s="88" t="str">
        <f>IF(全车数据表!BL174="","",全车数据表!BL174)</f>
        <v/>
      </c>
      <c r="AR173" s="88" t="str">
        <f>IF(全车数据表!BM174="","",全车数据表!BM174)</f>
        <v/>
      </c>
      <c r="AS173" s="88" t="str">
        <f>IF(全车数据表!BN174="","",全车数据表!BN174)</f>
        <v/>
      </c>
      <c r="AT173" s="88" t="str">
        <f>IF(全车数据表!BO174="","",全车数据表!BO174)</f>
        <v/>
      </c>
      <c r="AU173" s="88" t="str">
        <f>IF(全车数据表!BP174="","",全车数据表!BP174)</f>
        <v/>
      </c>
      <c r="AV173" s="88" t="str">
        <f>IF(全车数据表!BQ174="","",全车数据表!BQ174)</f>
        <v/>
      </c>
      <c r="AW173" s="88" t="str">
        <f>IF(全车数据表!BR174="","",全车数据表!BR174)</f>
        <v/>
      </c>
      <c r="AX173" s="88" t="str">
        <f>IF(全车数据表!BS174="","",全车数据表!BS174)</f>
        <v/>
      </c>
      <c r="AY173" s="88" t="str">
        <f>IF(全车数据表!BT174="","",全车数据表!BT174)</f>
        <v/>
      </c>
      <c r="AZ173" s="88" t="str">
        <f>IF(全车数据表!BU174="","",全车数据表!BU174)</f>
        <v/>
      </c>
      <c r="BA173" s="88" t="str">
        <f>IF(全车数据表!BV174="","",全车数据表!BV174)</f>
        <v>阿斯顿马丁</v>
      </c>
      <c r="BB173" s="91" t="str">
        <f>IF(全车数据表!AZ174="","",全车数据表!AZ174)</f>
        <v/>
      </c>
    </row>
    <row r="174" spans="1:54">
      <c r="A174" s="88">
        <f>全车数据表!A175</f>
        <v>173</v>
      </c>
      <c r="B174" s="88" t="str">
        <f>全车数据表!B175</f>
        <v>Apex AP-0</v>
      </c>
      <c r="C174" s="89" t="str">
        <f>全车数据表!E175</f>
        <v>ap-0</v>
      </c>
      <c r="D174" s="88" t="str">
        <f>IF(全车数据表!D175="","",全车数据表!D175)</f>
        <v>Apex</v>
      </c>
      <c r="E174" s="89" t="str">
        <f>全车数据表!H175</f>
        <v>2.5</v>
      </c>
      <c r="F174" s="89" t="str">
        <f>全车数据表!C175</f>
        <v>AP-0</v>
      </c>
      <c r="G174" s="89" t="str">
        <f>全车数据表!F175</f>
        <v>A</v>
      </c>
      <c r="H174" s="88">
        <f>LEN(全车数据表!G175)</f>
        <v>5</v>
      </c>
      <c r="I174" s="88" t="str">
        <f>VLOOKUP(全车数据表!P175,辅助计算!A:B,2,FALSE)</f>
        <v>epic</v>
      </c>
      <c r="J174" s="88">
        <f>全车数据表!Q175</f>
        <v>35</v>
      </c>
      <c r="K174" s="88">
        <f>全车数据表!R175</f>
        <v>30</v>
      </c>
      <c r="L174" s="88">
        <f>全车数据表!S175</f>
        <v>35</v>
      </c>
      <c r="M174" s="88">
        <f>全车数据表!T175</f>
        <v>42</v>
      </c>
      <c r="N174" s="88">
        <f>全车数据表!U175</f>
        <v>48</v>
      </c>
      <c r="O174" s="88">
        <f>全车数据表!V175</f>
        <v>0</v>
      </c>
      <c r="P174" s="88">
        <f>全车数据表!J175</f>
        <v>3922</v>
      </c>
      <c r="Q174" s="88">
        <f>全车数据表!K175</f>
        <v>334.8</v>
      </c>
      <c r="R174" s="88">
        <f>全车数据表!L175</f>
        <v>80.83</v>
      </c>
      <c r="S174" s="88">
        <f>全车数据表!M175</f>
        <v>89.1</v>
      </c>
      <c r="T174" s="88">
        <f>全车数据表!N175</f>
        <v>74.95</v>
      </c>
      <c r="U174" s="88">
        <f>全车数据表!O175</f>
        <v>0</v>
      </c>
      <c r="V174" s="88">
        <f>全车数据表!AL175</f>
        <v>7546400</v>
      </c>
      <c r="W174" s="88">
        <f>全车数据表!AM175</f>
        <v>30000</v>
      </c>
      <c r="X174" s="88">
        <f>全车数据表!AU175</f>
        <v>4080000</v>
      </c>
      <c r="Y174" s="88">
        <f>全车数据表!AV175</f>
        <v>11626400</v>
      </c>
      <c r="Z174" s="88">
        <f>全车数据表!AN175</f>
        <v>6</v>
      </c>
      <c r="AA174" s="88">
        <f>全车数据表!AP175</f>
        <v>5</v>
      </c>
      <c r="AB174" s="88">
        <f>全车数据表!AR175</f>
        <v>3</v>
      </c>
      <c r="AC174" s="88">
        <f>全车数据表!AW175</f>
        <v>349</v>
      </c>
      <c r="AD174" s="88">
        <f>全车数据表!AX175</f>
        <v>358</v>
      </c>
      <c r="AE174" s="88">
        <f>全车数据表!AY175</f>
        <v>465</v>
      </c>
      <c r="AF174" s="88" t="str">
        <f>IF(全车数据表!BA175="","",全车数据表!BA175)</f>
        <v>寻车</v>
      </c>
      <c r="AG174" s="88" t="str">
        <f>IF(全车数据表!BB175="","",全车数据表!BB175)</f>
        <v/>
      </c>
      <c r="AH174" s="88" t="str">
        <f>IF(全车数据表!BC175="","",全车数据表!BC175)</f>
        <v/>
      </c>
      <c r="AI174" s="88" t="str">
        <f>IF(全车数据表!BD175="","",全车数据表!BD175)</f>
        <v/>
      </c>
      <c r="AJ174" s="88" t="str">
        <f>IF(全车数据表!BE175="","",全车数据表!BE175)</f>
        <v/>
      </c>
      <c r="AK174" s="88" t="str">
        <f>IF(全车数据表!BF175="","",全车数据表!BF175)</f>
        <v/>
      </c>
      <c r="AL174" s="88">
        <f>IF(全车数据表!BG175="","",全车数据表!BG175)</f>
        <v>1</v>
      </c>
      <c r="AM174" s="88" t="str">
        <f>IF(全车数据表!BH175="","",全车数据表!BH175)</f>
        <v/>
      </c>
      <c r="AN174" s="88" t="str">
        <f>IF(全车数据表!BI175="","",全车数据表!BI175)</f>
        <v/>
      </c>
      <c r="AO174" s="88">
        <f>IF(全车数据表!BJ175="","",全车数据表!BJ175)</f>
        <v>1</v>
      </c>
      <c r="AP174" s="88" t="str">
        <f>IF(全车数据表!BK175="","",全车数据表!BK175)</f>
        <v/>
      </c>
      <c r="AQ174" s="88" t="str">
        <f>IF(全车数据表!BL175="","",全车数据表!BL175)</f>
        <v/>
      </c>
      <c r="AR174" s="88" t="str">
        <f>IF(全车数据表!BM175="","",全车数据表!BM175)</f>
        <v/>
      </c>
      <c r="AS174" s="88" t="str">
        <f>IF(全车数据表!BN175="","",全车数据表!BN175)</f>
        <v/>
      </c>
      <c r="AT174" s="88" t="str">
        <f>IF(全车数据表!BO175="","",全车数据表!BO175)</f>
        <v/>
      </c>
      <c r="AU174" s="88" t="str">
        <f>IF(全车数据表!BP175="","",全车数据表!BP175)</f>
        <v/>
      </c>
      <c r="AV174" s="88" t="str">
        <f>IF(全车数据表!BQ175="","",全车数据表!BQ175)</f>
        <v>1款</v>
      </c>
      <c r="AW174" s="88" t="str">
        <f>IF(全车数据表!BR175="","",全车数据表!BR175)</f>
        <v/>
      </c>
      <c r="AX174" s="88" t="str">
        <f>IF(全车数据表!BS175="","",全车数据表!BS175)</f>
        <v/>
      </c>
      <c r="AY174" s="88" t="str">
        <f>IF(全车数据表!BT175="","",全车数据表!BT175)</f>
        <v/>
      </c>
      <c r="AZ174" s="88" t="str">
        <f>IF(全车数据表!BU175="","",全车数据表!BU175)</f>
        <v/>
      </c>
      <c r="BA174" s="88" t="str">
        <f>IF(全车数据表!BV175="","",全车数据表!BV175)</f>
        <v/>
      </c>
      <c r="BB174" s="91" t="str">
        <f>IF(全车数据表!AZ175="","",全车数据表!AZ175)</f>
        <v/>
      </c>
    </row>
    <row r="175" spans="1:54">
      <c r="A175" s="88">
        <f>全车数据表!A176</f>
        <v>174</v>
      </c>
      <c r="B175" s="88" t="str">
        <f>全车数据表!B176</f>
        <v>Lamborghini Murcielago LP 640 Roadster</v>
      </c>
      <c r="C175" s="89" t="str">
        <f>全车数据表!E176</f>
        <v>murcielago</v>
      </c>
      <c r="D175" s="88" t="str">
        <f>IF(全车数据表!D176="","",全车数据表!D176)</f>
        <v>Lamborghini</v>
      </c>
      <c r="E175" s="89" t="str">
        <f>全车数据表!H176</f>
        <v>2.9</v>
      </c>
      <c r="F175" s="89" t="str">
        <f>全车数据表!C176</f>
        <v>蝙蝠</v>
      </c>
      <c r="G175" s="89" t="str">
        <f>全车数据表!F176</f>
        <v>A</v>
      </c>
      <c r="H175" s="88">
        <f>LEN(全车数据表!G176)</f>
        <v>5</v>
      </c>
      <c r="I175" s="88" t="str">
        <f>VLOOKUP(全车数据表!P176,辅助计算!A:B,2,FALSE)</f>
        <v>epic</v>
      </c>
      <c r="J175" s="88">
        <f>全车数据表!Q176</f>
        <v>40</v>
      </c>
      <c r="K175" s="88">
        <f>全车数据表!R176</f>
        <v>33</v>
      </c>
      <c r="L175" s="88">
        <f>全车数据表!S176</f>
        <v>38</v>
      </c>
      <c r="M175" s="88">
        <f>全车数据表!T176</f>
        <v>43</v>
      </c>
      <c r="N175" s="88">
        <f>全车数据表!U176</f>
        <v>48</v>
      </c>
      <c r="O175" s="88">
        <f>全车数据表!V176</f>
        <v>0</v>
      </c>
      <c r="P175" s="88">
        <f>全车数据表!J176</f>
        <v>3924</v>
      </c>
      <c r="Q175" s="88">
        <f>全车数据表!K176</f>
        <v>354</v>
      </c>
      <c r="R175" s="88">
        <f>全车数据表!L176</f>
        <v>77.45</v>
      </c>
      <c r="S175" s="88">
        <f>全车数据表!M176</f>
        <v>66.92</v>
      </c>
      <c r="T175" s="88">
        <f>全车数据表!N176</f>
        <v>61.49</v>
      </c>
      <c r="U175" s="88">
        <f>全车数据表!O176</f>
        <v>0</v>
      </c>
      <c r="V175" s="88">
        <f>全车数据表!AL176</f>
        <v>7546400</v>
      </c>
      <c r="W175" s="88">
        <f>全车数据表!AM176</f>
        <v>30000</v>
      </c>
      <c r="X175" s="88">
        <f>全车数据表!AU176</f>
        <v>4080000</v>
      </c>
      <c r="Y175" s="88">
        <f>全车数据表!AV176</f>
        <v>11626400</v>
      </c>
      <c r="Z175" s="88">
        <f>全车数据表!AN176</f>
        <v>6</v>
      </c>
      <c r="AA175" s="88">
        <f>全车数据表!AP176</f>
        <v>5</v>
      </c>
      <c r="AB175" s="88">
        <f>全车数据表!AR176</f>
        <v>3</v>
      </c>
      <c r="AC175" s="88">
        <f>全车数据表!AW176</f>
        <v>368</v>
      </c>
      <c r="AD175" s="88">
        <f>全车数据表!AX176</f>
        <v>0</v>
      </c>
      <c r="AE175" s="88">
        <f>全车数据表!AY176</f>
        <v>485</v>
      </c>
      <c r="AF175" s="88" t="str">
        <f>IF(全车数据表!BA176="","",全车数据表!BA176)</f>
        <v>通行证</v>
      </c>
      <c r="AG175" s="88" t="str">
        <f>IF(全车数据表!BB176="","",全车数据表!BB176)</f>
        <v/>
      </c>
      <c r="AH175" s="88" t="str">
        <f>IF(全车数据表!BC176="","",全车数据表!BC176)</f>
        <v/>
      </c>
      <c r="AI175" s="88" t="str">
        <f>IF(全车数据表!BD176="","",全车数据表!BD176)</f>
        <v/>
      </c>
      <c r="AJ175" s="88" t="str">
        <f>IF(全车数据表!BE176="","",全车数据表!BE176)</f>
        <v/>
      </c>
      <c r="AK175" s="88" t="str">
        <f>IF(全车数据表!BF176="","",全车数据表!BF176)</f>
        <v/>
      </c>
      <c r="AL175" s="88" t="str">
        <f>IF(全车数据表!BG176="","",全车数据表!BG176)</f>
        <v/>
      </c>
      <c r="AM175" s="88">
        <f>IF(全车数据表!BH176="","",全车数据表!BH176)</f>
        <v>1</v>
      </c>
      <c r="AN175" s="88" t="str">
        <f>IF(全车数据表!BI176="","",全车数据表!BI176)</f>
        <v/>
      </c>
      <c r="AO175" s="88" t="str">
        <f>IF(全车数据表!BJ176="","",全车数据表!BJ176)</f>
        <v/>
      </c>
      <c r="AP175" s="88" t="str">
        <f>IF(全车数据表!BK176="","",全车数据表!BK176)</f>
        <v/>
      </c>
      <c r="AQ175" s="88" t="str">
        <f>IF(全车数据表!BL176="","",全车数据表!BL176)</f>
        <v/>
      </c>
      <c r="AR175" s="88" t="str">
        <f>IF(全车数据表!BM176="","",全车数据表!BM176)</f>
        <v/>
      </c>
      <c r="AS175" s="88" t="str">
        <f>IF(全车数据表!BN176="","",全车数据表!BN176)</f>
        <v/>
      </c>
      <c r="AT175" s="88" t="str">
        <f>IF(全车数据表!BO176="","",全车数据表!BO176)</f>
        <v/>
      </c>
      <c r="AU175" s="88">
        <f>IF(全车数据表!BP176="","",全车数据表!BP176)</f>
        <v>1</v>
      </c>
      <c r="AV175" s="88" t="str">
        <f>IF(全车数据表!BQ176="","",全车数据表!BQ176)</f>
        <v/>
      </c>
      <c r="AW175" s="88" t="str">
        <f>IF(全车数据表!BR176="","",全车数据表!BR176)</f>
        <v/>
      </c>
      <c r="AX175" s="88" t="str">
        <f>IF(全车数据表!BS176="","",全车数据表!BS176)</f>
        <v>无顶</v>
      </c>
      <c r="AY175" s="88" t="str">
        <f>IF(全车数据表!BT176="","",全车数据表!BT176)</f>
        <v/>
      </c>
      <c r="AZ175" s="88">
        <f>IF(全车数据表!BU176="","",全车数据表!BU176)</f>
        <v>1</v>
      </c>
      <c r="BA175" s="88" t="str">
        <f>IF(全车数据表!BV176="","",全车数据表!BV176)</f>
        <v>兰博基尼 蝙蝠</v>
      </c>
      <c r="BB175" s="91">
        <f>IF(全车数据表!AZ176="","",全车数据表!AZ176)</f>
        <v>12</v>
      </c>
    </row>
    <row r="176" spans="1:54">
      <c r="A176" s="88">
        <f>全车数据表!A177</f>
        <v>175</v>
      </c>
      <c r="B176" s="88" t="str">
        <f>全车数据表!B177</f>
        <v>VLF Force 1 V10</v>
      </c>
      <c r="C176" s="89" t="str">
        <f>全车数据表!E177</f>
        <v>1v10</v>
      </c>
      <c r="D176" s="88" t="str">
        <f>IF(全车数据表!D177="","",全车数据表!D177)</f>
        <v>VLF</v>
      </c>
      <c r="E176" s="89" t="str">
        <f>全车数据表!H177</f>
        <v>1.3</v>
      </c>
      <c r="F176" s="89" t="str">
        <f>全车数据表!C177</f>
        <v>VLF</v>
      </c>
      <c r="G176" s="89" t="str">
        <f>全车数据表!F177</f>
        <v>A</v>
      </c>
      <c r="H176" s="88">
        <f>LEN(全车数据表!G177)</f>
        <v>5</v>
      </c>
      <c r="I176" s="88" t="str">
        <f>VLOOKUP(全车数据表!P177,辅助计算!A:B,2,FALSE)</f>
        <v>epic</v>
      </c>
      <c r="J176" s="88">
        <f>全车数据表!Q177</f>
        <v>40</v>
      </c>
      <c r="K176" s="88">
        <f>全车数据表!R177</f>
        <v>18</v>
      </c>
      <c r="L176" s="88">
        <f>全车数据表!S177</f>
        <v>21</v>
      </c>
      <c r="M176" s="88">
        <f>全车数据表!T177</f>
        <v>25</v>
      </c>
      <c r="N176" s="88">
        <f>全车数据表!U177</f>
        <v>36</v>
      </c>
      <c r="O176" s="88">
        <f>全车数据表!V177</f>
        <v>0</v>
      </c>
      <c r="P176" s="88">
        <f>全车数据表!J177</f>
        <v>3929</v>
      </c>
      <c r="Q176" s="88">
        <f>全车数据表!K177</f>
        <v>369.4</v>
      </c>
      <c r="R176" s="88">
        <f>全车数据表!L177</f>
        <v>80.33</v>
      </c>
      <c r="S176" s="88">
        <f>全车数据表!M177</f>
        <v>54.68</v>
      </c>
      <c r="T176" s="88">
        <f>全车数据表!N177</f>
        <v>74.63</v>
      </c>
      <c r="U176" s="88">
        <f>全车数据表!O177</f>
        <v>7.95</v>
      </c>
      <c r="V176" s="88">
        <f>全车数据表!AL177</f>
        <v>0</v>
      </c>
      <c r="W176" s="88">
        <f>全车数据表!AM177</f>
        <v>30000</v>
      </c>
      <c r="X176" s="88">
        <f>全车数据表!AU177</f>
        <v>4080000</v>
      </c>
      <c r="Y176" s="88">
        <f>全车数据表!AV177</f>
        <v>0</v>
      </c>
      <c r="Z176" s="88">
        <f>全车数据表!AN177</f>
        <v>6</v>
      </c>
      <c r="AA176" s="88">
        <f>全车数据表!AP177</f>
        <v>5</v>
      </c>
      <c r="AB176" s="88">
        <f>全车数据表!AR177</f>
        <v>3</v>
      </c>
      <c r="AC176" s="88">
        <f>全车数据表!AW177</f>
        <v>384</v>
      </c>
      <c r="AD176" s="88">
        <f>全车数据表!AX177</f>
        <v>0</v>
      </c>
      <c r="AE176" s="88">
        <f>全车数据表!AY177</f>
        <v>511</v>
      </c>
      <c r="AF176" s="88" t="str">
        <f>IF(全车数据表!BA177="","",全车数据表!BA177)</f>
        <v>独家赛事</v>
      </c>
      <c r="AG176" s="88" t="str">
        <f>IF(全车数据表!BB177="","",全车数据表!BB177)</f>
        <v/>
      </c>
      <c r="AH176" s="88" t="str">
        <f>IF(全车数据表!BC177="","",全车数据表!BC177)</f>
        <v/>
      </c>
      <c r="AI176" s="88" t="str">
        <f>IF(全车数据表!BD177="","",全车数据表!BD177)</f>
        <v/>
      </c>
      <c r="AJ176" s="88" t="str">
        <f>IF(全车数据表!BE177="","",全车数据表!BE177)</f>
        <v/>
      </c>
      <c r="AK176" s="88">
        <f>IF(全车数据表!BF177="","",全车数据表!BF177)</f>
        <v>1</v>
      </c>
      <c r="AL176" s="88" t="str">
        <f>IF(全车数据表!BG177="","",全车数据表!BG177)</f>
        <v/>
      </c>
      <c r="AM176" s="88" t="str">
        <f>IF(全车数据表!BH177="","",全车数据表!BH177)</f>
        <v/>
      </c>
      <c r="AN176" s="88" t="str">
        <f>IF(全车数据表!BI177="","",全车数据表!BI177)</f>
        <v/>
      </c>
      <c r="AO176" s="88" t="str">
        <f>IF(全车数据表!BJ177="","",全车数据表!BJ177)</f>
        <v/>
      </c>
      <c r="AP176" s="88" t="str">
        <f>IF(全车数据表!BK177="","",全车数据表!BK177)</f>
        <v/>
      </c>
      <c r="AQ176" s="88" t="str">
        <f>IF(全车数据表!BL177="","",全车数据表!BL177)</f>
        <v/>
      </c>
      <c r="AR176" s="88" t="str">
        <f>IF(全车数据表!BM177="","",全车数据表!BM177)</f>
        <v/>
      </c>
      <c r="AS176" s="88" t="str">
        <f>IF(全车数据表!BN177="","",全车数据表!BN177)</f>
        <v/>
      </c>
      <c r="AT176" s="88" t="str">
        <f>IF(全车数据表!BO177="","",全车数据表!BO177)</f>
        <v/>
      </c>
      <c r="AU176" s="88" t="str">
        <f>IF(全车数据表!BP177="","",全车数据表!BP177)</f>
        <v/>
      </c>
      <c r="AV176" s="88" t="str">
        <f>IF(全车数据表!BQ177="","",全车数据表!BQ177)</f>
        <v/>
      </c>
      <c r="AW176" s="88" t="str">
        <f>IF(全车数据表!BR177="","",全车数据表!BR177)</f>
        <v/>
      </c>
      <c r="AX176" s="88" t="str">
        <f>IF(全车数据表!BS177="","",全车数据表!BS177)</f>
        <v/>
      </c>
      <c r="AY176" s="88" t="str">
        <f>IF(全车数据表!BT177="","",全车数据表!BT177)</f>
        <v/>
      </c>
      <c r="AZ176" s="88" t="str">
        <f>IF(全车数据表!BU177="","",全车数据表!BU177)</f>
        <v/>
      </c>
      <c r="BA176" s="88" t="str">
        <f>IF(全车数据表!BV177="","",全车数据表!BV177)</f>
        <v>叶问 1v10 甄子丹</v>
      </c>
      <c r="BB176" s="91" t="str">
        <f>IF(全车数据表!AZ177="","",全车数据表!AZ177)</f>
        <v/>
      </c>
    </row>
    <row r="177" spans="1:54">
      <c r="A177" s="88">
        <f>全车数据表!A178</f>
        <v>176</v>
      </c>
      <c r="B177" s="88" t="str">
        <f>全车数据表!B178</f>
        <v>Ferrari 812 SuperFast</v>
      </c>
      <c r="C177" s="89" t="str">
        <f>全车数据表!E178</f>
        <v>812</v>
      </c>
      <c r="D177" s="88" t="str">
        <f>IF(全车数据表!D178="","",全车数据表!D178)</f>
        <v>Ferrari</v>
      </c>
      <c r="E177" s="89" t="str">
        <f>全车数据表!H178</f>
        <v>1.8</v>
      </c>
      <c r="F177" s="89" t="str">
        <f>全车数据表!C178</f>
        <v>812</v>
      </c>
      <c r="G177" s="89" t="str">
        <f>全车数据表!F178</f>
        <v>A</v>
      </c>
      <c r="H177" s="88">
        <f>LEN(全车数据表!G178)</f>
        <v>5</v>
      </c>
      <c r="I177" s="88" t="str">
        <f>VLOOKUP(全车数据表!P178,辅助计算!A:B,2,FALSE)</f>
        <v>epic</v>
      </c>
      <c r="J177" s="88">
        <f>全车数据表!Q178</f>
        <v>35</v>
      </c>
      <c r="K177" s="88">
        <f>全车数据表!R178</f>
        <v>30</v>
      </c>
      <c r="L177" s="88">
        <f>全车数据表!S178</f>
        <v>35</v>
      </c>
      <c r="M177" s="88">
        <f>全车数据表!T178</f>
        <v>42</v>
      </c>
      <c r="N177" s="88">
        <f>全车数据表!U178</f>
        <v>48</v>
      </c>
      <c r="O177" s="88">
        <f>全车数据表!V178</f>
        <v>0</v>
      </c>
      <c r="P177" s="88">
        <f>全车数据表!J178</f>
        <v>3941</v>
      </c>
      <c r="Q177" s="88">
        <f>全车数据表!K178</f>
        <v>354</v>
      </c>
      <c r="R177" s="88">
        <f>全车数据表!L178</f>
        <v>81.13</v>
      </c>
      <c r="S177" s="88">
        <f>全车数据表!M178</f>
        <v>63.17</v>
      </c>
      <c r="T177" s="88">
        <f>全车数据表!N178</f>
        <v>74.33</v>
      </c>
      <c r="U177" s="88">
        <f>全车数据表!O178</f>
        <v>8.1999999999999993</v>
      </c>
      <c r="V177" s="88">
        <f>全车数据表!AL178</f>
        <v>7546400</v>
      </c>
      <c r="W177" s="88">
        <f>全车数据表!AM178</f>
        <v>30000</v>
      </c>
      <c r="X177" s="88">
        <f>全车数据表!AU178</f>
        <v>4080000</v>
      </c>
      <c r="Y177" s="88">
        <f>全车数据表!AV178</f>
        <v>11626400</v>
      </c>
      <c r="Z177" s="88">
        <f>全车数据表!AN178</f>
        <v>6</v>
      </c>
      <c r="AA177" s="88">
        <f>全车数据表!AP178</f>
        <v>5</v>
      </c>
      <c r="AB177" s="88">
        <f>全车数据表!AR178</f>
        <v>3</v>
      </c>
      <c r="AC177" s="88">
        <f>全车数据表!AW178</f>
        <v>368</v>
      </c>
      <c r="AD177" s="88">
        <f>全车数据表!AX178</f>
        <v>0</v>
      </c>
      <c r="AE177" s="88">
        <f>全车数据表!AY178</f>
        <v>485</v>
      </c>
      <c r="AF177" s="88" t="str">
        <f>IF(全车数据表!BA178="","",全车数据表!BA178)</f>
        <v>旧版寻车</v>
      </c>
      <c r="AG177" s="88" t="str">
        <f>IF(全车数据表!BB178="","",全车数据表!BB178)</f>
        <v/>
      </c>
      <c r="AH177" s="88" t="str">
        <f>IF(全车数据表!BC178="","",全车数据表!BC178)</f>
        <v/>
      </c>
      <c r="AI177" s="88" t="str">
        <f>IF(全车数据表!BD178="","",全车数据表!BD178)</f>
        <v/>
      </c>
      <c r="AJ177" s="88">
        <f>IF(全车数据表!BE178="","",全车数据表!BE178)</f>
        <v>1</v>
      </c>
      <c r="AK177" s="88" t="str">
        <f>IF(全车数据表!BF178="","",全车数据表!BF178)</f>
        <v/>
      </c>
      <c r="AL177" s="88">
        <f>IF(全车数据表!BG178="","",全车数据表!BG178)</f>
        <v>1</v>
      </c>
      <c r="AM177" s="88" t="str">
        <f>IF(全车数据表!BH178="","",全车数据表!BH178)</f>
        <v/>
      </c>
      <c r="AN177" s="88" t="str">
        <f>IF(全车数据表!BI178="","",全车数据表!BI178)</f>
        <v/>
      </c>
      <c r="AO177" s="88" t="str">
        <f>IF(全车数据表!BJ178="","",全车数据表!BJ178)</f>
        <v/>
      </c>
      <c r="AP177" s="88" t="str">
        <f>IF(全车数据表!BK178="","",全车数据表!BK178)</f>
        <v/>
      </c>
      <c r="AQ177" s="88" t="str">
        <f>IF(全车数据表!BL178="","",全车数据表!BL178)</f>
        <v/>
      </c>
      <c r="AR177" s="88" t="str">
        <f>IF(全车数据表!BM178="","",全车数据表!BM178)</f>
        <v/>
      </c>
      <c r="AS177" s="88" t="str">
        <f>IF(全车数据表!BN178="","",全车数据表!BN178)</f>
        <v/>
      </c>
      <c r="AT177" s="88" t="str">
        <f>IF(全车数据表!BO178="","",全车数据表!BO178)</f>
        <v/>
      </c>
      <c r="AU177" s="88" t="str">
        <f>IF(全车数据表!BP178="","",全车数据表!BP178)</f>
        <v/>
      </c>
      <c r="AV177" s="88" t="str">
        <f>IF(全车数据表!BQ178="","",全车数据表!BQ178)</f>
        <v/>
      </c>
      <c r="AW177" s="88" t="str">
        <f>IF(全车数据表!BR178="","",全车数据表!BR178)</f>
        <v/>
      </c>
      <c r="AX177" s="88" t="str">
        <f>IF(全车数据表!BS178="","",全车数据表!BS178)</f>
        <v/>
      </c>
      <c r="AY177" s="88" t="str">
        <f>IF(全车数据表!BT178="","",全车数据表!BT178)</f>
        <v/>
      </c>
      <c r="AZ177" s="88">
        <f>IF(全车数据表!BU178="","",全车数据表!BU178)</f>
        <v>1</v>
      </c>
      <c r="BA177" s="88" t="str">
        <f>IF(全车数据表!BV178="","",全车数据表!BV178)</f>
        <v>法拉利 超级快 超快 超速</v>
      </c>
      <c r="BB177" s="91">
        <f>IF(全车数据表!AZ178="","",全车数据表!AZ178)</f>
        <v>14</v>
      </c>
    </row>
    <row r="178" spans="1:54">
      <c r="A178" s="88">
        <f>全车数据表!A179</f>
        <v>177</v>
      </c>
      <c r="B178" s="88" t="str">
        <f>全车数据表!B179</f>
        <v>Apollo IE</v>
      </c>
      <c r="C178" s="89" t="str">
        <f>全车数据表!E179</f>
        <v>ie</v>
      </c>
      <c r="D178" s="88" t="str">
        <f>IF(全车数据表!D179="","",全车数据表!D179)</f>
        <v>Apollo</v>
      </c>
      <c r="E178" s="89" t="str">
        <f>全车数据表!H179</f>
        <v>2.7</v>
      </c>
      <c r="F178" s="89" t="str">
        <f>全车数据表!C179</f>
        <v>IE</v>
      </c>
      <c r="G178" s="89" t="str">
        <f>全车数据表!F179</f>
        <v>A</v>
      </c>
      <c r="H178" s="88">
        <f>LEN(全车数据表!G179)</f>
        <v>5</v>
      </c>
      <c r="I178" s="88" t="str">
        <f>VLOOKUP(全车数据表!P179,辅助计算!A:B,2,FALSE)</f>
        <v>epic</v>
      </c>
      <c r="J178" s="88">
        <f>全车数据表!Q179</f>
        <v>40</v>
      </c>
      <c r="K178" s="88">
        <f>全车数据表!R179</f>
        <v>33</v>
      </c>
      <c r="L178" s="88">
        <f>全车数据表!S179</f>
        <v>38</v>
      </c>
      <c r="M178" s="88">
        <f>全车数据表!T179</f>
        <v>43</v>
      </c>
      <c r="N178" s="88">
        <f>全车数据表!U179</f>
        <v>48</v>
      </c>
      <c r="O178" s="88">
        <f>全车数据表!V179</f>
        <v>0</v>
      </c>
      <c r="P178" s="88">
        <f>全车数据表!J179</f>
        <v>3946</v>
      </c>
      <c r="Q178" s="88">
        <f>全车数据表!K179</f>
        <v>348</v>
      </c>
      <c r="R178" s="88">
        <f>全车数据表!L179</f>
        <v>84.58</v>
      </c>
      <c r="S178" s="88">
        <f>全车数据表!M179</f>
        <v>72.819999999999993</v>
      </c>
      <c r="T178" s="88">
        <f>全车数据表!N179</f>
        <v>68.900000000000006</v>
      </c>
      <c r="U178" s="88">
        <f>全车数据表!O179</f>
        <v>0</v>
      </c>
      <c r="V178" s="88">
        <f>全车数据表!AL179</f>
        <v>7546400</v>
      </c>
      <c r="W178" s="88">
        <f>全车数据表!AM179</f>
        <v>30000</v>
      </c>
      <c r="X178" s="88">
        <f>全车数据表!AU179</f>
        <v>4080000</v>
      </c>
      <c r="Y178" s="88">
        <f>全车数据表!AV179</f>
        <v>11626400</v>
      </c>
      <c r="Z178" s="88">
        <f>全车数据表!AN179</f>
        <v>6</v>
      </c>
      <c r="AA178" s="88">
        <f>全车数据表!AP179</f>
        <v>5</v>
      </c>
      <c r="AB178" s="88">
        <f>全车数据表!AR179</f>
        <v>3</v>
      </c>
      <c r="AC178" s="88">
        <f>全车数据表!AW179</f>
        <v>362</v>
      </c>
      <c r="AD178" s="88">
        <f>全车数据表!AX179</f>
        <v>0</v>
      </c>
      <c r="AE178" s="88">
        <f>全车数据表!AY179</f>
        <v>475</v>
      </c>
      <c r="AF178" s="88" t="str">
        <f>IF(全车数据表!BA179="","",全车数据表!BA179)</f>
        <v>通行证</v>
      </c>
      <c r="AG178" s="88" t="str">
        <f>IF(全车数据表!BB179="","",全车数据表!BB179)</f>
        <v/>
      </c>
      <c r="AH178" s="88" t="str">
        <f>IF(全车数据表!BC179="","",全车数据表!BC179)</f>
        <v/>
      </c>
      <c r="AI178" s="88" t="str">
        <f>IF(全车数据表!BD179="","",全车数据表!BD179)</f>
        <v/>
      </c>
      <c r="AJ178" s="88">
        <f>IF(全车数据表!BE179="","",全车数据表!BE179)</f>
        <v>1</v>
      </c>
      <c r="AK178" s="88" t="str">
        <f>IF(全车数据表!BF179="","",全车数据表!BF179)</f>
        <v/>
      </c>
      <c r="AL178" s="88" t="str">
        <f>IF(全车数据表!BG179="","",全车数据表!BG179)</f>
        <v/>
      </c>
      <c r="AM178" s="88">
        <f>IF(全车数据表!BH179="","",全车数据表!BH179)</f>
        <v>1</v>
      </c>
      <c r="AN178" s="88" t="str">
        <f>IF(全车数据表!BI179="","",全车数据表!BI179)</f>
        <v/>
      </c>
      <c r="AO178" s="88">
        <f>IF(全车数据表!BJ179="","",全车数据表!BJ179)</f>
        <v>1</v>
      </c>
      <c r="AP178" s="88" t="str">
        <f>IF(全车数据表!BK179="","",全车数据表!BK179)</f>
        <v/>
      </c>
      <c r="AQ178" s="88" t="str">
        <f>IF(全车数据表!BL179="","",全车数据表!BL179)</f>
        <v/>
      </c>
      <c r="AR178" s="88" t="str">
        <f>IF(全车数据表!BM179="","",全车数据表!BM179)</f>
        <v/>
      </c>
      <c r="AS178" s="88" t="str">
        <f>IF(全车数据表!BN179="","",全车数据表!BN179)</f>
        <v/>
      </c>
      <c r="AT178" s="88" t="str">
        <f>IF(全车数据表!BO179="","",全车数据表!BO179)</f>
        <v/>
      </c>
      <c r="AU178" s="88">
        <f>IF(全车数据表!BP179="","",全车数据表!BP179)</f>
        <v>1</v>
      </c>
      <c r="AV178" s="88" t="str">
        <f>IF(全车数据表!BQ179="","",全车数据表!BQ179)</f>
        <v>1款</v>
      </c>
      <c r="AW178" s="88" t="str">
        <f>IF(全车数据表!BR179="","",全车数据表!BR179)</f>
        <v/>
      </c>
      <c r="AX178" s="88" t="str">
        <f>IF(全车数据表!BS179="","",全车数据表!BS179)</f>
        <v/>
      </c>
      <c r="AY178" s="88" t="str">
        <f>IF(全车数据表!BT179="","",全车数据表!BT179)</f>
        <v/>
      </c>
      <c r="AZ178" s="88">
        <f>IF(全车数据表!BU179="","",全车数据表!BU179)</f>
        <v>1</v>
      </c>
      <c r="BA178" s="88" t="str">
        <f>IF(全车数据表!BV179="","",全车数据表!BV179)</f>
        <v>阿波罗 菠萝</v>
      </c>
      <c r="BB178" s="91" t="str">
        <f>IF(全车数据表!AZ179="","",全车数据表!AZ179)</f>
        <v/>
      </c>
    </row>
    <row r="179" spans="1:54">
      <c r="A179" s="88">
        <f>全车数据表!A180</f>
        <v>178</v>
      </c>
      <c r="B179" s="88" t="str">
        <f>全车数据表!B180</f>
        <v>Sin R1 550</v>
      </c>
      <c r="C179" s="89" t="str">
        <f>全车数据表!E180</f>
        <v>550</v>
      </c>
      <c r="D179" s="88" t="str">
        <f>IF(全车数据表!D180="","",全车数据表!D180)</f>
        <v>Sin</v>
      </c>
      <c r="E179" s="89" t="str">
        <f>全车数据表!H180</f>
        <v>1.7</v>
      </c>
      <c r="F179" s="89" t="str">
        <f>全车数据表!C180</f>
        <v>SIN</v>
      </c>
      <c r="G179" s="89" t="str">
        <f>全车数据表!F180</f>
        <v>A</v>
      </c>
      <c r="H179" s="88">
        <f>LEN(全车数据表!G180)</f>
        <v>5</v>
      </c>
      <c r="I179" s="88" t="str">
        <f>VLOOKUP(全车数据表!P180,辅助计算!A:B,2,FALSE)</f>
        <v>epic</v>
      </c>
      <c r="J179" s="88">
        <f>全车数据表!Q180</f>
        <v>40</v>
      </c>
      <c r="K179" s="88">
        <f>全车数据表!R180</f>
        <v>18</v>
      </c>
      <c r="L179" s="88">
        <f>全车数据表!S180</f>
        <v>21</v>
      </c>
      <c r="M179" s="88">
        <f>全车数据表!T180</f>
        <v>25</v>
      </c>
      <c r="N179" s="88">
        <f>全车数据表!U180</f>
        <v>36</v>
      </c>
      <c r="O179" s="88">
        <f>全车数据表!V180</f>
        <v>0</v>
      </c>
      <c r="P179" s="88">
        <f>全车数据表!J180</f>
        <v>3950</v>
      </c>
      <c r="Q179" s="88">
        <f>全车数据表!K180</f>
        <v>368.3</v>
      </c>
      <c r="R179" s="88">
        <f>全车数据表!L180</f>
        <v>77.040000000000006</v>
      </c>
      <c r="S179" s="88">
        <f>全车数据表!M180</f>
        <v>45.58</v>
      </c>
      <c r="T179" s="88">
        <f>全车数据表!N180</f>
        <v>74.13</v>
      </c>
      <c r="U179" s="88">
        <f>全车数据表!O180</f>
        <v>7.85</v>
      </c>
      <c r="V179" s="88">
        <f>全车数据表!AL180</f>
        <v>7546400</v>
      </c>
      <c r="W179" s="88">
        <f>全车数据表!AM180</f>
        <v>30000</v>
      </c>
      <c r="X179" s="88">
        <f>全车数据表!AU180</f>
        <v>4080000</v>
      </c>
      <c r="Y179" s="88">
        <f>全车数据表!AV180</f>
        <v>11626400</v>
      </c>
      <c r="Z179" s="88">
        <f>全车数据表!AN180</f>
        <v>6</v>
      </c>
      <c r="AA179" s="88">
        <f>全车数据表!AP180</f>
        <v>5</v>
      </c>
      <c r="AB179" s="88">
        <f>全车数据表!AR180</f>
        <v>3</v>
      </c>
      <c r="AC179" s="88">
        <f>全车数据表!AW180</f>
        <v>383</v>
      </c>
      <c r="AD179" s="88">
        <f>全车数据表!AX180</f>
        <v>0</v>
      </c>
      <c r="AE179" s="88">
        <f>全车数据表!AY180</f>
        <v>509</v>
      </c>
      <c r="AF179" s="88" t="str">
        <f>IF(全车数据表!BA180="","",全车数据表!BA180)</f>
        <v>寻车</v>
      </c>
      <c r="AG179" s="88" t="str">
        <f>IF(全车数据表!BB180="","",全车数据表!BB180)</f>
        <v/>
      </c>
      <c r="AH179" s="88" t="str">
        <f>IF(全车数据表!BC180="","",全车数据表!BC180)</f>
        <v/>
      </c>
      <c r="AI179" s="88">
        <f>IF(全车数据表!BD180="","",全车数据表!BD180)</f>
        <v>1</v>
      </c>
      <c r="AJ179" s="88" t="str">
        <f>IF(全车数据表!BE180="","",全车数据表!BE180)</f>
        <v/>
      </c>
      <c r="AK179" s="88" t="str">
        <f>IF(全车数据表!BF180="","",全车数据表!BF180)</f>
        <v/>
      </c>
      <c r="AL179" s="88">
        <f>IF(全车数据表!BG180="","",全车数据表!BG180)</f>
        <v>1</v>
      </c>
      <c r="AM179" s="88" t="str">
        <f>IF(全车数据表!BH180="","",全车数据表!BH180)</f>
        <v/>
      </c>
      <c r="AN179" s="88" t="str">
        <f>IF(全车数据表!BI180="","",全车数据表!BI180)</f>
        <v/>
      </c>
      <c r="AO179" s="88" t="str">
        <f>IF(全车数据表!BJ180="","",全车数据表!BJ180)</f>
        <v/>
      </c>
      <c r="AP179" s="88" t="str">
        <f>IF(全车数据表!BK180="","",全车数据表!BK180)</f>
        <v/>
      </c>
      <c r="AQ179" s="88" t="str">
        <f>IF(全车数据表!BL180="","",全车数据表!BL180)</f>
        <v/>
      </c>
      <c r="AR179" s="88" t="str">
        <f>IF(全车数据表!BM180="","",全车数据表!BM180)</f>
        <v/>
      </c>
      <c r="AS179" s="88" t="str">
        <f>IF(全车数据表!BN180="","",全车数据表!BN180)</f>
        <v/>
      </c>
      <c r="AT179" s="88" t="str">
        <f>IF(全车数据表!BO180="","",全车数据表!BO180)</f>
        <v/>
      </c>
      <c r="AU179" s="88" t="str">
        <f>IF(全车数据表!BP180="","",全车数据表!BP180)</f>
        <v/>
      </c>
      <c r="AV179" s="88" t="str">
        <f>IF(全车数据表!BQ180="","",全车数据表!BQ180)</f>
        <v/>
      </c>
      <c r="AW179" s="88" t="str">
        <f>IF(全车数据表!BR180="","",全车数据表!BR180)</f>
        <v/>
      </c>
      <c r="AX179" s="88" t="str">
        <f>IF(全车数据表!BS180="","",全车数据表!BS180)</f>
        <v/>
      </c>
      <c r="AY179" s="88" t="str">
        <f>IF(全车数据表!BT180="","",全车数据表!BT180)</f>
        <v/>
      </c>
      <c r="AZ179" s="88">
        <f>IF(全车数据表!BU180="","",全车数据表!BU180)</f>
        <v>1</v>
      </c>
      <c r="BA179" s="88" t="str">
        <f>IF(全车数据表!BV180="","",全车数据表!BV180)</f>
        <v/>
      </c>
      <c r="BB179" s="91">
        <f>IF(全车数据表!AZ180="","",全车数据表!AZ180)</f>
        <v>11</v>
      </c>
    </row>
    <row r="180" spans="1:54">
      <c r="A180" s="88">
        <f>全车数据表!A181</f>
        <v>179</v>
      </c>
      <c r="B180" s="88" t="str">
        <f>全车数据表!B181</f>
        <v>Aston Martin Vantage GT12</v>
      </c>
      <c r="C180" s="89" t="str">
        <f>全车数据表!E181</f>
        <v>gt12</v>
      </c>
      <c r="D180" s="88" t="str">
        <f>IF(全车数据表!D181="","",全车数据表!D181)</f>
        <v>Aston Martin</v>
      </c>
      <c r="E180" s="89" t="str">
        <f>全车数据表!H181</f>
        <v>1.8</v>
      </c>
      <c r="F180" s="89" t="str">
        <f>全车数据表!C181</f>
        <v>GT12</v>
      </c>
      <c r="G180" s="89" t="str">
        <f>全车数据表!F181</f>
        <v>A</v>
      </c>
      <c r="H180" s="88">
        <f>LEN(全车数据表!G181)</f>
        <v>5</v>
      </c>
      <c r="I180" s="88" t="str">
        <f>VLOOKUP(全车数据表!P181,辅助计算!A:B,2,FALSE)</f>
        <v>epic</v>
      </c>
      <c r="J180" s="88">
        <f>全车数据表!Q181</f>
        <v>35</v>
      </c>
      <c r="K180" s="88">
        <f>全车数据表!R181</f>
        <v>15</v>
      </c>
      <c r="L180" s="88">
        <f>全车数据表!S181</f>
        <v>21</v>
      </c>
      <c r="M180" s="88">
        <f>全车数据表!T181</f>
        <v>24</v>
      </c>
      <c r="N180" s="88">
        <f>全车数据表!U181</f>
        <v>36</v>
      </c>
      <c r="O180" s="88">
        <f>全车数据表!V181</f>
        <v>0</v>
      </c>
      <c r="P180" s="88">
        <f>全车数据表!J181</f>
        <v>3958</v>
      </c>
      <c r="Q180" s="88">
        <f>全车数据表!K181</f>
        <v>337.6</v>
      </c>
      <c r="R180" s="88">
        <f>全车数据表!L181</f>
        <v>78.260000000000005</v>
      </c>
      <c r="S180" s="88">
        <f>全车数据表!M181</f>
        <v>86.85</v>
      </c>
      <c r="T180" s="88">
        <f>全车数据表!N181</f>
        <v>80.459999999999994</v>
      </c>
      <c r="U180" s="88">
        <f>全车数据表!O181</f>
        <v>11.13</v>
      </c>
      <c r="V180" s="88">
        <f>全车数据表!AL181</f>
        <v>7546400</v>
      </c>
      <c r="W180" s="88">
        <f>全车数据表!AM181</f>
        <v>30000</v>
      </c>
      <c r="X180" s="88">
        <f>全车数据表!AU181</f>
        <v>4080000</v>
      </c>
      <c r="Y180" s="88">
        <f>全车数据表!AV181</f>
        <v>11626400</v>
      </c>
      <c r="Z180" s="88">
        <f>全车数据表!AN181</f>
        <v>6</v>
      </c>
      <c r="AA180" s="88">
        <f>全车数据表!AP181</f>
        <v>5</v>
      </c>
      <c r="AB180" s="88">
        <f>全车数据表!AR181</f>
        <v>3</v>
      </c>
      <c r="AC180" s="88">
        <f>全车数据表!AW181</f>
        <v>352</v>
      </c>
      <c r="AD180" s="88">
        <f>全车数据表!AX181</f>
        <v>0</v>
      </c>
      <c r="AE180" s="88">
        <f>全车数据表!AY181</f>
        <v>457</v>
      </c>
      <c r="AF180" s="88" t="str">
        <f>IF(全车数据表!BA181="","",全车数据表!BA181)</f>
        <v>旧版寻车</v>
      </c>
      <c r="AG180" s="88" t="str">
        <f>IF(全车数据表!BB181="","",全车数据表!BB181)</f>
        <v/>
      </c>
      <c r="AH180" s="88" t="str">
        <f>IF(全车数据表!BC181="","",全车数据表!BC181)</f>
        <v/>
      </c>
      <c r="AI180" s="88" t="str">
        <f>IF(全车数据表!BD181="","",全车数据表!BD181)</f>
        <v/>
      </c>
      <c r="AJ180" s="88">
        <f>IF(全车数据表!BE181="","",全车数据表!BE181)</f>
        <v>1</v>
      </c>
      <c r="AK180" s="88" t="str">
        <f>IF(全车数据表!BF181="","",全车数据表!BF181)</f>
        <v/>
      </c>
      <c r="AL180" s="88">
        <f>IF(全车数据表!BG181="","",全车数据表!BG181)</f>
        <v>1</v>
      </c>
      <c r="AM180" s="88" t="str">
        <f>IF(全车数据表!BH181="","",全车数据表!BH181)</f>
        <v/>
      </c>
      <c r="AN180" s="88" t="str">
        <f>IF(全车数据表!BI181="","",全车数据表!BI181)</f>
        <v/>
      </c>
      <c r="AO180" s="88" t="str">
        <f>IF(全车数据表!BJ181="","",全车数据表!BJ181)</f>
        <v/>
      </c>
      <c r="AP180" s="88" t="str">
        <f>IF(全车数据表!BK181="","",全车数据表!BK181)</f>
        <v/>
      </c>
      <c r="AQ180" s="88" t="str">
        <f>IF(全车数据表!BL181="","",全车数据表!BL181)</f>
        <v/>
      </c>
      <c r="AR180" s="88" t="str">
        <f>IF(全车数据表!BM181="","",全车数据表!BM181)</f>
        <v/>
      </c>
      <c r="AS180" s="88" t="str">
        <f>IF(全车数据表!BN181="","",全车数据表!BN181)</f>
        <v/>
      </c>
      <c r="AT180" s="88" t="str">
        <f>IF(全车数据表!BO181="","",全车数据表!BO181)</f>
        <v/>
      </c>
      <c r="AU180" s="88" t="str">
        <f>IF(全车数据表!BP181="","",全车数据表!BP181)</f>
        <v/>
      </c>
      <c r="AV180" s="88" t="str">
        <f>IF(全车数据表!BQ181="","",全车数据表!BQ181)</f>
        <v/>
      </c>
      <c r="AW180" s="88" t="str">
        <f>IF(全车数据表!BR181="","",全车数据表!BR181)</f>
        <v/>
      </c>
      <c r="AX180" s="88" t="str">
        <f>IF(全车数据表!BS181="","",全车数据表!BS181)</f>
        <v/>
      </c>
      <c r="AY180" s="88" t="str">
        <f>IF(全车数据表!BT181="","",全车数据表!BT181)</f>
        <v/>
      </c>
      <c r="AZ180" s="88">
        <f>IF(全车数据表!BU181="","",全车数据表!BU181)</f>
        <v>1</v>
      </c>
      <c r="BA180" s="88" t="str">
        <f>IF(全车数据表!BV181="","",全车数据表!BV181)</f>
        <v>阿斯顿马丁</v>
      </c>
      <c r="BB180" s="91">
        <f>IF(全车数据表!AZ181="","",全车数据表!AZ181)</f>
        <v>15</v>
      </c>
    </row>
    <row r="181" spans="1:54">
      <c r="A181" s="88">
        <f>全车数据表!A182</f>
        <v>180</v>
      </c>
      <c r="B181" s="88" t="str">
        <f>全车数据表!B182</f>
        <v>Lamborghini Aventador J</v>
      </c>
      <c r="C181" s="89" t="str">
        <f>全车数据表!E182</f>
        <v>avj</v>
      </c>
      <c r="D181" s="88" t="str">
        <f>IF(全车数据表!D182="","",全车数据表!D182)</f>
        <v>Lamborghini</v>
      </c>
      <c r="E181" s="89" t="str">
        <f>全车数据表!H182</f>
        <v>1.5</v>
      </c>
      <c r="F181" s="89" t="str">
        <f>全车数据表!C182</f>
        <v>AVJ</v>
      </c>
      <c r="G181" s="89" t="str">
        <f>全车数据表!F182</f>
        <v>A</v>
      </c>
      <c r="H181" s="88">
        <f>LEN(全车数据表!G182)</f>
        <v>6</v>
      </c>
      <c r="I181" s="88" t="str">
        <f>VLOOKUP(全车数据表!P182,辅助计算!A:B,2,FALSE)</f>
        <v>epic</v>
      </c>
      <c r="J181" s="88">
        <f>全车数据表!Q182</f>
        <v>50</v>
      </c>
      <c r="K181" s="88">
        <f>全车数据表!R182</f>
        <v>15</v>
      </c>
      <c r="L181" s="88">
        <f>全车数据表!S182</f>
        <v>18</v>
      </c>
      <c r="M181" s="88">
        <f>全车数据表!T182</f>
        <v>24</v>
      </c>
      <c r="N181" s="88">
        <f>全车数据表!U182</f>
        <v>38</v>
      </c>
      <c r="O181" s="88">
        <f>全车数据表!V182</f>
        <v>45</v>
      </c>
      <c r="P181" s="88">
        <f>全车数据表!J182</f>
        <v>4002</v>
      </c>
      <c r="Q181" s="88">
        <f>全车数据表!K182</f>
        <v>362.9</v>
      </c>
      <c r="R181" s="88">
        <f>全车数据表!L182</f>
        <v>79.83</v>
      </c>
      <c r="S181" s="88">
        <f>全车数据表!M182</f>
        <v>73.099999999999994</v>
      </c>
      <c r="T181" s="88">
        <f>全车数据表!N182</f>
        <v>77.86</v>
      </c>
      <c r="U181" s="88">
        <f>全车数据表!O182</f>
        <v>8.8320000000000007</v>
      </c>
      <c r="V181" s="88">
        <f>全车数据表!AL182</f>
        <v>0</v>
      </c>
      <c r="W181" s="88">
        <f>全车数据表!AM182</f>
        <v>35000</v>
      </c>
      <c r="X181" s="88">
        <f>全车数据表!AU182</f>
        <v>5600000</v>
      </c>
      <c r="Y181" s="88">
        <f>全车数据表!AV182</f>
        <v>0</v>
      </c>
      <c r="Z181" s="88">
        <f>全车数据表!AN182</f>
        <v>6</v>
      </c>
      <c r="AA181" s="88">
        <f>全车数据表!AP182</f>
        <v>5</v>
      </c>
      <c r="AB181" s="88">
        <f>全车数据表!AR182</f>
        <v>4</v>
      </c>
      <c r="AC181" s="88">
        <f>全车数据表!AW182</f>
        <v>378</v>
      </c>
      <c r="AD181" s="88">
        <f>全车数据表!AX182</f>
        <v>0</v>
      </c>
      <c r="AE181" s="88">
        <f>全车数据表!AY182</f>
        <v>502</v>
      </c>
      <c r="AF181" s="88" t="str">
        <f>IF(全车数据表!BA182="","",全车数据表!BA182)</f>
        <v>红币商店</v>
      </c>
      <c r="AG181" s="88" t="str">
        <f>IF(全车数据表!BB182="","",全车数据表!BB182)</f>
        <v/>
      </c>
      <c r="AH181" s="88" t="str">
        <f>IF(全车数据表!BC182="","",全车数据表!BC182)</f>
        <v/>
      </c>
      <c r="AI181" s="88" t="str">
        <f>IF(全车数据表!BD182="","",全车数据表!BD182)</f>
        <v/>
      </c>
      <c r="AJ181" s="88">
        <f>IF(全车数据表!BE182="","",全车数据表!BE182)</f>
        <v>1</v>
      </c>
      <c r="AK181" s="88" t="str">
        <f>IF(全车数据表!BF182="","",全车数据表!BF182)</f>
        <v/>
      </c>
      <c r="AL181" s="88" t="str">
        <f>IF(全车数据表!BG182="","",全车数据表!BG182)</f>
        <v/>
      </c>
      <c r="AM181" s="88" t="str">
        <f>IF(全车数据表!BH182="","",全车数据表!BH182)</f>
        <v/>
      </c>
      <c r="AN181" s="88" t="str">
        <f>IF(全车数据表!BI182="","",全车数据表!BI182)</f>
        <v/>
      </c>
      <c r="AO181" s="88" t="str">
        <f>IF(全车数据表!BJ182="","",全车数据表!BJ182)</f>
        <v/>
      </c>
      <c r="AP181" s="88" t="str">
        <f>IF(全车数据表!BK182="","",全车数据表!BK182)</f>
        <v/>
      </c>
      <c r="AQ181" s="88" t="str">
        <f>IF(全车数据表!BL182="","",全车数据表!BL182)</f>
        <v/>
      </c>
      <c r="AR181" s="88" t="str">
        <f>IF(全车数据表!BM182="","",全车数据表!BM182)</f>
        <v/>
      </c>
      <c r="AS181" s="88" t="str">
        <f>IF(全车数据表!BN182="","",全车数据表!BN182)</f>
        <v/>
      </c>
      <c r="AT181" s="88" t="str">
        <f>IF(全车数据表!BO182="","",全车数据表!BO182)</f>
        <v/>
      </c>
      <c r="AU181" s="88" t="str">
        <f>IF(全车数据表!BP182="","",全车数据表!BP182)</f>
        <v/>
      </c>
      <c r="AV181" s="88" t="str">
        <f>IF(全车数据表!BQ182="","",全车数据表!BQ182)</f>
        <v>2款</v>
      </c>
      <c r="AW181" s="88" t="str">
        <f>IF(全车数据表!BR182="","",全车数据表!BR182)</f>
        <v/>
      </c>
      <c r="AX181" s="88" t="str">
        <f>IF(全车数据表!BS182="","",全车数据表!BS182)</f>
        <v>无顶</v>
      </c>
      <c r="AY181" s="88" t="str">
        <f>IF(全车数据表!BT182="","",全车数据表!BT182)</f>
        <v/>
      </c>
      <c r="AZ181" s="88" t="str">
        <f>IF(全车数据表!BU182="","",全车数据表!BU182)</f>
        <v/>
      </c>
      <c r="BA181" s="88" t="str">
        <f>IF(全车数据表!BV182="","",全车数据表!BV182)</f>
        <v>兰博基尼 红牛</v>
      </c>
      <c r="BB181" s="91" t="str">
        <f>IF(全车数据表!AZ182="","",全车数据表!AZ182)</f>
        <v/>
      </c>
    </row>
    <row r="182" spans="1:54">
      <c r="A182" s="88">
        <f>全车数据表!A183</f>
        <v>181</v>
      </c>
      <c r="B182" s="88" t="str">
        <f>全车数据表!B183</f>
        <v>Mcmurtry Speirling</v>
      </c>
      <c r="C182" s="89" t="str">
        <f>全车数据表!E183</f>
        <v>speirling</v>
      </c>
      <c r="D182" s="88" t="str">
        <f>IF(全车数据表!D183="","",全车数据表!D183)</f>
        <v>Mcmurtry</v>
      </c>
      <c r="E182" s="89" t="str">
        <f>全车数据表!H183</f>
        <v>4.9</v>
      </c>
      <c r="F182" s="89" t="str">
        <f>全车数据表!C183</f>
        <v>Speirling</v>
      </c>
      <c r="G182" s="89" t="str">
        <f>全车数据表!F183</f>
        <v>A</v>
      </c>
      <c r="H182" s="88">
        <f>LEN(全车数据表!G183)</f>
        <v>5</v>
      </c>
      <c r="I182" s="88" t="str">
        <f>VLOOKUP(全车数据表!P183,辅助计算!A:B,2,FALSE)</f>
        <v>epic</v>
      </c>
      <c r="J182" s="88">
        <f>全车数据表!Q183</f>
        <v>40</v>
      </c>
      <c r="K182" s="88">
        <f>全车数据表!R183</f>
        <v>33</v>
      </c>
      <c r="L182" s="88">
        <f>全车数据表!S183</f>
        <v>38</v>
      </c>
      <c r="M182" s="88">
        <f>全车数据表!T183</f>
        <v>43</v>
      </c>
      <c r="N182" s="88">
        <f>全车数据表!U183</f>
        <v>48</v>
      </c>
      <c r="O182" s="88">
        <f>全车数据表!V183</f>
        <v>0</v>
      </c>
      <c r="P182" s="88">
        <f>全车数据表!J183</f>
        <v>4003</v>
      </c>
      <c r="Q182" s="88">
        <f>全车数据表!K183</f>
        <v>339.7</v>
      </c>
      <c r="R182" s="88">
        <f>全车数据表!L183</f>
        <v>90.52</v>
      </c>
      <c r="S182" s="88">
        <f>全车数据表!M183</f>
        <v>82.09</v>
      </c>
      <c r="T182" s="88">
        <f>全车数据表!N183</f>
        <v>62.82</v>
      </c>
      <c r="U182" s="88">
        <f>全车数据表!O183</f>
        <v>0</v>
      </c>
      <c r="V182" s="88">
        <f>全车数据表!AL183</f>
        <v>0</v>
      </c>
      <c r="W182" s="88">
        <f>全车数据表!AM183</f>
        <v>0</v>
      </c>
      <c r="X182" s="88">
        <f>全车数据表!AU183</f>
        <v>0</v>
      </c>
      <c r="Y182" s="88">
        <f>全车数据表!AV183</f>
        <v>0</v>
      </c>
      <c r="Z182" s="88">
        <f>全车数据表!AN183</f>
        <v>6</v>
      </c>
      <c r="AA182" s="88">
        <f>全车数据表!AP183</f>
        <v>5</v>
      </c>
      <c r="AB182" s="88">
        <f>全车数据表!AR183</f>
        <v>3</v>
      </c>
      <c r="AC182" s="88">
        <f>全车数据表!AW183</f>
        <v>361</v>
      </c>
      <c r="AD182" s="88">
        <f>全车数据表!AX183</f>
        <v>0</v>
      </c>
      <c r="AE182" s="88">
        <f>全车数据表!AY183</f>
        <v>480</v>
      </c>
      <c r="AF182" s="88" t="str">
        <f>IF(全车数据表!BA183="","",全车数据表!BA183)</f>
        <v>特殊赛事</v>
      </c>
      <c r="AG182" s="88" t="str">
        <f>IF(全车数据表!BB183="","",全车数据表!BB183)</f>
        <v/>
      </c>
      <c r="AH182" s="88" t="str">
        <f>IF(全车数据表!BC183="","",全车数据表!BC183)</f>
        <v/>
      </c>
      <c r="AI182" s="88" t="str">
        <f>IF(全车数据表!BD183="","",全车数据表!BD183)</f>
        <v/>
      </c>
      <c r="AJ182" s="88" t="str">
        <f>IF(全车数据表!BE183="","",全车数据表!BE183)</f>
        <v/>
      </c>
      <c r="AK182" s="88" t="str">
        <f>IF(全车数据表!BF183="","",全车数据表!BF183)</f>
        <v/>
      </c>
      <c r="AL182" s="88" t="str">
        <f>IF(全车数据表!BG183="","",全车数据表!BG183)</f>
        <v/>
      </c>
      <c r="AM182" s="88" t="str">
        <f>IF(全车数据表!BH183="","",全车数据表!BH183)</f>
        <v/>
      </c>
      <c r="AN182" s="88" t="str">
        <f>IF(全车数据表!BI183="","",全车数据表!BI183)</f>
        <v/>
      </c>
      <c r="AO182" s="88" t="str">
        <f>IF(全车数据表!BJ183="","",全车数据表!BJ183)</f>
        <v/>
      </c>
      <c r="AP182" s="88" t="str">
        <f>IF(全车数据表!BK183="","",全车数据表!BK183)</f>
        <v/>
      </c>
      <c r="AQ182" s="88">
        <f>IF(全车数据表!BL183="","",全车数据表!BL183)</f>
        <v>1</v>
      </c>
      <c r="AR182" s="88" t="str">
        <f>IF(全车数据表!BM183="","",全车数据表!BM183)</f>
        <v/>
      </c>
      <c r="AS182" s="88" t="str">
        <f>IF(全车数据表!BN183="","",全车数据表!BN183)</f>
        <v/>
      </c>
      <c r="AT182" s="88" t="str">
        <f>IF(全车数据表!BO183="","",全车数据表!BO183)</f>
        <v/>
      </c>
      <c r="AU182" s="88" t="str">
        <f>IF(全车数据表!BP183="","",全车数据表!BP183)</f>
        <v/>
      </c>
      <c r="AV182" s="88" t="str">
        <f>IF(全车数据表!BQ183="","",全车数据表!BQ183)</f>
        <v/>
      </c>
      <c r="AW182" s="88" t="str">
        <f>IF(全车数据表!BR183="","",全车数据表!BR183)</f>
        <v/>
      </c>
      <c r="AX182" s="88" t="str">
        <f>IF(全车数据表!BS183="","",全车数据表!BS183)</f>
        <v/>
      </c>
      <c r="AY182" s="88" t="str">
        <f>IF(全车数据表!BT183="","",全车数据表!BT183)</f>
        <v/>
      </c>
      <c r="AZ182" s="88" t="str">
        <f>IF(全车数据表!BU183="","",全车数据表!BU183)</f>
        <v/>
      </c>
      <c r="BA182" s="88" t="str">
        <f>IF(全车数据表!BV183="","",全车数据表!BV183)</f>
        <v/>
      </c>
      <c r="BB182" s="91" t="str">
        <f>IF(全车数据表!AZ183="","",全车数据表!AZ183)</f>
        <v/>
      </c>
    </row>
    <row r="183" spans="1:54">
      <c r="A183" s="88">
        <f>全车数据表!A184</f>
        <v>182</v>
      </c>
      <c r="B183" s="88" t="str">
        <f>全车数据表!B184</f>
        <v>Porsche Carrera GT</v>
      </c>
      <c r="C183" s="89" t="str">
        <f>全车数据表!E184</f>
        <v>carrera</v>
      </c>
      <c r="D183" s="88" t="str">
        <f>IF(全车数据表!D184="","",全车数据表!D184)</f>
        <v>Porsche</v>
      </c>
      <c r="E183" s="89" t="str">
        <f>全车数据表!H184</f>
        <v>2.3</v>
      </c>
      <c r="F183" s="89" t="str">
        <f>全车数据表!C184</f>
        <v>卡雷拉</v>
      </c>
      <c r="G183" s="89" t="str">
        <f>全车数据表!F184</f>
        <v>A</v>
      </c>
      <c r="H183" s="88">
        <f>LEN(全车数据表!G184)</f>
        <v>5</v>
      </c>
      <c r="I183" s="88" t="str">
        <f>VLOOKUP(全车数据表!P184,辅助计算!A:B,2,FALSE)</f>
        <v>epic</v>
      </c>
      <c r="J183" s="88">
        <f>全车数据表!Q184</f>
        <v>30</v>
      </c>
      <c r="K183" s="88">
        <f>全车数据表!R184</f>
        <v>35</v>
      </c>
      <c r="L183" s="88">
        <f>全车数据表!S184</f>
        <v>40</v>
      </c>
      <c r="M183" s="88">
        <f>全车数据表!T184</f>
        <v>45</v>
      </c>
      <c r="N183" s="88">
        <f>全车数据表!U184</f>
        <v>50</v>
      </c>
      <c r="O183" s="88">
        <f>全车数据表!V184</f>
        <v>0</v>
      </c>
      <c r="P183" s="88">
        <f>全车数据表!J184</f>
        <v>4010</v>
      </c>
      <c r="Q183" s="88">
        <f>全车数据表!K184</f>
        <v>344.7</v>
      </c>
      <c r="R183" s="88">
        <f>全车数据表!L184</f>
        <v>78.59</v>
      </c>
      <c r="S183" s="88">
        <f>全车数据表!M184</f>
        <v>84.59</v>
      </c>
      <c r="T183" s="88">
        <f>全车数据表!N184</f>
        <v>82.64</v>
      </c>
      <c r="U183" s="88">
        <f>全车数据表!O184</f>
        <v>11.3</v>
      </c>
      <c r="V183" s="88">
        <f>全车数据表!AL184</f>
        <v>9752000</v>
      </c>
      <c r="W183" s="88">
        <f>全车数据表!AM184</f>
        <v>35000</v>
      </c>
      <c r="X183" s="88">
        <f>全车数据表!AU184</f>
        <v>4760000</v>
      </c>
      <c r="Y183" s="88">
        <f>全车数据表!AV184</f>
        <v>14512000</v>
      </c>
      <c r="Z183" s="88">
        <f>全车数据表!AN184</f>
        <v>6</v>
      </c>
      <c r="AA183" s="88">
        <f>全车数据表!AP184</f>
        <v>5</v>
      </c>
      <c r="AB183" s="88">
        <f>全车数据表!AR184</f>
        <v>3</v>
      </c>
      <c r="AC183" s="88">
        <f>全车数据表!AW184</f>
        <v>358</v>
      </c>
      <c r="AD183" s="88">
        <f>全车数据表!AX184</f>
        <v>0</v>
      </c>
      <c r="AE183" s="88">
        <f>全车数据表!AY184</f>
        <v>468</v>
      </c>
      <c r="AF183" s="88" t="str">
        <f>IF(全车数据表!BA184="","",全车数据表!BA184)</f>
        <v>特殊赛事</v>
      </c>
      <c r="AG183" s="88" t="str">
        <f>IF(全车数据表!BB184="","",全车数据表!BB184)</f>
        <v/>
      </c>
      <c r="AH183" s="88" t="str">
        <f>IF(全车数据表!BC184="","",全车数据表!BC184)</f>
        <v/>
      </c>
      <c r="AI183" s="88" t="str">
        <f>IF(全车数据表!BD184="","",全车数据表!BD184)</f>
        <v/>
      </c>
      <c r="AJ183" s="88" t="str">
        <f>IF(全车数据表!BE184="","",全车数据表!BE184)</f>
        <v/>
      </c>
      <c r="AK183" s="88" t="str">
        <f>IF(全车数据表!BF184="","",全车数据表!BF184)</f>
        <v/>
      </c>
      <c r="AL183" s="88" t="str">
        <f>IF(全车数据表!BG184="","",全车数据表!BG184)</f>
        <v/>
      </c>
      <c r="AM183" s="88" t="str">
        <f>IF(全车数据表!BH184="","",全车数据表!BH184)</f>
        <v/>
      </c>
      <c r="AN183" s="88" t="str">
        <f>IF(全车数据表!BI184="","",全车数据表!BI184)</f>
        <v/>
      </c>
      <c r="AO183" s="88">
        <f>IF(全车数据表!BJ184="","",全车数据表!BJ184)</f>
        <v>1</v>
      </c>
      <c r="AP183" s="88" t="str">
        <f>IF(全车数据表!BK184="","",全车数据表!BK184)</f>
        <v/>
      </c>
      <c r="AQ183" s="88">
        <f>IF(全车数据表!BL184="","",全车数据表!BL184)</f>
        <v>1</v>
      </c>
      <c r="AR183" s="88" t="str">
        <f>IF(全车数据表!BM184="","",全车数据表!BM184)</f>
        <v/>
      </c>
      <c r="AS183" s="88" t="str">
        <f>IF(全车数据表!BN184="","",全车数据表!BN184)</f>
        <v/>
      </c>
      <c r="AT183" s="88" t="str">
        <f>IF(全车数据表!BO184="","",全车数据表!BO184)</f>
        <v/>
      </c>
      <c r="AU183" s="88">
        <f>IF(全车数据表!BP184="","",全车数据表!BP184)</f>
        <v>1</v>
      </c>
      <c r="AV183" s="88" t="str">
        <f>IF(全车数据表!BQ184="","",全车数据表!BQ184)</f>
        <v/>
      </c>
      <c r="AW183" s="88" t="str">
        <f>IF(全车数据表!BR184="","",全车数据表!BR184)</f>
        <v/>
      </c>
      <c r="AX183" s="88" t="str">
        <f>IF(全车数据表!BS184="","",全车数据表!BS184)</f>
        <v/>
      </c>
      <c r="AY183" s="88">
        <f>IF(全车数据表!BT184="","",全车数据表!BT184)</f>
        <v>1</v>
      </c>
      <c r="AZ183" s="88" t="str">
        <f>IF(全车数据表!BU184="","",全车数据表!BU184)</f>
        <v/>
      </c>
      <c r="BA183" s="88" t="str">
        <f>IF(全车数据表!BV184="","",全车数据表!BV184)</f>
        <v>保时捷 卡雷拉 cgt</v>
      </c>
      <c r="BB183" s="91" t="str">
        <f>IF(全车数据表!AZ184="","",全车数据表!AZ184)</f>
        <v/>
      </c>
    </row>
    <row r="184" spans="1:54">
      <c r="A184" s="88">
        <f>全车数据表!A185</f>
        <v>183</v>
      </c>
      <c r="B184" s="88" t="str">
        <f>全车数据表!B185</f>
        <v>Ferrari Enzo Ferrari</v>
      </c>
      <c r="C184" s="89" t="str">
        <f>全车数据表!E185</f>
        <v>enzo</v>
      </c>
      <c r="D184" s="88" t="str">
        <f>IF(全车数据表!D185="","",全车数据表!D185)</f>
        <v>Ferrari</v>
      </c>
      <c r="E184" s="89" t="str">
        <f>全车数据表!H185</f>
        <v>2.6</v>
      </c>
      <c r="F184" s="89" t="str">
        <f>全车数据表!C185</f>
        <v>恩佐</v>
      </c>
      <c r="G184" s="89" t="str">
        <f>全车数据表!F185</f>
        <v>A</v>
      </c>
      <c r="H184" s="88">
        <f>LEN(全车数据表!G185)</f>
        <v>6</v>
      </c>
      <c r="I184" s="88" t="str">
        <f>VLOOKUP(全车数据表!P185,辅助计算!A:B,2,FALSE)</f>
        <v>epic</v>
      </c>
      <c r="J184" s="88">
        <f>全车数据表!Q185</f>
        <v>40</v>
      </c>
      <c r="K184" s="88">
        <f>全车数据表!R185</f>
        <v>30</v>
      </c>
      <c r="L184" s="88">
        <f>全车数据表!S185</f>
        <v>35</v>
      </c>
      <c r="M184" s="88">
        <f>全车数据表!T185</f>
        <v>40</v>
      </c>
      <c r="N184" s="88">
        <f>全车数据表!U185</f>
        <v>50</v>
      </c>
      <c r="O184" s="88">
        <f>全车数据表!V185</f>
        <v>55</v>
      </c>
      <c r="P184" s="88">
        <f>全车数据表!J185</f>
        <v>4014</v>
      </c>
      <c r="Q184" s="88">
        <f>全车数据表!K185</f>
        <v>365.8</v>
      </c>
      <c r="R184" s="88">
        <f>全车数据表!L185</f>
        <v>75.19</v>
      </c>
      <c r="S184" s="88">
        <f>全车数据表!M185</f>
        <v>64.75</v>
      </c>
      <c r="T184" s="88">
        <f>全车数据表!N185</f>
        <v>72.099999999999994</v>
      </c>
      <c r="U184" s="88">
        <f>全车数据表!O185</f>
        <v>0</v>
      </c>
      <c r="V184" s="88">
        <f>全车数据表!AL185</f>
        <v>9752400</v>
      </c>
      <c r="W184" s="88">
        <f>全车数据表!AM185</f>
        <v>35000</v>
      </c>
      <c r="X184" s="88">
        <f>全车数据表!AU185</f>
        <v>5600000</v>
      </c>
      <c r="Y184" s="88">
        <f>全车数据表!AV185</f>
        <v>15352400</v>
      </c>
      <c r="Z184" s="88">
        <f>全车数据表!AN185</f>
        <v>6</v>
      </c>
      <c r="AA184" s="88">
        <f>全车数据表!AP185</f>
        <v>5</v>
      </c>
      <c r="AB184" s="88">
        <f>全车数据表!AR185</f>
        <v>4</v>
      </c>
      <c r="AC184" s="88">
        <f>全车数据表!AW185</f>
        <v>380</v>
      </c>
      <c r="AD184" s="88">
        <f>全车数据表!AX185</f>
        <v>0</v>
      </c>
      <c r="AE184" s="88">
        <f>全车数据表!AY185</f>
        <v>504</v>
      </c>
      <c r="AF184" s="88" t="str">
        <f>IF(全车数据表!BA185="","",全车数据表!BA185)</f>
        <v>通行证</v>
      </c>
      <c r="AG184" s="88" t="str">
        <f>IF(全车数据表!BB185="","",全车数据表!BB185)</f>
        <v/>
      </c>
      <c r="AH184" s="88" t="str">
        <f>IF(全车数据表!BC185="","",全车数据表!BC185)</f>
        <v/>
      </c>
      <c r="AI184" s="88" t="str">
        <f>IF(全车数据表!BD185="","",全车数据表!BD185)</f>
        <v/>
      </c>
      <c r="AJ184" s="88" t="str">
        <f>IF(全车数据表!BE185="","",全车数据表!BE185)</f>
        <v/>
      </c>
      <c r="AK184" s="88" t="str">
        <f>IF(全车数据表!BF185="","",全车数据表!BF185)</f>
        <v/>
      </c>
      <c r="AL184" s="88" t="str">
        <f>IF(全车数据表!BG185="","",全车数据表!BG185)</f>
        <v/>
      </c>
      <c r="AM184" s="88">
        <f>IF(全车数据表!BH185="","",全车数据表!BH185)</f>
        <v>1</v>
      </c>
      <c r="AN184" s="88" t="str">
        <f>IF(全车数据表!BI185="","",全车数据表!BI185)</f>
        <v/>
      </c>
      <c r="AO184" s="88" t="str">
        <f>IF(全车数据表!BJ185="","",全车数据表!BJ185)</f>
        <v/>
      </c>
      <c r="AP184" s="88" t="str">
        <f>IF(全车数据表!BK185="","",全车数据表!BK185)</f>
        <v/>
      </c>
      <c r="AQ184" s="88" t="str">
        <f>IF(全车数据表!BL185="","",全车数据表!BL185)</f>
        <v/>
      </c>
      <c r="AR184" s="88" t="str">
        <f>IF(全车数据表!BM185="","",全车数据表!BM185)</f>
        <v/>
      </c>
      <c r="AS184" s="88" t="str">
        <f>IF(全车数据表!BN185="","",全车数据表!BN185)</f>
        <v/>
      </c>
      <c r="AT184" s="88" t="str">
        <f>IF(全车数据表!BO185="","",全车数据表!BO185)</f>
        <v/>
      </c>
      <c r="AU184" s="88">
        <f>IF(全车数据表!BP185="","",全车数据表!BP185)</f>
        <v>1</v>
      </c>
      <c r="AV184" s="88" t="str">
        <f>IF(全车数据表!BQ185="","",全车数据表!BQ185)</f>
        <v/>
      </c>
      <c r="AW184" s="88" t="str">
        <f>IF(全车数据表!BR185="","",全车数据表!BR185)</f>
        <v/>
      </c>
      <c r="AX184" s="88" t="str">
        <f>IF(全车数据表!BS185="","",全车数据表!BS185)</f>
        <v/>
      </c>
      <c r="AY184" s="88" t="str">
        <f>IF(全车数据表!BT185="","",全车数据表!BT185)</f>
        <v/>
      </c>
      <c r="AZ184" s="88" t="str">
        <f>IF(全车数据表!BU185="","",全车数据表!BU185)</f>
        <v/>
      </c>
      <c r="BA184" s="88" t="str">
        <f>IF(全车数据表!BV185="","",全车数据表!BV185)</f>
        <v>法拉利 恩佐</v>
      </c>
      <c r="BB184" s="91" t="str">
        <f>IF(全车数据表!AZ185="","",全车数据表!AZ185)</f>
        <v/>
      </c>
    </row>
    <row r="185" spans="1:54">
      <c r="A185" s="88">
        <f>全车数据表!A186</f>
        <v>184</v>
      </c>
      <c r="B185" s="88" t="str">
        <f>全车数据表!B186</f>
        <v>Porsche 911 GT3 RS</v>
      </c>
      <c r="C185" s="89" t="str">
        <f>全车数据表!E186</f>
        <v>911gt3</v>
      </c>
      <c r="D185" s="88" t="str">
        <f>IF(全车数据表!D186="","",全车数据表!D186)</f>
        <v>Porsche</v>
      </c>
      <c r="E185" s="89" t="str">
        <f>全车数据表!H186</f>
        <v>2.0</v>
      </c>
      <c r="F185" s="89" t="str">
        <f>全车数据表!C186</f>
        <v>911GT3</v>
      </c>
      <c r="G185" s="89" t="str">
        <f>全车数据表!F186</f>
        <v>A</v>
      </c>
      <c r="H185" s="88">
        <f>LEN(全车数据表!G186)</f>
        <v>6</v>
      </c>
      <c r="I185" s="88" t="str">
        <f>VLOOKUP(全车数据表!P186,辅助计算!A:B,2,FALSE)</f>
        <v>epic</v>
      </c>
      <c r="J185" s="88">
        <f>全车数据表!Q186</f>
        <v>50</v>
      </c>
      <c r="K185" s="88">
        <f>全车数据表!R186</f>
        <v>15</v>
      </c>
      <c r="L185" s="88">
        <f>全车数据表!S186</f>
        <v>18</v>
      </c>
      <c r="M185" s="88">
        <f>全车数据表!T186</f>
        <v>24</v>
      </c>
      <c r="N185" s="88">
        <f>全车数据表!U186</f>
        <v>38</v>
      </c>
      <c r="O185" s="88">
        <f>全车数据表!V186</f>
        <v>45</v>
      </c>
      <c r="P185" s="88">
        <f>全车数据表!J186</f>
        <v>4019</v>
      </c>
      <c r="Q185" s="88">
        <f>全车数据表!K186</f>
        <v>338.9</v>
      </c>
      <c r="R185" s="88">
        <f>全车数据表!L186</f>
        <v>85.84</v>
      </c>
      <c r="S185" s="88">
        <f>全车数据表!M186</f>
        <v>92.97</v>
      </c>
      <c r="T185" s="88">
        <f>全车数据表!N186</f>
        <v>86.39</v>
      </c>
      <c r="U185" s="88">
        <f>全车数据表!O186</f>
        <v>14.23</v>
      </c>
      <c r="V185" s="88">
        <f>全车数据表!AL186</f>
        <v>9752400</v>
      </c>
      <c r="W185" s="88">
        <f>全车数据表!AM186</f>
        <v>35000</v>
      </c>
      <c r="X185" s="88">
        <f>全车数据表!AU186</f>
        <v>5600000</v>
      </c>
      <c r="Y185" s="88">
        <f>全车数据表!AV186</f>
        <v>0</v>
      </c>
      <c r="Z185" s="88">
        <f>全车数据表!AN186</f>
        <v>6</v>
      </c>
      <c r="AA185" s="88">
        <f>全车数据表!AP186</f>
        <v>5</v>
      </c>
      <c r="AB185" s="88">
        <f>全车数据表!AR186</f>
        <v>4</v>
      </c>
      <c r="AC185" s="88">
        <f>全车数据表!AW186</f>
        <v>353</v>
      </c>
      <c r="AD185" s="88">
        <f>全车数据表!AX186</f>
        <v>0</v>
      </c>
      <c r="AE185" s="88">
        <f>全车数据表!AY186</f>
        <v>459</v>
      </c>
      <c r="AF185" s="88" t="str">
        <f>IF(全车数据表!BA186="","",全车数据表!BA186)</f>
        <v>旧版寻车</v>
      </c>
      <c r="AG185" s="88" t="str">
        <f>IF(全车数据表!BB186="","",全车数据表!BB186)</f>
        <v/>
      </c>
      <c r="AH185" s="88" t="str">
        <f>IF(全车数据表!BC186="","",全车数据表!BC186)</f>
        <v/>
      </c>
      <c r="AI185" s="88" t="str">
        <f>IF(全车数据表!BD186="","",全车数据表!BD186)</f>
        <v/>
      </c>
      <c r="AJ185" s="88" t="str">
        <f>IF(全车数据表!BE186="","",全车数据表!BE186)</f>
        <v/>
      </c>
      <c r="AK185" s="88" t="str">
        <f>IF(全车数据表!BF186="","",全车数据表!BF186)</f>
        <v/>
      </c>
      <c r="AL185" s="88" t="str">
        <f>IF(全车数据表!BG186="","",全车数据表!BG186)</f>
        <v/>
      </c>
      <c r="AM185" s="88" t="str">
        <f>IF(全车数据表!BH186="","",全车数据表!BH186)</f>
        <v/>
      </c>
      <c r="AN185" s="88" t="str">
        <f>IF(全车数据表!BI186="","",全车数据表!BI186)</f>
        <v/>
      </c>
      <c r="AO185" s="88" t="str">
        <f>IF(全车数据表!BJ186="","",全车数据表!BJ186)</f>
        <v/>
      </c>
      <c r="AP185" s="88" t="str">
        <f>IF(全车数据表!BK186="","",全车数据表!BK186)</f>
        <v/>
      </c>
      <c r="AQ185" s="88" t="str">
        <f>IF(全车数据表!BL186="","",全车数据表!BL186)</f>
        <v/>
      </c>
      <c r="AR185" s="88" t="str">
        <f>IF(全车数据表!BM186="","",全车数据表!BM186)</f>
        <v/>
      </c>
      <c r="AS185" s="88" t="str">
        <f>IF(全车数据表!BN186="","",全车数据表!BN186)</f>
        <v/>
      </c>
      <c r="AT185" s="88" t="str">
        <f>IF(全车数据表!BO186="","",全车数据表!BO186)</f>
        <v/>
      </c>
      <c r="AU185" s="88" t="str">
        <f>IF(全车数据表!BP186="","",全车数据表!BP186)</f>
        <v/>
      </c>
      <c r="AV185" s="88" t="str">
        <f>IF(全车数据表!BQ186="","",全车数据表!BQ186)</f>
        <v>2款</v>
      </c>
      <c r="AW185" s="88" t="str">
        <f>IF(全车数据表!BR186="","",全车数据表!BR186)</f>
        <v/>
      </c>
      <c r="AX185" s="88" t="str">
        <f>IF(全车数据表!BS186="","",全车数据表!BS186)</f>
        <v/>
      </c>
      <c r="AY185" s="88" t="str">
        <f>IF(全车数据表!BT186="","",全车数据表!BT186)</f>
        <v/>
      </c>
      <c r="AZ185" s="88" t="str">
        <f>IF(全车数据表!BU186="","",全车数据表!BU186)</f>
        <v/>
      </c>
      <c r="BA185" s="88" t="str">
        <f>IF(全车数据表!BV186="","",全车数据表!BV186)</f>
        <v>保时捷 绿蛙</v>
      </c>
      <c r="BB185" s="91" t="str">
        <f>IF(全车数据表!AZ186="","",全车数据表!AZ186)</f>
        <v/>
      </c>
    </row>
    <row r="186" spans="1:54">
      <c r="A186" s="88">
        <f>全车数据表!A187</f>
        <v>185</v>
      </c>
      <c r="B186" s="88" t="str">
        <f>全车数据表!B187</f>
        <v>TechRules AT96 Track Version🔑</v>
      </c>
      <c r="C186" s="89" t="str">
        <f>全车数据表!E187</f>
        <v>at96</v>
      </c>
      <c r="D186" s="88" t="str">
        <f>IF(全车数据表!D187="","",全车数据表!D187)</f>
        <v>TechRules</v>
      </c>
      <c r="E186" s="89" t="str">
        <f>全车数据表!H187</f>
        <v>2.2</v>
      </c>
      <c r="F186" s="89" t="str">
        <f>全车数据表!C187</f>
        <v>腾风</v>
      </c>
      <c r="G186" s="89" t="str">
        <f>全车数据表!F187</f>
        <v>A</v>
      </c>
      <c r="H186" s="88">
        <f>LEN(全车数据表!G187)</f>
        <v>6</v>
      </c>
      <c r="I186" s="88" t="str">
        <f>VLOOKUP(全车数据表!P187,辅助计算!A:B,2,FALSE)</f>
        <v>epic</v>
      </c>
      <c r="J186" s="88" t="str">
        <f>全车数据表!Q187</f>
        <v>🔑</v>
      </c>
      <c r="K186" s="88">
        <f>全车数据表!R187</f>
        <v>30</v>
      </c>
      <c r="L186" s="88">
        <f>全车数据表!S187</f>
        <v>40</v>
      </c>
      <c r="M186" s="88">
        <f>全车数据表!T187</f>
        <v>50</v>
      </c>
      <c r="N186" s="88">
        <f>全车数据表!U187</f>
        <v>65</v>
      </c>
      <c r="O186" s="88">
        <f>全车数据表!V187</f>
        <v>80</v>
      </c>
      <c r="P186" s="88">
        <f>全车数据表!J187</f>
        <v>4020</v>
      </c>
      <c r="Q186" s="88">
        <f>全车数据表!K187</f>
        <v>364.6</v>
      </c>
      <c r="R186" s="88">
        <f>全车数据表!L187</f>
        <v>85.53</v>
      </c>
      <c r="S186" s="88">
        <f>全车数据表!M187</f>
        <v>75.739999999999995</v>
      </c>
      <c r="T186" s="88">
        <f>全车数据表!N187</f>
        <v>69.650000000000006</v>
      </c>
      <c r="U186" s="88">
        <f>全车数据表!O187</f>
        <v>7.13</v>
      </c>
      <c r="V186" s="88">
        <f>全车数据表!AL187</f>
        <v>0</v>
      </c>
      <c r="W186" s="88">
        <f>全车数据表!AM187</f>
        <v>35000</v>
      </c>
      <c r="X186" s="88">
        <f>全车数据表!AU187</f>
        <v>5600000</v>
      </c>
      <c r="Y186" s="88">
        <f>全车数据表!AV187</f>
        <v>0</v>
      </c>
      <c r="Z186" s="88">
        <f>全车数据表!AN187</f>
        <v>6</v>
      </c>
      <c r="AA186" s="88">
        <f>全车数据表!AP187</f>
        <v>5</v>
      </c>
      <c r="AB186" s="88">
        <f>全车数据表!AR187</f>
        <v>4</v>
      </c>
      <c r="AC186" s="88">
        <f>全车数据表!AW187</f>
        <v>379</v>
      </c>
      <c r="AD186" s="88">
        <f>全车数据表!AX187</f>
        <v>0</v>
      </c>
      <c r="AE186" s="88">
        <f>全车数据表!AY187</f>
        <v>503</v>
      </c>
      <c r="AF186" s="88" t="str">
        <f>IF(全车数据表!BA187="","",全车数据表!BA187)</f>
        <v>大奖赛</v>
      </c>
      <c r="AG186" s="88" t="str">
        <f>IF(全车数据表!BB187="","",全车数据表!BB187)</f>
        <v/>
      </c>
      <c r="AH186" s="88" t="str">
        <f>IF(全车数据表!BC187="","",全车数据表!BC187)</f>
        <v/>
      </c>
      <c r="AI186" s="88" t="str">
        <f>IF(全车数据表!BD187="","",全车数据表!BD187)</f>
        <v/>
      </c>
      <c r="AJ186" s="88" t="str">
        <f>IF(全车数据表!BE187="","",全车数据表!BE187)</f>
        <v/>
      </c>
      <c r="AK186" s="88" t="str">
        <f>IF(全车数据表!BF187="","",全车数据表!BF187)</f>
        <v/>
      </c>
      <c r="AL186" s="88" t="str">
        <f>IF(全车数据表!BG187="","",全车数据表!BG187)</f>
        <v/>
      </c>
      <c r="AM186" s="88" t="str">
        <f>IF(全车数据表!BH187="","",全车数据表!BH187)</f>
        <v/>
      </c>
      <c r="AN186" s="88" t="str">
        <f>IF(全车数据表!BI187="","",全车数据表!BI187)</f>
        <v/>
      </c>
      <c r="AO186" s="88" t="str">
        <f>IF(全车数据表!BJ187="","",全车数据表!BJ187)</f>
        <v/>
      </c>
      <c r="AP186" s="88" t="str">
        <f>IF(全车数据表!BK187="","",全车数据表!BK187)</f>
        <v/>
      </c>
      <c r="AQ186" s="88" t="str">
        <f>IF(全车数据表!BL187="","",全车数据表!BL187)</f>
        <v/>
      </c>
      <c r="AR186" s="88">
        <f>IF(全车数据表!BM187="","",全车数据表!BM187)</f>
        <v>1</v>
      </c>
      <c r="AS186" s="88" t="str">
        <f>IF(全车数据表!BN187="","",全车数据表!BN187)</f>
        <v/>
      </c>
      <c r="AT186" s="88">
        <f>IF(全车数据表!BO187="","",全车数据表!BO187)</f>
        <v>1</v>
      </c>
      <c r="AU186" s="88">
        <f>IF(全车数据表!BP187="","",全车数据表!BP187)</f>
        <v>1</v>
      </c>
      <c r="AV186" s="88" t="str">
        <f>IF(全车数据表!BQ187="","",全车数据表!BQ187)</f>
        <v>3款</v>
      </c>
      <c r="AW186" s="88" t="str">
        <f>IF(全车数据表!BR187="","",全车数据表!BR187)</f>
        <v/>
      </c>
      <c r="AX186" s="88" t="str">
        <f>IF(全车数据表!BS187="","",全车数据表!BS187)</f>
        <v/>
      </c>
      <c r="AY186" s="88">
        <f>IF(全车数据表!BT187="","",全车数据表!BT187)</f>
        <v>1</v>
      </c>
      <c r="AZ186" s="88" t="str">
        <f>IF(全车数据表!BU187="","",全车数据表!BU187)</f>
        <v/>
      </c>
      <c r="BA186" s="88" t="str">
        <f>IF(全车数据表!BV187="","",全车数据表!BV187)</f>
        <v>腾风 泰克鲁斯</v>
      </c>
      <c r="BB186" s="91" t="str">
        <f>IF(全车数据表!AZ187="","",全车数据表!AZ187)</f>
        <v/>
      </c>
    </row>
    <row r="187" spans="1:54">
      <c r="A187" s="88">
        <f>全车数据表!A188</f>
        <v>186</v>
      </c>
      <c r="B187" s="88" t="str">
        <f>全车数据表!B188</f>
        <v>McLaren Senna GTR</v>
      </c>
      <c r="C187" s="89" t="str">
        <f>全车数据表!E188</f>
        <v>sennagtr</v>
      </c>
      <c r="D187" s="88" t="str">
        <f>IF(全车数据表!D188="","",全车数据表!D188)</f>
        <v>McLaren</v>
      </c>
      <c r="E187" s="89" t="str">
        <f>全车数据表!H188</f>
        <v>3.4</v>
      </c>
      <c r="F187" s="89" t="str">
        <f>全车数据表!C188</f>
        <v>塞纳GTR</v>
      </c>
      <c r="G187" s="89" t="str">
        <f>全车数据表!F188</f>
        <v>A</v>
      </c>
      <c r="H187" s="88">
        <f>LEN(全车数据表!G188)</f>
        <v>5</v>
      </c>
      <c r="I187" s="88" t="str">
        <f>VLOOKUP(全车数据表!P188,辅助计算!A:B,2,FALSE)</f>
        <v>epic</v>
      </c>
      <c r="J187" s="88">
        <f>全车数据表!Q188</f>
        <v>40</v>
      </c>
      <c r="K187" s="88">
        <f>全车数据表!R188</f>
        <v>33</v>
      </c>
      <c r="L187" s="88">
        <f>全车数据表!S188</f>
        <v>38</v>
      </c>
      <c r="M187" s="88">
        <f>全车数据表!T188</f>
        <v>43</v>
      </c>
      <c r="N187" s="88">
        <f>全车数据表!U188</f>
        <v>48</v>
      </c>
      <c r="O187" s="88">
        <f>全车数据表!V188</f>
        <v>0</v>
      </c>
      <c r="P187" s="88">
        <f>全车数据表!J188</f>
        <v>4025</v>
      </c>
      <c r="Q187" s="88">
        <f>全车数据表!K188</f>
        <v>357.9</v>
      </c>
      <c r="R187" s="88">
        <f>全车数据表!L188</f>
        <v>82</v>
      </c>
      <c r="S187" s="88">
        <f>全车数据表!M188</f>
        <v>60.85</v>
      </c>
      <c r="T187" s="88">
        <f>全车数据表!N188</f>
        <v>77.62</v>
      </c>
      <c r="U187" s="88">
        <f>全车数据表!O188</f>
        <v>0</v>
      </c>
      <c r="V187" s="88">
        <f>全车数据表!AL188</f>
        <v>9752000</v>
      </c>
      <c r="W187" s="88">
        <f>全车数据表!AM188</f>
        <v>35000</v>
      </c>
      <c r="X187" s="88">
        <f>全车数据表!AU188</f>
        <v>4760000</v>
      </c>
      <c r="Y187" s="88">
        <f>全车数据表!AV188</f>
        <v>14512000</v>
      </c>
      <c r="Z187" s="88">
        <f>全车数据表!AN188</f>
        <v>6</v>
      </c>
      <c r="AA187" s="88">
        <f>全车数据表!AP188</f>
        <v>5</v>
      </c>
      <c r="AB187" s="88">
        <f>全车数据表!AR188</f>
        <v>3</v>
      </c>
      <c r="AC187" s="88">
        <f>全车数据表!AW188</f>
        <v>372</v>
      </c>
      <c r="AD187" s="88">
        <f>全车数据表!AX188</f>
        <v>0</v>
      </c>
      <c r="AE187" s="88">
        <f>全车数据表!AY188</f>
        <v>492</v>
      </c>
      <c r="AF187" s="88" t="str">
        <f>IF(全车数据表!BA188="","",全车数据表!BA188)</f>
        <v>特殊赛事</v>
      </c>
      <c r="AG187" s="88" t="str">
        <f>IF(全车数据表!BB188="","",全车数据表!BB188)</f>
        <v/>
      </c>
      <c r="AH187" s="88" t="str">
        <f>IF(全车数据表!BC188="","",全车数据表!BC188)</f>
        <v/>
      </c>
      <c r="AI187" s="88" t="str">
        <f>IF(全车数据表!BD188="","",全车数据表!BD188)</f>
        <v/>
      </c>
      <c r="AJ187" s="88" t="str">
        <f>IF(全车数据表!BE188="","",全车数据表!BE188)</f>
        <v/>
      </c>
      <c r="AK187" s="88" t="str">
        <f>IF(全车数据表!BF188="","",全车数据表!BF188)</f>
        <v/>
      </c>
      <c r="AL187" s="88" t="str">
        <f>IF(全车数据表!BG188="","",全车数据表!BG188)</f>
        <v/>
      </c>
      <c r="AM187" s="88" t="str">
        <f>IF(全车数据表!BH188="","",全车数据表!BH188)</f>
        <v/>
      </c>
      <c r="AN187" s="88" t="str">
        <f>IF(全车数据表!BI188="","",全车数据表!BI188)</f>
        <v/>
      </c>
      <c r="AO187" s="88" t="str">
        <f>IF(全车数据表!BJ188="","",全车数据表!BJ188)</f>
        <v/>
      </c>
      <c r="AP187" s="88" t="str">
        <f>IF(全车数据表!BK188="","",全车数据表!BK188)</f>
        <v/>
      </c>
      <c r="AQ187" s="88">
        <f>IF(全车数据表!BL188="","",全车数据表!BL188)</f>
        <v>1</v>
      </c>
      <c r="AR187" s="88" t="str">
        <f>IF(全车数据表!BM188="","",全车数据表!BM188)</f>
        <v/>
      </c>
      <c r="AS187" s="88" t="str">
        <f>IF(全车数据表!BN188="","",全车数据表!BN188)</f>
        <v/>
      </c>
      <c r="AT187" s="88" t="str">
        <f>IF(全车数据表!BO188="","",全车数据表!BO188)</f>
        <v/>
      </c>
      <c r="AU187" s="88" t="str">
        <f>IF(全车数据表!BP188="","",全车数据表!BP188)</f>
        <v/>
      </c>
      <c r="AV187" s="88" t="str">
        <f>IF(全车数据表!BQ188="","",全车数据表!BQ188)</f>
        <v>1款</v>
      </c>
      <c r="AW187" s="88" t="str">
        <f>IF(全车数据表!BR188="","",全车数据表!BR188)</f>
        <v/>
      </c>
      <c r="AX187" s="88" t="str">
        <f>IF(全车数据表!BS188="","",全车数据表!BS188)</f>
        <v/>
      </c>
      <c r="AY187" s="88" t="str">
        <f>IF(全车数据表!BT188="","",全车数据表!BT188)</f>
        <v/>
      </c>
      <c r="AZ187" s="88" t="str">
        <f>IF(全车数据表!BU188="","",全车数据表!BU188)</f>
        <v/>
      </c>
      <c r="BA187" s="88" t="str">
        <f>IF(全车数据表!BV188="","",全车数据表!BV188)</f>
        <v>迈凯伦塞纳</v>
      </c>
      <c r="BB187" s="91" t="str">
        <f>IF(全车数据表!AZ188="","",全车数据表!AZ188)</f>
        <v/>
      </c>
    </row>
    <row r="188" spans="1:54">
      <c r="A188" s="88">
        <f>全车数据表!A189</f>
        <v>187</v>
      </c>
      <c r="B188" s="88" t="str">
        <f>全车数据表!B189</f>
        <v>Peugeot Onyx</v>
      </c>
      <c r="C188" s="89" t="str">
        <f>全车数据表!E189</f>
        <v>onyx</v>
      </c>
      <c r="D188" s="88" t="str">
        <f>IF(全车数据表!D189="","",全车数据表!D189)</f>
        <v>Peugeot</v>
      </c>
      <c r="E188" s="89" t="str">
        <f>全车数据表!H189</f>
        <v>2.7</v>
      </c>
      <c r="F188" s="89" t="str">
        <f>全车数据表!C189</f>
        <v>标致</v>
      </c>
      <c r="G188" s="89" t="str">
        <f>全车数据表!F189</f>
        <v>A</v>
      </c>
      <c r="H188" s="88">
        <f>LEN(全车数据表!G189)</f>
        <v>6</v>
      </c>
      <c r="I188" s="88" t="str">
        <f>VLOOKUP(全车数据表!P189,辅助计算!A:B,2,FALSE)</f>
        <v>epic</v>
      </c>
      <c r="J188" s="88">
        <f>全车数据表!Q189</f>
        <v>33</v>
      </c>
      <c r="K188" s="88">
        <f>全车数据表!R189</f>
        <v>31</v>
      </c>
      <c r="L188" s="88">
        <f>全车数据表!S189</f>
        <v>33</v>
      </c>
      <c r="M188" s="88">
        <f>全车数据表!T189</f>
        <v>35</v>
      </c>
      <c r="N188" s="88">
        <f>全车数据表!U189</f>
        <v>38</v>
      </c>
      <c r="O188" s="88">
        <f>全车数据表!V189</f>
        <v>42</v>
      </c>
      <c r="P188" s="88">
        <f>全车数据表!J189</f>
        <v>4026</v>
      </c>
      <c r="Q188" s="88">
        <f>全车数据表!K189</f>
        <v>365.6</v>
      </c>
      <c r="R188" s="88">
        <f>全车数据表!L189</f>
        <v>81.94</v>
      </c>
      <c r="S188" s="88">
        <f>全车数据表!M189</f>
        <v>84.83</v>
      </c>
      <c r="T188" s="88">
        <f>全车数据表!N189</f>
        <v>59.59</v>
      </c>
      <c r="U188" s="88">
        <f>全车数据表!O189</f>
        <v>0</v>
      </c>
      <c r="V188" s="88">
        <f>全车数据表!AL189</f>
        <v>9752400</v>
      </c>
      <c r="W188" s="88">
        <f>全车数据表!AM189</f>
        <v>35000</v>
      </c>
      <c r="X188" s="88">
        <f>全车数据表!AU189</f>
        <v>5600000</v>
      </c>
      <c r="Y188" s="88">
        <f>全车数据表!AV189</f>
        <v>15352400</v>
      </c>
      <c r="Z188" s="88">
        <f>全车数据表!AN189</f>
        <v>6</v>
      </c>
      <c r="AA188" s="88">
        <f>全车数据表!AP189</f>
        <v>5</v>
      </c>
      <c r="AB188" s="88">
        <f>全车数据表!AR189</f>
        <v>4</v>
      </c>
      <c r="AC188" s="88">
        <f>全车数据表!AW189</f>
        <v>380</v>
      </c>
      <c r="AD188" s="88">
        <f>全车数据表!AX189</f>
        <v>0</v>
      </c>
      <c r="AE188" s="88">
        <f>全车数据表!AY189</f>
        <v>504</v>
      </c>
      <c r="AF188" s="88" t="str">
        <f>IF(全车数据表!BA189="","",全车数据表!BA189)</f>
        <v>惊艳亮相</v>
      </c>
      <c r="AG188" s="88" t="str">
        <f>IF(全车数据表!BB189="","",全车数据表!BB189)</f>
        <v/>
      </c>
      <c r="AH188" s="88" t="str">
        <f>IF(全车数据表!BC189="","",全车数据表!BC189)</f>
        <v/>
      </c>
      <c r="AI188" s="88" t="str">
        <f>IF(全车数据表!BD189="","",全车数据表!BD189)</f>
        <v/>
      </c>
      <c r="AJ188" s="88">
        <f>IF(全车数据表!BE189="","",全车数据表!BE189)</f>
        <v>1</v>
      </c>
      <c r="AK188" s="88" t="str">
        <f>IF(全车数据表!BF189="","",全车数据表!BF189)</f>
        <v/>
      </c>
      <c r="AL188" s="88" t="str">
        <f>IF(全车数据表!BG189="","",全车数据表!BG189)</f>
        <v/>
      </c>
      <c r="AM188" s="88" t="str">
        <f>IF(全车数据表!BH189="","",全车数据表!BH189)</f>
        <v/>
      </c>
      <c r="AN188" s="88">
        <f>IF(全车数据表!BI189="","",全车数据表!BI189)</f>
        <v>1</v>
      </c>
      <c r="AO188" s="88" t="str">
        <f>IF(全车数据表!BJ189="","",全车数据表!BJ189)</f>
        <v/>
      </c>
      <c r="AP188" s="88" t="str">
        <f>IF(全车数据表!BK189="","",全车数据表!BK189)</f>
        <v/>
      </c>
      <c r="AQ188" s="88" t="str">
        <f>IF(全车数据表!BL189="","",全车数据表!BL189)</f>
        <v/>
      </c>
      <c r="AR188" s="88" t="str">
        <f>IF(全车数据表!BM189="","",全车数据表!BM189)</f>
        <v/>
      </c>
      <c r="AS188" s="88" t="str">
        <f>IF(全车数据表!BN189="","",全车数据表!BN189)</f>
        <v/>
      </c>
      <c r="AT188" s="88" t="str">
        <f>IF(全车数据表!BO189="","",全车数据表!BO189)</f>
        <v/>
      </c>
      <c r="AU188" s="88" t="str">
        <f>IF(全车数据表!BP189="","",全车数据表!BP189)</f>
        <v/>
      </c>
      <c r="AV188" s="88" t="str">
        <f>IF(全车数据表!BQ189="","",全车数据表!BQ189)</f>
        <v>1款</v>
      </c>
      <c r="AW188" s="88" t="str">
        <f>IF(全车数据表!BR189="","",全车数据表!BR189)</f>
        <v/>
      </c>
      <c r="AX188" s="88" t="str">
        <f>IF(全车数据表!BS189="","",全车数据表!BS189)</f>
        <v/>
      </c>
      <c r="AY188" s="88" t="str">
        <f>IF(全车数据表!BT189="","",全车数据表!BT189)</f>
        <v/>
      </c>
      <c r="AZ188" s="88" t="str">
        <f>IF(全车数据表!BU189="","",全车数据表!BU189)</f>
        <v/>
      </c>
      <c r="BA188" s="88" t="str">
        <f>IF(全车数据表!BV189="","",全车数据表!BV189)</f>
        <v>标致 大狮子</v>
      </c>
      <c r="BB188" s="91" t="str">
        <f>IF(全车数据表!AZ189="","",全车数据表!AZ189)</f>
        <v/>
      </c>
    </row>
    <row r="189" spans="1:54">
      <c r="A189" s="88">
        <f>全车数据表!A190</f>
        <v>188</v>
      </c>
      <c r="B189" s="88" t="str">
        <f>全车数据表!B190</f>
        <v>Chevrolet Corvette ZR1</v>
      </c>
      <c r="C189" s="89" t="str">
        <f>全车数据表!E190</f>
        <v>zr1</v>
      </c>
      <c r="D189" s="88" t="str">
        <f>IF(全车数据表!D190="","",全车数据表!D190)</f>
        <v>Chevrolet Corvette</v>
      </c>
      <c r="E189" s="89" t="str">
        <f>全车数据表!H190</f>
        <v>2.1</v>
      </c>
      <c r="F189" s="89" t="str">
        <f>全车数据表!C190</f>
        <v>大五菱</v>
      </c>
      <c r="G189" s="89" t="str">
        <f>全车数据表!F190</f>
        <v>A</v>
      </c>
      <c r="H189" s="88">
        <f>LEN(全车数据表!G190)</f>
        <v>6</v>
      </c>
      <c r="I189" s="88" t="str">
        <f>VLOOKUP(全车数据表!P190,辅助计算!A:B,2,FALSE)</f>
        <v>epic</v>
      </c>
      <c r="J189" s="88">
        <f>全车数据表!Q190</f>
        <v>50</v>
      </c>
      <c r="K189" s="88">
        <f>全车数据表!R190</f>
        <v>15</v>
      </c>
      <c r="L189" s="88">
        <f>全车数据表!S190</f>
        <v>18</v>
      </c>
      <c r="M189" s="88">
        <f>全车数据表!T190</f>
        <v>24</v>
      </c>
      <c r="N189" s="88">
        <f>全车数据表!U190</f>
        <v>38</v>
      </c>
      <c r="O189" s="88">
        <f>全车数据表!V190</f>
        <v>45</v>
      </c>
      <c r="P189" s="88">
        <f>全车数据表!J190</f>
        <v>4031</v>
      </c>
      <c r="Q189" s="88">
        <f>全车数据表!K190</f>
        <v>355.4</v>
      </c>
      <c r="R189" s="88">
        <f>全车数据表!L190</f>
        <v>82.03</v>
      </c>
      <c r="S189" s="88">
        <f>全车数据表!M190</f>
        <v>60.09</v>
      </c>
      <c r="T189" s="88">
        <f>全车数据表!N190</f>
        <v>76.33</v>
      </c>
      <c r="U189" s="88">
        <f>全车数据表!O190</f>
        <v>8.8000000000000007</v>
      </c>
      <c r="V189" s="88">
        <f>全车数据表!AL190</f>
        <v>9752400</v>
      </c>
      <c r="W189" s="88">
        <f>全车数据表!AM190</f>
        <v>35000</v>
      </c>
      <c r="X189" s="88">
        <f>全车数据表!AU190</f>
        <v>5600000</v>
      </c>
      <c r="Y189" s="88">
        <f>全车数据表!AV190</f>
        <v>15352400</v>
      </c>
      <c r="Z189" s="88">
        <f>全车数据表!AN190</f>
        <v>6</v>
      </c>
      <c r="AA189" s="88">
        <f>全车数据表!AP190</f>
        <v>5</v>
      </c>
      <c r="AB189" s="88">
        <f>全车数据表!AR190</f>
        <v>4</v>
      </c>
      <c r="AC189" s="88">
        <f>全车数据表!AW190</f>
        <v>370</v>
      </c>
      <c r="AD189" s="88">
        <f>全车数据表!AX190</f>
        <v>0</v>
      </c>
      <c r="AE189" s="88">
        <f>全车数据表!AY190</f>
        <v>487</v>
      </c>
      <c r="AF189" s="88" t="str">
        <f>IF(全车数据表!BA190="","",全车数据表!BA190)</f>
        <v>旧版寻车</v>
      </c>
      <c r="AG189" s="88" t="str">
        <f>IF(全车数据表!BB190="","",全车数据表!BB190)</f>
        <v/>
      </c>
      <c r="AH189" s="88" t="str">
        <f>IF(全车数据表!BC190="","",全车数据表!BC190)</f>
        <v/>
      </c>
      <c r="AI189" s="88" t="str">
        <f>IF(全车数据表!BD190="","",全车数据表!BD190)</f>
        <v/>
      </c>
      <c r="AJ189" s="88" t="str">
        <f>IF(全车数据表!BE190="","",全车数据表!BE190)</f>
        <v/>
      </c>
      <c r="AK189" s="88" t="str">
        <f>IF(全车数据表!BF190="","",全车数据表!BF190)</f>
        <v/>
      </c>
      <c r="AL189" s="88" t="str">
        <f>IF(全车数据表!BG190="","",全车数据表!BG190)</f>
        <v/>
      </c>
      <c r="AM189" s="88" t="str">
        <f>IF(全车数据表!BH190="","",全车数据表!BH190)</f>
        <v/>
      </c>
      <c r="AN189" s="88" t="str">
        <f>IF(全车数据表!BI190="","",全车数据表!BI190)</f>
        <v/>
      </c>
      <c r="AO189" s="88" t="str">
        <f>IF(全车数据表!BJ190="","",全车数据表!BJ190)</f>
        <v/>
      </c>
      <c r="AP189" s="88" t="str">
        <f>IF(全车数据表!BK190="","",全车数据表!BK190)</f>
        <v/>
      </c>
      <c r="AQ189" s="88" t="str">
        <f>IF(全车数据表!BL190="","",全车数据表!BL190)</f>
        <v/>
      </c>
      <c r="AR189" s="88" t="str">
        <f>IF(全车数据表!BM190="","",全车数据表!BM190)</f>
        <v/>
      </c>
      <c r="AS189" s="88" t="str">
        <f>IF(全车数据表!BN190="","",全车数据表!BN190)</f>
        <v/>
      </c>
      <c r="AT189" s="88" t="str">
        <f>IF(全车数据表!BO190="","",全车数据表!BO190)</f>
        <v/>
      </c>
      <c r="AU189" s="88" t="str">
        <f>IF(全车数据表!BP190="","",全车数据表!BP190)</f>
        <v/>
      </c>
      <c r="AV189" s="88" t="str">
        <f>IF(全车数据表!BQ190="","",全车数据表!BQ190)</f>
        <v/>
      </c>
      <c r="AW189" s="88" t="str">
        <f>IF(全车数据表!BR190="","",全车数据表!BR190)</f>
        <v/>
      </c>
      <c r="AX189" s="88" t="str">
        <f>IF(全车数据表!BS190="","",全车数据表!BS190)</f>
        <v/>
      </c>
      <c r="AY189" s="88">
        <f>IF(全车数据表!BT190="","",全车数据表!BT190)</f>
        <v>1</v>
      </c>
      <c r="AZ189" s="88" t="str">
        <f>IF(全车数据表!BU190="","",全车数据表!BU190)</f>
        <v/>
      </c>
      <c r="BA189" s="88" t="str">
        <f>IF(全车数据表!BV190="","",全车数据表!BV190)</f>
        <v>雪佛兰 克尔维特</v>
      </c>
      <c r="BB189" s="91" t="str">
        <f>IF(全车数据表!AZ190="","",全车数据表!AZ190)</f>
        <v/>
      </c>
    </row>
    <row r="190" spans="1:54">
      <c r="A190" s="88">
        <f>全车数据表!A191</f>
        <v>189</v>
      </c>
      <c r="B190" s="88" t="str">
        <f>全车数据表!B191</f>
        <v>Lamborghini Essenza SCV12🔑</v>
      </c>
      <c r="C190" s="89" t="str">
        <f>全车数据表!E191</f>
        <v>scv12</v>
      </c>
      <c r="D190" s="88" t="str">
        <f>IF(全车数据表!D191="","",全车数据表!D191)</f>
        <v>Lamborghini</v>
      </c>
      <c r="E190" s="89" t="str">
        <f>全车数据表!H191</f>
        <v>2.9</v>
      </c>
      <c r="F190" s="89" t="str">
        <f>全车数据表!C191</f>
        <v>SCV12</v>
      </c>
      <c r="G190" s="89" t="str">
        <f>全车数据表!F191</f>
        <v>A</v>
      </c>
      <c r="H190" s="88">
        <f>LEN(全车数据表!G191)</f>
        <v>5</v>
      </c>
      <c r="I190" s="88" t="str">
        <f>VLOOKUP(全车数据表!P191,辅助计算!A:B,2,FALSE)</f>
        <v>epic</v>
      </c>
      <c r="J190" s="88" t="str">
        <f>全车数据表!Q191</f>
        <v>🔑</v>
      </c>
      <c r="K190" s="88">
        <f>全车数据表!R191</f>
        <v>30</v>
      </c>
      <c r="L190" s="88">
        <f>全车数据表!S191</f>
        <v>38</v>
      </c>
      <c r="M190" s="88">
        <f>全车数据表!T191</f>
        <v>55</v>
      </c>
      <c r="N190" s="88">
        <f>全车数据表!U191</f>
        <v>77</v>
      </c>
      <c r="O190" s="88">
        <f>全车数据表!V191</f>
        <v>0</v>
      </c>
      <c r="P190" s="88">
        <f>全车数据表!J191</f>
        <v>4036</v>
      </c>
      <c r="Q190" s="88">
        <f>全车数据表!K191</f>
        <v>340.1</v>
      </c>
      <c r="R190" s="88">
        <f>全车数据表!L191</f>
        <v>85.03</v>
      </c>
      <c r="S190" s="88">
        <f>全车数据表!M191</f>
        <v>75.44</v>
      </c>
      <c r="T190" s="88">
        <f>全车数据表!N191</f>
        <v>74.52</v>
      </c>
      <c r="U190" s="88">
        <f>全车数据表!O191</f>
        <v>0</v>
      </c>
      <c r="V190" s="88">
        <f>全车数据表!AL191</f>
        <v>0</v>
      </c>
      <c r="W190" s="88">
        <f>全车数据表!AM191</f>
        <v>35000</v>
      </c>
      <c r="X190" s="88">
        <f>全车数据表!AU191</f>
        <v>4760000</v>
      </c>
      <c r="Y190" s="88">
        <f>全车数据表!AV191</f>
        <v>0</v>
      </c>
      <c r="Z190" s="88">
        <f>全车数据表!AN191</f>
        <v>6</v>
      </c>
      <c r="AA190" s="88">
        <f>全车数据表!AP191</f>
        <v>5</v>
      </c>
      <c r="AB190" s="88">
        <f>全车数据表!AR191</f>
        <v>3</v>
      </c>
      <c r="AC190" s="88">
        <f>全车数据表!AW191</f>
        <v>354</v>
      </c>
      <c r="AD190" s="88">
        <f>全车数据表!AX191</f>
        <v>0</v>
      </c>
      <c r="AE190" s="88">
        <f>全车数据表!AY191</f>
        <v>461</v>
      </c>
      <c r="AF190" s="88" t="str">
        <f>IF(全车数据表!BA191="","",全车数据表!BA191)</f>
        <v>大奖赛</v>
      </c>
      <c r="AG190" s="88" t="str">
        <f>IF(全车数据表!BB191="","",全车数据表!BB191)</f>
        <v/>
      </c>
      <c r="AH190" s="88" t="str">
        <f>IF(全车数据表!BC191="","",全车数据表!BC191)</f>
        <v/>
      </c>
      <c r="AI190" s="88" t="str">
        <f>IF(全车数据表!BD191="","",全车数据表!BD191)</f>
        <v/>
      </c>
      <c r="AJ190" s="88" t="str">
        <f>IF(全车数据表!BE191="","",全车数据表!BE191)</f>
        <v/>
      </c>
      <c r="AK190" s="88" t="str">
        <f>IF(全车数据表!BF191="","",全车数据表!BF191)</f>
        <v/>
      </c>
      <c r="AL190" s="88" t="str">
        <f>IF(全车数据表!BG191="","",全车数据表!BG191)</f>
        <v/>
      </c>
      <c r="AM190" s="88" t="str">
        <f>IF(全车数据表!BH191="","",全车数据表!BH191)</f>
        <v/>
      </c>
      <c r="AN190" s="88" t="str">
        <f>IF(全车数据表!BI191="","",全车数据表!BI191)</f>
        <v/>
      </c>
      <c r="AO190" s="88" t="str">
        <f>IF(全车数据表!BJ191="","",全车数据表!BJ191)</f>
        <v/>
      </c>
      <c r="AP190" s="88" t="str">
        <f>IF(全车数据表!BK191="","",全车数据表!BK191)</f>
        <v/>
      </c>
      <c r="AQ190" s="88" t="str">
        <f>IF(全车数据表!BL191="","",全车数据表!BL191)</f>
        <v/>
      </c>
      <c r="AR190" s="88">
        <f>IF(全车数据表!BM191="","",全车数据表!BM191)</f>
        <v>1</v>
      </c>
      <c r="AS190" s="88" t="str">
        <f>IF(全车数据表!BN191="","",全车数据表!BN191)</f>
        <v/>
      </c>
      <c r="AT190" s="88">
        <f>IF(全车数据表!BO191="","",全车数据表!BO191)</f>
        <v>1</v>
      </c>
      <c r="AU190" s="88">
        <f>IF(全车数据表!BP191="","",全车数据表!BP191)</f>
        <v>1</v>
      </c>
      <c r="AV190" s="88" t="str">
        <f>IF(全车数据表!BQ191="","",全车数据表!BQ191)</f>
        <v/>
      </c>
      <c r="AW190" s="88" t="str">
        <f>IF(全车数据表!BR191="","",全车数据表!BR191)</f>
        <v/>
      </c>
      <c r="AX190" s="88" t="str">
        <f>IF(全车数据表!BS191="","",全车数据表!BS191)</f>
        <v/>
      </c>
      <c r="AY190" s="88" t="str">
        <f>IF(全车数据表!BT191="","",全车数据表!BT191)</f>
        <v/>
      </c>
      <c r="AZ190" s="88" t="str">
        <f>IF(全车数据表!BU191="","",全车数据表!BU191)</f>
        <v/>
      </c>
      <c r="BA190" s="88" t="str">
        <f>IF(全车数据表!BV191="","",全车数据表!BV191)</f>
        <v>兰博基尼</v>
      </c>
      <c r="BB190" s="91" t="str">
        <f>IF(全车数据表!AZ191="","",全车数据表!AZ191)</f>
        <v/>
      </c>
    </row>
    <row r="191" spans="1:54">
      <c r="A191" s="88">
        <f>全车数据表!A192</f>
        <v>190</v>
      </c>
      <c r="B191" s="88" t="str">
        <f>全车数据表!B192</f>
        <v>Puritalia Berlinetta</v>
      </c>
      <c r="C191" s="89" t="str">
        <f>全车数据表!E192</f>
        <v>berlinetta</v>
      </c>
      <c r="D191" s="88" t="str">
        <f>IF(全车数据表!D192="","",全车数据表!D192)</f>
        <v>Puritalia</v>
      </c>
      <c r="E191" s="89" t="str">
        <f>全车数据表!H192</f>
        <v>3.5</v>
      </c>
      <c r="F191" s="89" t="str">
        <f>全车数据表!C192</f>
        <v>Berlinetta</v>
      </c>
      <c r="G191" s="89" t="str">
        <f>全车数据表!F192</f>
        <v>A</v>
      </c>
      <c r="H191" s="88">
        <f>LEN(全车数据表!G192)</f>
        <v>5</v>
      </c>
      <c r="I191" s="88" t="str">
        <f>VLOOKUP(全车数据表!P192,辅助计算!A:B,2,FALSE)</f>
        <v>epic</v>
      </c>
      <c r="J191" s="88">
        <f>全车数据表!Q192</f>
        <v>40</v>
      </c>
      <c r="K191" s="88">
        <f>全车数据表!R192</f>
        <v>38</v>
      </c>
      <c r="L191" s="88">
        <f>全车数据表!S192</f>
        <v>42</v>
      </c>
      <c r="M191" s="88">
        <f>全车数据表!T192</f>
        <v>48</v>
      </c>
      <c r="N191" s="88">
        <f>全车数据表!U192</f>
        <v>60</v>
      </c>
      <c r="O191" s="88">
        <f>全车数据表!V192</f>
        <v>0</v>
      </c>
      <c r="P191" s="88">
        <f>全车数据表!J192</f>
        <v>4061</v>
      </c>
      <c r="Q191" s="88">
        <f>全车数据表!K192</f>
        <v>348.8</v>
      </c>
      <c r="R191" s="88">
        <f>全车数据表!L192</f>
        <v>83.35</v>
      </c>
      <c r="S191" s="88">
        <f>全车数据表!M192</f>
        <v>82.35</v>
      </c>
      <c r="T191" s="88">
        <f>全车数据表!N192</f>
        <v>69.25</v>
      </c>
      <c r="U191" s="88">
        <f>全车数据表!O192</f>
        <v>0</v>
      </c>
      <c r="V191" s="88">
        <f>全车数据表!AL192</f>
        <v>9752000</v>
      </c>
      <c r="W191" s="88">
        <f>全车数据表!AM192</f>
        <v>35000</v>
      </c>
      <c r="X191" s="88">
        <f>全车数据表!AU192</f>
        <v>4760000</v>
      </c>
      <c r="Y191" s="88">
        <f>全车数据表!AV192</f>
        <v>14512000</v>
      </c>
      <c r="Z191" s="88">
        <f>全车数据表!AN192</f>
        <v>6</v>
      </c>
      <c r="AA191" s="88">
        <f>全车数据表!AP192</f>
        <v>5</v>
      </c>
      <c r="AB191" s="88">
        <f>全车数据表!AR192</f>
        <v>3</v>
      </c>
      <c r="AC191" s="88">
        <f>全车数据表!AW192</f>
        <v>361</v>
      </c>
      <c r="AD191" s="88">
        <f>全车数据表!AX192</f>
        <v>0</v>
      </c>
      <c r="AE191" s="88">
        <f>全车数据表!AY192</f>
        <v>473</v>
      </c>
      <c r="AF191" s="88" t="str">
        <f>IF(全车数据表!BA192="","",全车数据表!BA192)</f>
        <v>通行证</v>
      </c>
      <c r="AG191" s="88" t="str">
        <f>IF(全车数据表!BB192="","",全车数据表!BB192)</f>
        <v/>
      </c>
      <c r="AH191" s="88" t="str">
        <f>IF(全车数据表!BC192="","",全车数据表!BC192)</f>
        <v/>
      </c>
      <c r="AI191" s="88" t="str">
        <f>IF(全车数据表!BD192="","",全车数据表!BD192)</f>
        <v/>
      </c>
      <c r="AJ191" s="88" t="str">
        <f>IF(全车数据表!BE192="","",全车数据表!BE192)</f>
        <v/>
      </c>
      <c r="AK191" s="88" t="str">
        <f>IF(全车数据表!BF192="","",全车数据表!BF192)</f>
        <v/>
      </c>
      <c r="AL191" s="88" t="str">
        <f>IF(全车数据表!BG192="","",全车数据表!BG192)</f>
        <v/>
      </c>
      <c r="AM191" s="88">
        <f>IF(全车数据表!BH192="","",全车数据表!BH192)</f>
        <v>1</v>
      </c>
      <c r="AN191" s="88" t="str">
        <f>IF(全车数据表!BI192="","",全车数据表!BI192)</f>
        <v/>
      </c>
      <c r="AO191" s="88" t="str">
        <f>IF(全车数据表!BJ192="","",全车数据表!BJ192)</f>
        <v/>
      </c>
      <c r="AP191" s="88" t="str">
        <f>IF(全车数据表!BK192="","",全车数据表!BK192)</f>
        <v/>
      </c>
      <c r="AQ191" s="88" t="str">
        <f>IF(全车数据表!BL192="","",全车数据表!BL192)</f>
        <v/>
      </c>
      <c r="AR191" s="88" t="str">
        <f>IF(全车数据表!BM192="","",全车数据表!BM192)</f>
        <v/>
      </c>
      <c r="AS191" s="88" t="str">
        <f>IF(全车数据表!BN192="","",全车数据表!BN192)</f>
        <v/>
      </c>
      <c r="AT191" s="88" t="str">
        <f>IF(全车数据表!BO192="","",全车数据表!BO192)</f>
        <v/>
      </c>
      <c r="AU191" s="88">
        <f>IF(全车数据表!BP192="","",全车数据表!BP192)</f>
        <v>1</v>
      </c>
      <c r="AV191" s="88" t="str">
        <f>IF(全车数据表!BQ192="","",全车数据表!BQ192)</f>
        <v>1款</v>
      </c>
      <c r="AW191" s="88" t="str">
        <f>IF(全车数据表!BR192="","",全车数据表!BR192)</f>
        <v/>
      </c>
      <c r="AX191" s="88" t="str">
        <f>IF(全车数据表!BS192="","",全车数据表!BS192)</f>
        <v/>
      </c>
      <c r="AY191" s="88" t="str">
        <f>IF(全车数据表!BT192="","",全车数据表!BT192)</f>
        <v/>
      </c>
      <c r="AZ191" s="88" t="str">
        <f>IF(全车数据表!BU192="","",全车数据表!BU192)</f>
        <v/>
      </c>
      <c r="BA191" s="88" t="str">
        <f>IF(全车数据表!BV192="","",全车数据表!BV192)</f>
        <v/>
      </c>
      <c r="BB191" s="91" t="str">
        <f>IF(全车数据表!AZ192="","",全车数据表!AZ192)</f>
        <v/>
      </c>
    </row>
    <row r="192" spans="1:54">
      <c r="A192" s="88">
        <f>全车数据表!A193</f>
        <v>191</v>
      </c>
      <c r="B192" s="88" t="str">
        <f>全车数据表!B193</f>
        <v>Lamborghini SC18🔑</v>
      </c>
      <c r="C192" s="89" t="str">
        <f>全车数据表!E193</f>
        <v>sc18</v>
      </c>
      <c r="D192" s="88" t="str">
        <f>IF(全车数据表!D193="","",全车数据表!D193)</f>
        <v>Lamborghini</v>
      </c>
      <c r="E192" s="89" t="str">
        <f>全车数据表!H193</f>
        <v>2.4</v>
      </c>
      <c r="F192" s="89" t="str">
        <f>全车数据表!C193</f>
        <v>SC18</v>
      </c>
      <c r="G192" s="89" t="str">
        <f>全车数据表!F193</f>
        <v>A</v>
      </c>
      <c r="H192" s="88">
        <f>LEN(全车数据表!G193)</f>
        <v>6</v>
      </c>
      <c r="I192" s="88" t="str">
        <f>VLOOKUP(全车数据表!P193,辅助计算!A:B,2,FALSE)</f>
        <v>epic</v>
      </c>
      <c r="J192" s="88" t="str">
        <f>全车数据表!Q193</f>
        <v>🔑</v>
      </c>
      <c r="K192" s="88">
        <f>全车数据表!R193</f>
        <v>30</v>
      </c>
      <c r="L192" s="88">
        <f>全车数据表!S193</f>
        <v>40</v>
      </c>
      <c r="M192" s="88">
        <f>全车数据表!T193</f>
        <v>50</v>
      </c>
      <c r="N192" s="88">
        <f>全车数据表!U193</f>
        <v>65</v>
      </c>
      <c r="O192" s="88">
        <f>全车数据表!V193</f>
        <v>80</v>
      </c>
      <c r="P192" s="88">
        <f>全车数据表!J193</f>
        <v>4079</v>
      </c>
      <c r="Q192" s="88">
        <f>全车数据表!K193</f>
        <v>355.6</v>
      </c>
      <c r="R192" s="88">
        <f>全车数据表!L193</f>
        <v>81.99</v>
      </c>
      <c r="S192" s="88">
        <f>全车数据表!M193</f>
        <v>64.05</v>
      </c>
      <c r="T192" s="88">
        <f>全车数据表!N193</f>
        <v>82.46</v>
      </c>
      <c r="U192" s="88">
        <f>全车数据表!O193</f>
        <v>0</v>
      </c>
      <c r="V192" s="88">
        <f>全车数据表!AL193</f>
        <v>9752400</v>
      </c>
      <c r="W192" s="88">
        <f>全车数据表!AM193</f>
        <v>35000</v>
      </c>
      <c r="X192" s="88">
        <f>全车数据表!AU193</f>
        <v>5600000</v>
      </c>
      <c r="Y192" s="88">
        <f>全车数据表!AV193</f>
        <v>15352400</v>
      </c>
      <c r="Z192" s="88">
        <f>全车数据表!AN193</f>
        <v>6</v>
      </c>
      <c r="AA192" s="88">
        <f>全车数据表!AP193</f>
        <v>5</v>
      </c>
      <c r="AB192" s="88">
        <f>全车数据表!AR193</f>
        <v>4</v>
      </c>
      <c r="AC192" s="88">
        <f>全车数据表!AW193</f>
        <v>370</v>
      </c>
      <c r="AD192" s="88">
        <f>全车数据表!AX193</f>
        <v>0</v>
      </c>
      <c r="AE192" s="88">
        <f>全车数据表!AY193</f>
        <v>487</v>
      </c>
      <c r="AF192" s="88" t="str">
        <f>IF(全车数据表!BA193="","",全车数据表!BA193)</f>
        <v>大奖赛</v>
      </c>
      <c r="AG192" s="88" t="str">
        <f>IF(全车数据表!BB193="","",全车数据表!BB193)</f>
        <v/>
      </c>
      <c r="AH192" s="88" t="str">
        <f>IF(全车数据表!BC193="","",全车数据表!BC193)</f>
        <v/>
      </c>
      <c r="AI192" s="88" t="str">
        <f>IF(全车数据表!BD193="","",全车数据表!BD193)</f>
        <v/>
      </c>
      <c r="AJ192" s="88" t="str">
        <f>IF(全车数据表!BE193="","",全车数据表!BE193)</f>
        <v/>
      </c>
      <c r="AK192" s="88" t="str">
        <f>IF(全车数据表!BF193="","",全车数据表!BF193)</f>
        <v/>
      </c>
      <c r="AL192" s="88" t="str">
        <f>IF(全车数据表!BG193="","",全车数据表!BG193)</f>
        <v/>
      </c>
      <c r="AM192" s="88" t="str">
        <f>IF(全车数据表!BH193="","",全车数据表!BH193)</f>
        <v/>
      </c>
      <c r="AN192" s="88" t="str">
        <f>IF(全车数据表!BI193="","",全车数据表!BI193)</f>
        <v/>
      </c>
      <c r="AO192" s="88" t="str">
        <f>IF(全车数据表!BJ193="","",全车数据表!BJ193)</f>
        <v/>
      </c>
      <c r="AP192" s="88" t="str">
        <f>IF(全车数据表!BK193="","",全车数据表!BK193)</f>
        <v/>
      </c>
      <c r="AQ192" s="88" t="str">
        <f>IF(全车数据表!BL193="","",全车数据表!BL193)</f>
        <v/>
      </c>
      <c r="AR192" s="88">
        <f>IF(全车数据表!BM193="","",全车数据表!BM193)</f>
        <v>1</v>
      </c>
      <c r="AS192" s="88" t="str">
        <f>IF(全车数据表!BN193="","",全车数据表!BN193)</f>
        <v/>
      </c>
      <c r="AT192" s="88">
        <f>IF(全车数据表!BO193="","",全车数据表!BO193)</f>
        <v>1</v>
      </c>
      <c r="AU192" s="88">
        <f>IF(全车数据表!BP193="","",全车数据表!BP193)</f>
        <v>1</v>
      </c>
      <c r="AV192" s="88" t="str">
        <f>IF(全车数据表!BQ193="","",全车数据表!BQ193)</f>
        <v/>
      </c>
      <c r="AW192" s="88" t="str">
        <f>IF(全车数据表!BR193="","",全车数据表!BR193)</f>
        <v/>
      </c>
      <c r="AX192" s="88" t="str">
        <f>IF(全车数据表!BS193="","",全车数据表!BS193)</f>
        <v/>
      </c>
      <c r="AY192" s="88" t="str">
        <f>IF(全车数据表!BT193="","",全车数据表!BT193)</f>
        <v/>
      </c>
      <c r="AZ192" s="88" t="str">
        <f>IF(全车数据表!BU193="","",全车数据表!BU193)</f>
        <v/>
      </c>
      <c r="BA192" s="88" t="str">
        <f>IF(全车数据表!BV193="","",全车数据表!BV193)</f>
        <v>兰博基尼 四川</v>
      </c>
      <c r="BB192" s="91" t="str">
        <f>IF(全车数据表!AZ193="","",全车数据表!AZ193)</f>
        <v/>
      </c>
    </row>
    <row r="193" spans="1:54">
      <c r="A193" s="88">
        <f>全车数据表!A194</f>
        <v>192</v>
      </c>
      <c r="B193" s="88" t="str">
        <f>全车数据表!B194</f>
        <v>Lamborghini Aventador SVJ Roadster</v>
      </c>
      <c r="C193" s="89" t="str">
        <f>全车数据表!E194</f>
        <v>svj</v>
      </c>
      <c r="D193" s="88" t="str">
        <f>IF(全车数据表!D194="","",全车数据表!D194)</f>
        <v>Lamborghini</v>
      </c>
      <c r="E193" s="89" t="str">
        <f>全车数据表!H194</f>
        <v>3.2</v>
      </c>
      <c r="F193" s="89" t="str">
        <f>全车数据表!C194</f>
        <v>SVJ</v>
      </c>
      <c r="G193" s="89" t="str">
        <f>全车数据表!F194</f>
        <v>A</v>
      </c>
      <c r="H193" s="88">
        <f>LEN(全车数据表!G194)</f>
        <v>6</v>
      </c>
      <c r="I193" s="88" t="str">
        <f>VLOOKUP(全车数据表!P194,辅助计算!A:B,2,FALSE)</f>
        <v>epic</v>
      </c>
      <c r="J193" s="88">
        <f>全车数据表!Q194</f>
        <v>70</v>
      </c>
      <c r="K193" s="88">
        <f>全车数据表!R194</f>
        <v>23</v>
      </c>
      <c r="L193" s="88">
        <f>全车数据表!S194</f>
        <v>27</v>
      </c>
      <c r="M193" s="88">
        <f>全车数据表!T194</f>
        <v>36</v>
      </c>
      <c r="N193" s="88">
        <f>全车数据表!U194</f>
        <v>52</v>
      </c>
      <c r="O193" s="88">
        <f>全车数据表!V194</f>
        <v>59</v>
      </c>
      <c r="P193" s="88">
        <f>全车数据表!J194</f>
        <v>4080</v>
      </c>
      <c r="Q193" s="88">
        <f>全车数据表!K194</f>
        <v>364.8</v>
      </c>
      <c r="R193" s="88">
        <f>全车数据表!L194</f>
        <v>81.09</v>
      </c>
      <c r="S193" s="88">
        <f>全车数据表!M194</f>
        <v>73.75</v>
      </c>
      <c r="T193" s="88">
        <f>全车数据表!N194</f>
        <v>73.930000000000007</v>
      </c>
      <c r="U193" s="88">
        <f>全车数据表!O194</f>
        <v>0</v>
      </c>
      <c r="V193" s="88">
        <f>全车数据表!AL194</f>
        <v>9752400</v>
      </c>
      <c r="W193" s="88">
        <f>全车数据表!AM194</f>
        <v>35000</v>
      </c>
      <c r="X193" s="88">
        <f>全车数据表!AU194</f>
        <v>5600000</v>
      </c>
      <c r="Y193" s="88">
        <f>全车数据表!AV194</f>
        <v>15352400</v>
      </c>
      <c r="Z193" s="88">
        <f>全车数据表!AN194</f>
        <v>6</v>
      </c>
      <c r="AA193" s="88">
        <f>全车数据表!AP194</f>
        <v>5</v>
      </c>
      <c r="AB193" s="88">
        <f>全车数据表!AR194</f>
        <v>4</v>
      </c>
      <c r="AC193" s="88">
        <f>全车数据表!AW194</f>
        <v>379</v>
      </c>
      <c r="AD193" s="88">
        <f>全车数据表!AX194</f>
        <v>0</v>
      </c>
      <c r="AE193" s="88">
        <f>全车数据表!AY194</f>
        <v>503</v>
      </c>
      <c r="AF193" s="88" t="str">
        <f>IF(全车数据表!BA194="","",全车数据表!BA194)</f>
        <v>惊艳亮相</v>
      </c>
      <c r="AG193" s="88" t="str">
        <f>IF(全车数据表!BB194="","",全车数据表!BB194)</f>
        <v/>
      </c>
      <c r="AH193" s="88" t="str">
        <f>IF(全车数据表!BC194="","",全车数据表!BC194)</f>
        <v/>
      </c>
      <c r="AI193" s="88" t="str">
        <f>IF(全车数据表!BD194="","",全车数据表!BD194)</f>
        <v/>
      </c>
      <c r="AJ193" s="88" t="str">
        <f>IF(全车数据表!BE194="","",全车数据表!BE194)</f>
        <v/>
      </c>
      <c r="AK193" s="88" t="str">
        <f>IF(全车数据表!BF194="","",全车数据表!BF194)</f>
        <v/>
      </c>
      <c r="AL193" s="88" t="str">
        <f>IF(全车数据表!BG194="","",全车数据表!BG194)</f>
        <v/>
      </c>
      <c r="AM193" s="88" t="str">
        <f>IF(全车数据表!BH194="","",全车数据表!BH194)</f>
        <v/>
      </c>
      <c r="AN193" s="88">
        <f>IF(全车数据表!BI194="","",全车数据表!BI194)</f>
        <v>1</v>
      </c>
      <c r="AO193" s="88" t="str">
        <f>IF(全车数据表!BJ194="","",全车数据表!BJ194)</f>
        <v/>
      </c>
      <c r="AP193" s="88" t="str">
        <f>IF(全车数据表!BK194="","",全车数据表!BK194)</f>
        <v/>
      </c>
      <c r="AQ193" s="88" t="str">
        <f>IF(全车数据表!BL194="","",全车数据表!BL194)</f>
        <v/>
      </c>
      <c r="AR193" s="88" t="str">
        <f>IF(全车数据表!BM194="","",全车数据表!BM194)</f>
        <v/>
      </c>
      <c r="AS193" s="88" t="str">
        <f>IF(全车数据表!BN194="","",全车数据表!BN194)</f>
        <v/>
      </c>
      <c r="AT193" s="88" t="str">
        <f>IF(全车数据表!BO194="","",全车数据表!BO194)</f>
        <v/>
      </c>
      <c r="AU193" s="88" t="str">
        <f>IF(全车数据表!BP194="","",全车数据表!BP194)</f>
        <v/>
      </c>
      <c r="AV193" s="88" t="str">
        <f>IF(全车数据表!BQ194="","",全车数据表!BQ194)</f>
        <v>1款</v>
      </c>
      <c r="AW193" s="88" t="str">
        <f>IF(全车数据表!BR194="","",全车数据表!BR194)</f>
        <v/>
      </c>
      <c r="AX193" s="88" t="str">
        <f>IF(全车数据表!BS194="","",全车数据表!BS194)</f>
        <v>无顶</v>
      </c>
      <c r="AY193" s="88" t="str">
        <f>IF(全车数据表!BT194="","",全车数据表!BT194)</f>
        <v/>
      </c>
      <c r="AZ193" s="88" t="str">
        <f>IF(全车数据表!BU194="","",全车数据表!BU194)</f>
        <v/>
      </c>
      <c r="BA193" s="88" t="str">
        <f>IF(全车数据表!BV194="","",全车数据表!BV194)</f>
        <v>兰博基尼</v>
      </c>
      <c r="BB193" s="91" t="str">
        <f>IF(全车数据表!AZ194="","",全车数据表!AZ194)</f>
        <v/>
      </c>
    </row>
    <row r="194" spans="1:54">
      <c r="A194" s="88">
        <f>全车数据表!A195</f>
        <v>193</v>
      </c>
      <c r="B194" s="88" t="str">
        <f>全车数据表!B195</f>
        <v>Formula E Gen 3 EVO Championship Edition🔑</v>
      </c>
      <c r="C194" s="89" t="str">
        <f>全车数据表!E195</f>
        <v>fegen3</v>
      </c>
      <c r="D194" s="88" t="str">
        <f>IF(全车数据表!D195="","",全车数据表!D195)</f>
        <v>Formula E</v>
      </c>
      <c r="E194" s="89" t="str">
        <f>全车数据表!H195</f>
        <v>5.2</v>
      </c>
      <c r="F194" s="89" t="str">
        <f>全车数据表!C195</f>
        <v>FE Gen3</v>
      </c>
      <c r="G194" s="89" t="str">
        <f>全车数据表!F195</f>
        <v>A</v>
      </c>
      <c r="H194" s="88">
        <f>LEN(全车数据表!G195)</f>
        <v>5</v>
      </c>
      <c r="I194" s="88" t="str">
        <f>VLOOKUP(全车数据表!P195,辅助计算!A:B,2,FALSE)</f>
        <v>epic</v>
      </c>
      <c r="J194" s="88" t="str">
        <f>全车数据表!Q195</f>
        <v>🔑</v>
      </c>
      <c r="K194" s="88">
        <f>全车数据表!R195</f>
        <v>30</v>
      </c>
      <c r="L194" s="88">
        <f>全车数据表!S195</f>
        <v>38</v>
      </c>
      <c r="M194" s="88">
        <f>全车数据表!T195</f>
        <v>55</v>
      </c>
      <c r="N194" s="88">
        <f>全车数据表!U195</f>
        <v>77</v>
      </c>
      <c r="O194" s="88">
        <f>全车数据表!V195</f>
        <v>0</v>
      </c>
      <c r="P194" s="88">
        <f>全车数据表!J195</f>
        <v>4082</v>
      </c>
      <c r="Q194" s="88">
        <f>全车数据表!K195</f>
        <v>345.1</v>
      </c>
      <c r="R194" s="88">
        <f>全车数据表!L195</f>
        <v>90.21</v>
      </c>
      <c r="S194" s="88">
        <f>全车数据表!M195</f>
        <v>77.89</v>
      </c>
      <c r="T194" s="88">
        <f>全车数据表!N195</f>
        <v>62.24</v>
      </c>
      <c r="U194" s="88">
        <f>全车数据表!O195</f>
        <v>0</v>
      </c>
      <c r="V194" s="88">
        <f>全车数据表!AL195</f>
        <v>5950600</v>
      </c>
      <c r="W194" s="88">
        <f>全车数据表!AM195</f>
        <v>42000</v>
      </c>
      <c r="X194" s="88">
        <f>全车数据表!AU195</f>
        <v>5712000</v>
      </c>
      <c r="Y194" s="88">
        <f>全车数据表!AV195</f>
        <v>11662600</v>
      </c>
      <c r="Z194" s="88">
        <f>全车数据表!AN195</f>
        <v>6</v>
      </c>
      <c r="AA194" s="88">
        <f>全车数据表!AP195</f>
        <v>5</v>
      </c>
      <c r="AB194" s="88">
        <f>全车数据表!AR195</f>
        <v>3</v>
      </c>
      <c r="AC194" s="88">
        <f>全车数据表!AW195</f>
        <v>0</v>
      </c>
      <c r="AD194" s="88">
        <f>全车数据表!AX195</f>
        <v>0</v>
      </c>
      <c r="AE194" s="88">
        <f>全车数据表!AY195</f>
        <v>0</v>
      </c>
      <c r="AF194" s="88" t="str">
        <f>IF(全车数据表!BA195="","",全车数据表!BA195)</f>
        <v>专属赛事</v>
      </c>
      <c r="AG194" s="88" t="str">
        <f>IF(全车数据表!BB195="","",全车数据表!BB195)</f>
        <v/>
      </c>
      <c r="AH194" s="88" t="str">
        <f>IF(全车数据表!BC195="","",全车数据表!BC195)</f>
        <v/>
      </c>
      <c r="AI194" s="88" t="str">
        <f>IF(全车数据表!BD195="","",全车数据表!BD195)</f>
        <v/>
      </c>
      <c r="AJ194" s="88" t="str">
        <f>IF(全车数据表!BE195="","",全车数据表!BE195)</f>
        <v/>
      </c>
      <c r="AK194" s="88" t="str">
        <f>IF(全车数据表!BF195="","",全车数据表!BF195)</f>
        <v/>
      </c>
      <c r="AL194" s="88" t="str">
        <f>IF(全车数据表!BG195="","",全车数据表!BG195)</f>
        <v/>
      </c>
      <c r="AM194" s="88" t="str">
        <f>IF(全车数据表!BH195="","",全车数据表!BH195)</f>
        <v/>
      </c>
      <c r="AN194" s="88" t="str">
        <f>IF(全车数据表!BI195="","",全车数据表!BI195)</f>
        <v/>
      </c>
      <c r="AO194" s="88" t="str">
        <f>IF(全车数据表!BJ195="","",全车数据表!BJ195)</f>
        <v/>
      </c>
      <c r="AP194" s="88" t="str">
        <f>IF(全车数据表!BK195="","",全车数据表!BK195)</f>
        <v/>
      </c>
      <c r="AQ194" s="88" t="str">
        <f>IF(全车数据表!BL195="","",全车数据表!BL195)</f>
        <v/>
      </c>
      <c r="AR194" s="88" t="str">
        <f>IF(全车数据表!BM195="","",全车数据表!BM195)</f>
        <v/>
      </c>
      <c r="AS194" s="88" t="str">
        <f>IF(全车数据表!BN195="","",全车数据表!BN195)</f>
        <v/>
      </c>
      <c r="AT194" s="88" t="str">
        <f>IF(全车数据表!BO195="","",全车数据表!BO195)</f>
        <v/>
      </c>
      <c r="AU194" s="88" t="str">
        <f>IF(全车数据表!BP195="","",全车数据表!BP195)</f>
        <v/>
      </c>
      <c r="AV194" s="88" t="str">
        <f>IF(全车数据表!BQ195="","",全车数据表!BQ195)</f>
        <v/>
      </c>
      <c r="AW194" s="88" t="str">
        <f>IF(全车数据表!BR195="","",全车数据表!BR195)</f>
        <v/>
      </c>
      <c r="AX194" s="88" t="str">
        <f>IF(全车数据表!BS195="","",全车数据表!BS195)</f>
        <v/>
      </c>
      <c r="AY194" s="88" t="str">
        <f>IF(全车数据表!BT195="","",全车数据表!BT195)</f>
        <v/>
      </c>
      <c r="AZ194" s="88" t="str">
        <f>IF(全车数据表!BU195="","",全车数据表!BU195)</f>
        <v/>
      </c>
      <c r="BA194" s="88" t="str">
        <f>IF(全车数据表!BV195="","",全车数据表!BV195)</f>
        <v>电动方程式 电方</v>
      </c>
      <c r="BB194" s="91" t="str">
        <f>IF(全车数据表!AZ195="","",全车数据表!AZ195)</f>
        <v/>
      </c>
    </row>
    <row r="195" spans="1:54">
      <c r="A195" s="88">
        <f>全车数据表!A196</f>
        <v>194</v>
      </c>
      <c r="B195" s="88" t="str">
        <f>全车数据表!B196</f>
        <v>Ford GT CNY Edition</v>
      </c>
      <c r="C195" s="89" t="str">
        <f>全车数据表!E196</f>
        <v>gtcny</v>
      </c>
      <c r="D195" s="88" t="str">
        <f>IF(全车数据表!D196="","",全车数据表!D196)</f>
        <v>Ford</v>
      </c>
      <c r="E195" s="89" t="str">
        <f>全车数据表!H196</f>
        <v>5.0</v>
      </c>
      <c r="F195" s="89" t="str">
        <f>全车数据表!C196</f>
        <v>GT春节版</v>
      </c>
      <c r="G195" s="89" t="str">
        <f>全车数据表!F196</f>
        <v>A</v>
      </c>
      <c r="H195" s="88">
        <f>LEN(全车数据表!G196)</f>
        <v>5</v>
      </c>
      <c r="I195" s="88" t="str">
        <f>VLOOKUP(全车数据表!P196,辅助计算!A:B,2,FALSE)</f>
        <v>epic</v>
      </c>
      <c r="J195" s="88">
        <f>全车数据表!Q196</f>
        <v>40</v>
      </c>
      <c r="K195" s="88">
        <f>全车数据表!R196</f>
        <v>33</v>
      </c>
      <c r="L195" s="88">
        <f>全车数据表!S196</f>
        <v>38</v>
      </c>
      <c r="M195" s="88">
        <f>全车数据表!T196</f>
        <v>43</v>
      </c>
      <c r="N195" s="88">
        <f>全车数据表!U196</f>
        <v>48</v>
      </c>
      <c r="O195" s="88">
        <f>全车数据表!V196</f>
        <v>0</v>
      </c>
      <c r="P195" s="88">
        <f>全车数据表!J196</f>
        <v>4093</v>
      </c>
      <c r="Q195" s="88">
        <f>全车数据表!K196</f>
        <v>366.8</v>
      </c>
      <c r="R195" s="88">
        <f>全车数据表!L196</f>
        <v>79.14</v>
      </c>
      <c r="S195" s="88">
        <f>全车数据表!M196</f>
        <v>68.150000000000006</v>
      </c>
      <c r="T195" s="88">
        <f>全车数据表!N196</f>
        <v>73.89</v>
      </c>
      <c r="U195" s="88">
        <f>全车数据表!O196</f>
        <v>0</v>
      </c>
      <c r="V195" s="88">
        <f>全车数据表!AL196</f>
        <v>5950600</v>
      </c>
      <c r="W195" s="88">
        <f>全车数据表!AM196</f>
        <v>42000</v>
      </c>
      <c r="X195" s="88">
        <f>全车数据表!AU196</f>
        <v>6720000</v>
      </c>
      <c r="Y195" s="88">
        <f>全车数据表!AV196</f>
        <v>12670600</v>
      </c>
      <c r="Z195" s="88">
        <f>全车数据表!AN196</f>
        <v>6</v>
      </c>
      <c r="AA195" s="88">
        <f>全车数据表!AP196</f>
        <v>5</v>
      </c>
      <c r="AB195" s="88">
        <f>全车数据表!AR196</f>
        <v>4</v>
      </c>
      <c r="AC195" s="88">
        <f>全车数据表!AW196</f>
        <v>381</v>
      </c>
      <c r="AD195" s="88">
        <f>全车数据表!AX196</f>
        <v>0</v>
      </c>
      <c r="AE195" s="88">
        <f>全车数据表!AY196</f>
        <v>507</v>
      </c>
      <c r="AF195" s="88" t="str">
        <f>IF(全车数据表!BA196="","",全车数据表!BA196)</f>
        <v>限时赛事</v>
      </c>
      <c r="AG195" s="88" t="str">
        <f>IF(全车数据表!BB196="","",全车数据表!BB196)</f>
        <v/>
      </c>
      <c r="AH195" s="88" t="str">
        <f>IF(全车数据表!BC196="","",全车数据表!BC196)</f>
        <v/>
      </c>
      <c r="AI195" s="88" t="str">
        <f>IF(全车数据表!BD196="","",全车数据表!BD196)</f>
        <v/>
      </c>
      <c r="AJ195" s="88" t="str">
        <f>IF(全车数据表!BE196="","",全车数据表!BE196)</f>
        <v/>
      </c>
      <c r="AK195" s="88" t="str">
        <f>IF(全车数据表!BF196="","",全车数据表!BF196)</f>
        <v/>
      </c>
      <c r="AL195" s="88" t="str">
        <f>IF(全车数据表!BG196="","",全车数据表!BG196)</f>
        <v/>
      </c>
      <c r="AM195" s="88" t="str">
        <f>IF(全车数据表!BH196="","",全车数据表!BH196)</f>
        <v/>
      </c>
      <c r="AN195" s="88" t="str">
        <f>IF(全车数据表!BI196="","",全车数据表!BI196)</f>
        <v/>
      </c>
      <c r="AO195" s="88" t="str">
        <f>IF(全车数据表!BJ196="","",全车数据表!BJ196)</f>
        <v/>
      </c>
      <c r="AP195" s="88" t="str">
        <f>IF(全车数据表!BK196="","",全车数据表!BK196)</f>
        <v/>
      </c>
      <c r="AQ195" s="88" t="str">
        <f>IF(全车数据表!BL196="","",全车数据表!BL196)</f>
        <v/>
      </c>
      <c r="AR195" s="88" t="str">
        <f>IF(全车数据表!BM196="","",全车数据表!BM196)</f>
        <v/>
      </c>
      <c r="AS195" s="88" t="str">
        <f>IF(全车数据表!BN196="","",全车数据表!BN196)</f>
        <v/>
      </c>
      <c r="AT195" s="88" t="str">
        <f>IF(全车数据表!BO196="","",全车数据表!BO196)</f>
        <v/>
      </c>
      <c r="AU195" s="88" t="str">
        <f>IF(全车数据表!BP196="","",全车数据表!BP196)</f>
        <v/>
      </c>
      <c r="AV195" s="88" t="str">
        <f>IF(全车数据表!BQ196="","",全车数据表!BQ196)</f>
        <v/>
      </c>
      <c r="AW195" s="88" t="str">
        <f>IF(全车数据表!BR196="","",全车数据表!BR196)</f>
        <v/>
      </c>
      <c r="AX195" s="88" t="str">
        <f>IF(全车数据表!BS196="","",全车数据表!BS196)</f>
        <v/>
      </c>
      <c r="AY195" s="88" t="str">
        <f>IF(全车数据表!BT196="","",全车数据表!BT196)</f>
        <v/>
      </c>
      <c r="AZ195" s="88" t="str">
        <f>IF(全车数据表!BU196="","",全车数据表!BU196)</f>
        <v/>
      </c>
      <c r="BA195" s="88" t="str">
        <f>IF(全车数据表!BV196="","",全车数据表!BV196)</f>
        <v>福特 极速是爹 人民币</v>
      </c>
      <c r="BB195" s="91" t="str">
        <f>IF(全车数据表!AZ196="","",全车数据表!AZ196)</f>
        <v/>
      </c>
    </row>
    <row r="196" spans="1:54">
      <c r="A196" s="88">
        <f>全车数据表!A197</f>
        <v>195</v>
      </c>
      <c r="B196" s="88" t="str">
        <f>全车数据表!B197</f>
        <v>Ferrari 488 Challenge EVO🔑</v>
      </c>
      <c r="C196" s="89" t="str">
        <f>全车数据表!E197</f>
        <v>488gtbevo</v>
      </c>
      <c r="D196" s="88" t="str">
        <f>IF(全车数据表!D197="","",全车数据表!D197)</f>
        <v>Ferrari</v>
      </c>
      <c r="E196" s="89" t="str">
        <f>全车数据表!H197</f>
        <v>2.6</v>
      </c>
      <c r="F196" s="89" t="str">
        <f>全车数据表!C197</f>
        <v>488EVO</v>
      </c>
      <c r="G196" s="89" t="str">
        <f>全车数据表!F197</f>
        <v>A</v>
      </c>
      <c r="H196" s="88">
        <f>LEN(全车数据表!G197)</f>
        <v>6</v>
      </c>
      <c r="I196" s="88" t="str">
        <f>VLOOKUP(全车数据表!P197,辅助计算!A:B,2,FALSE)</f>
        <v>epic</v>
      </c>
      <c r="J196" s="88" t="str">
        <f>全车数据表!Q197</f>
        <v>🔑</v>
      </c>
      <c r="K196" s="88">
        <f>全车数据表!R197</f>
        <v>30</v>
      </c>
      <c r="L196" s="88">
        <f>全车数据表!S197</f>
        <v>35</v>
      </c>
      <c r="M196" s="88">
        <f>全车数据表!T197</f>
        <v>45</v>
      </c>
      <c r="N196" s="88">
        <f>全车数据表!U197</f>
        <v>55</v>
      </c>
      <c r="O196" s="88">
        <f>全车数据表!V197</f>
        <v>85</v>
      </c>
      <c r="P196" s="88">
        <f>全车数据表!J197</f>
        <v>4095</v>
      </c>
      <c r="Q196" s="88">
        <f>全车数据表!K197</f>
        <v>347.5</v>
      </c>
      <c r="R196" s="88">
        <f>全车数据表!L197</f>
        <v>82.63</v>
      </c>
      <c r="S196" s="88">
        <f>全车数据表!M197</f>
        <v>76.760000000000005</v>
      </c>
      <c r="T196" s="88">
        <f>全车数据表!N197</f>
        <v>76.650000000000006</v>
      </c>
      <c r="U196" s="88">
        <f>全车数据表!O197</f>
        <v>8.8699999999999992</v>
      </c>
      <c r="V196" s="88">
        <f>全车数据表!AL197</f>
        <v>0</v>
      </c>
      <c r="W196" s="88">
        <f>全车数据表!AM197</f>
        <v>35000</v>
      </c>
      <c r="X196" s="88">
        <f>全车数据表!AU197</f>
        <v>5600000</v>
      </c>
      <c r="Y196" s="88">
        <f>全车数据表!AV197</f>
        <v>0</v>
      </c>
      <c r="Z196" s="88">
        <f>全车数据表!AN197</f>
        <v>6</v>
      </c>
      <c r="AA196" s="88">
        <f>全车数据表!AP197</f>
        <v>5</v>
      </c>
      <c r="AB196" s="88">
        <f>全车数据表!AR197</f>
        <v>4</v>
      </c>
      <c r="AC196" s="88">
        <f>全车数据表!AW197</f>
        <v>362</v>
      </c>
      <c r="AD196" s="88">
        <f>全车数据表!AX197</f>
        <v>0</v>
      </c>
      <c r="AE196" s="88">
        <f>全车数据表!AY197</f>
        <v>474</v>
      </c>
      <c r="AF196" s="88" t="str">
        <f>IF(全车数据表!BA197="","",全车数据表!BA197)</f>
        <v>大奖赛</v>
      </c>
      <c r="AG196" s="88" t="str">
        <f>IF(全车数据表!BB197="","",全车数据表!BB197)</f>
        <v/>
      </c>
      <c r="AH196" s="88" t="str">
        <f>IF(全车数据表!BC197="","",全车数据表!BC197)</f>
        <v/>
      </c>
      <c r="AI196" s="88" t="str">
        <f>IF(全车数据表!BD197="","",全车数据表!BD197)</f>
        <v/>
      </c>
      <c r="AJ196" s="88" t="str">
        <f>IF(全车数据表!BE197="","",全车数据表!BE197)</f>
        <v/>
      </c>
      <c r="AK196" s="88" t="str">
        <f>IF(全车数据表!BF197="","",全车数据表!BF197)</f>
        <v/>
      </c>
      <c r="AL196" s="88" t="str">
        <f>IF(全车数据表!BG197="","",全车数据表!BG197)</f>
        <v/>
      </c>
      <c r="AM196" s="88" t="str">
        <f>IF(全车数据表!BH197="","",全车数据表!BH197)</f>
        <v/>
      </c>
      <c r="AN196" s="88">
        <f>IF(全车数据表!BI197="","",全车数据表!BI197)</f>
        <v>1</v>
      </c>
      <c r="AO196" s="88" t="str">
        <f>IF(全车数据表!BJ197="","",全车数据表!BJ197)</f>
        <v/>
      </c>
      <c r="AP196" s="88" t="str">
        <f>IF(全车数据表!BK197="","",全车数据表!BK197)</f>
        <v/>
      </c>
      <c r="AQ196" s="88" t="str">
        <f>IF(全车数据表!BL197="","",全车数据表!BL197)</f>
        <v/>
      </c>
      <c r="AR196" s="88">
        <f>IF(全车数据表!BM197="","",全车数据表!BM197)</f>
        <v>1</v>
      </c>
      <c r="AS196" s="88" t="str">
        <f>IF(全车数据表!BN197="","",全车数据表!BN197)</f>
        <v/>
      </c>
      <c r="AT196" s="88">
        <f>IF(全车数据表!BO197="","",全车数据表!BO197)</f>
        <v>1</v>
      </c>
      <c r="AU196" s="88">
        <f>IF(全车数据表!BP197="","",全车数据表!BP197)</f>
        <v>1</v>
      </c>
      <c r="AV196" s="88" t="str">
        <f>IF(全车数据表!BQ197="","",全车数据表!BQ197)</f>
        <v/>
      </c>
      <c r="AW196" s="88" t="str">
        <f>IF(全车数据表!BR197="","",全车数据表!BR197)</f>
        <v/>
      </c>
      <c r="AX196" s="88" t="str">
        <f>IF(全车数据表!BS197="","",全车数据表!BS197)</f>
        <v/>
      </c>
      <c r="AY196" s="88" t="str">
        <f>IF(全车数据表!BT197="","",全车数据表!BT197)</f>
        <v/>
      </c>
      <c r="AZ196" s="88" t="str">
        <f>IF(全车数据表!BU197="","",全车数据表!BU197)</f>
        <v/>
      </c>
      <c r="BA196" s="88" t="str">
        <f>IF(全车数据表!BV197="","",全车数据表!BV197)</f>
        <v>法拉利</v>
      </c>
      <c r="BB196" s="91">
        <f>IF(全车数据表!AZ197="","",全车数据表!AZ197)</f>
        <v>1</v>
      </c>
    </row>
    <row r="197" spans="1:54">
      <c r="A197" s="88">
        <f>全车数据表!A198</f>
        <v>196</v>
      </c>
      <c r="B197" s="88" t="str">
        <f>全车数据表!B198</f>
        <v>Raesr Tachyon Speed🔑</v>
      </c>
      <c r="C197" s="89" t="str">
        <f>全车数据表!E198</f>
        <v>tachyon</v>
      </c>
      <c r="D197" s="88" t="str">
        <f>IF(全车数据表!D198="","",全车数据表!D198)</f>
        <v>Raesr</v>
      </c>
      <c r="E197" s="89" t="str">
        <f>全车数据表!H198</f>
        <v>3.1</v>
      </c>
      <c r="F197" s="89" t="str">
        <f>全车数据表!C198</f>
        <v>超光速</v>
      </c>
      <c r="G197" s="89" t="str">
        <f>全车数据表!F198</f>
        <v>A</v>
      </c>
      <c r="H197" s="88">
        <f>LEN(全车数据表!G198)</f>
        <v>6</v>
      </c>
      <c r="I197" s="88" t="str">
        <f>VLOOKUP(全车数据表!P198,辅助计算!A:B,2,FALSE)</f>
        <v>epic</v>
      </c>
      <c r="J197" s="88" t="str">
        <f>全车数据表!Q198</f>
        <v>🔑</v>
      </c>
      <c r="K197" s="88">
        <f>全车数据表!R198</f>
        <v>38</v>
      </c>
      <c r="L197" s="88">
        <f>全车数据表!S198</f>
        <v>48</v>
      </c>
      <c r="M197" s="88">
        <f>全车数据表!T198</f>
        <v>57</v>
      </c>
      <c r="N197" s="88">
        <f>全车数据表!U198</f>
        <v>66</v>
      </c>
      <c r="O197" s="88">
        <f>全车数据表!V198</f>
        <v>72</v>
      </c>
      <c r="P197" s="88">
        <f>全车数据表!J198</f>
        <v>4095</v>
      </c>
      <c r="Q197" s="88">
        <f>全车数据表!K198</f>
        <v>400.5</v>
      </c>
      <c r="R197" s="88">
        <f>全车数据表!L198</f>
        <v>77.88</v>
      </c>
      <c r="S197" s="88">
        <f>全车数据表!M198</f>
        <v>53.38</v>
      </c>
      <c r="T197" s="88">
        <f>全车数据表!N198</f>
        <v>59.79</v>
      </c>
      <c r="U197" s="88">
        <f>全车数据表!O198</f>
        <v>0</v>
      </c>
      <c r="V197" s="88">
        <f>全车数据表!AL198</f>
        <v>9752400</v>
      </c>
      <c r="W197" s="88">
        <f>全车数据表!AM198</f>
        <v>35000</v>
      </c>
      <c r="X197" s="88">
        <f>全车数据表!AU198</f>
        <v>5600000</v>
      </c>
      <c r="Y197" s="88">
        <f>全车数据表!AV198</f>
        <v>15352400</v>
      </c>
      <c r="Z197" s="88">
        <f>全车数据表!AN198</f>
        <v>6</v>
      </c>
      <c r="AA197" s="88">
        <f>全车数据表!AP198</f>
        <v>5</v>
      </c>
      <c r="AB197" s="88">
        <f>全车数据表!AR198</f>
        <v>4</v>
      </c>
      <c r="AC197" s="88">
        <f>全车数据表!AW198</f>
        <v>416</v>
      </c>
      <c r="AD197" s="88">
        <f>全车数据表!AX198</f>
        <v>0</v>
      </c>
      <c r="AE197" s="88">
        <f>全车数据表!AY198</f>
        <v>555</v>
      </c>
      <c r="AF197" s="88" t="str">
        <f>IF(全车数据表!BA198="","",全车数据表!BA198)</f>
        <v>大奖赛</v>
      </c>
      <c r="AG197" s="88" t="str">
        <f>IF(全车数据表!BB198="","",全车数据表!BB198)</f>
        <v/>
      </c>
      <c r="AH197" s="88" t="str">
        <f>IF(全车数据表!BC198="","",全车数据表!BC198)</f>
        <v/>
      </c>
      <c r="AI197" s="88" t="str">
        <f>IF(全车数据表!BD198="","",全车数据表!BD198)</f>
        <v/>
      </c>
      <c r="AJ197" s="88">
        <f>IF(全车数据表!BE198="","",全车数据表!BE198)</f>
        <v>1</v>
      </c>
      <c r="AK197" s="88" t="str">
        <f>IF(全车数据表!BF198="","",全车数据表!BF198)</f>
        <v/>
      </c>
      <c r="AL197" s="88" t="str">
        <f>IF(全车数据表!BG198="","",全车数据表!BG198)</f>
        <v/>
      </c>
      <c r="AM197" s="88" t="str">
        <f>IF(全车数据表!BH198="","",全车数据表!BH198)</f>
        <v/>
      </c>
      <c r="AN197" s="88" t="str">
        <f>IF(全车数据表!BI198="","",全车数据表!BI198)</f>
        <v/>
      </c>
      <c r="AO197" s="88" t="str">
        <f>IF(全车数据表!BJ198="","",全车数据表!BJ198)</f>
        <v/>
      </c>
      <c r="AP197" s="88" t="str">
        <f>IF(全车数据表!BK198="","",全车数据表!BK198)</f>
        <v/>
      </c>
      <c r="AQ197" s="88" t="str">
        <f>IF(全车数据表!BL198="","",全车数据表!BL198)</f>
        <v/>
      </c>
      <c r="AR197" s="88">
        <f>IF(全车数据表!BM198="","",全车数据表!BM198)</f>
        <v>1</v>
      </c>
      <c r="AS197" s="88" t="str">
        <f>IF(全车数据表!BN198="","",全车数据表!BN198)</f>
        <v/>
      </c>
      <c r="AT197" s="88">
        <f>IF(全车数据表!BO198="","",全车数据表!BO198)</f>
        <v>1</v>
      </c>
      <c r="AU197" s="88">
        <f>IF(全车数据表!BP198="","",全车数据表!BP198)</f>
        <v>1</v>
      </c>
      <c r="AV197" s="88" t="str">
        <f>IF(全车数据表!BQ198="","",全车数据表!BQ198)</f>
        <v>1款</v>
      </c>
      <c r="AW197" s="88" t="str">
        <f>IF(全车数据表!BR198="","",全车数据表!BR198)</f>
        <v/>
      </c>
      <c r="AX197" s="88" t="str">
        <f>IF(全车数据表!BS198="","",全车数据表!BS198)</f>
        <v/>
      </c>
      <c r="AY197" s="88" t="str">
        <f>IF(全车数据表!BT198="","",全车数据表!BT198)</f>
        <v/>
      </c>
      <c r="AZ197" s="88">
        <f>IF(全车数据表!BU198="","",全车数据表!BU198)</f>
        <v>1</v>
      </c>
      <c r="BA197" s="88" t="str">
        <f>IF(全车数据表!BV198="","",全车数据表!BV198)</f>
        <v>光子</v>
      </c>
      <c r="BB197" s="91" t="str">
        <f>IF(全车数据表!AZ198="","",全车数据表!AZ198)</f>
        <v/>
      </c>
    </row>
    <row r="198" spans="1:54">
      <c r="A198" s="88">
        <f>全车数据表!A199</f>
        <v>197</v>
      </c>
      <c r="B198" s="88" t="str">
        <f>全车数据表!B199</f>
        <v>Citroen GT by Citroen</v>
      </c>
      <c r="C198" s="89" t="str">
        <f>全车数据表!E199</f>
        <v>citroengt</v>
      </c>
      <c r="D198" s="88" t="str">
        <f>IF(全车数据表!D199="","",全车数据表!D199)</f>
        <v>Citroen</v>
      </c>
      <c r="E198" s="89" t="str">
        <f>全车数据表!H199</f>
        <v>2.7</v>
      </c>
      <c r="F198" s="89" t="str">
        <f>全车数据表!C199</f>
        <v>雪铁龙GT</v>
      </c>
      <c r="G198" s="89" t="str">
        <f>全车数据表!F199</f>
        <v>A</v>
      </c>
      <c r="H198" s="88">
        <f>LEN(全车数据表!G199)</f>
        <v>6</v>
      </c>
      <c r="I198" s="88" t="str">
        <f>VLOOKUP(全车数据表!P199,辅助计算!A:B,2,FALSE)</f>
        <v>epic</v>
      </c>
      <c r="J198" s="88">
        <f>全车数据表!Q199</f>
        <v>40</v>
      </c>
      <c r="K198" s="88">
        <f>全车数据表!R199</f>
        <v>30</v>
      </c>
      <c r="L198" s="88">
        <f>全车数据表!S199</f>
        <v>35</v>
      </c>
      <c r="M198" s="88">
        <f>全车数据表!T199</f>
        <v>40</v>
      </c>
      <c r="N198" s="88">
        <f>全车数据表!U199</f>
        <v>50</v>
      </c>
      <c r="O198" s="88">
        <f>全车数据表!V199</f>
        <v>55</v>
      </c>
      <c r="P198" s="88">
        <f>全车数据表!J199</f>
        <v>4099</v>
      </c>
      <c r="Q198" s="88">
        <f>全车数据表!K199</f>
        <v>383.5</v>
      </c>
      <c r="R198" s="88">
        <f>全车数据表!L199</f>
        <v>76.540000000000006</v>
      </c>
      <c r="S198" s="88">
        <f>全车数据表!M199</f>
        <v>64.63</v>
      </c>
      <c r="T198" s="88">
        <f>全车数据表!N199</f>
        <v>67.23</v>
      </c>
      <c r="U198" s="88">
        <f>全车数据表!O199</f>
        <v>0</v>
      </c>
      <c r="V198" s="88">
        <f>全车数据表!AL199</f>
        <v>9752400</v>
      </c>
      <c r="W198" s="88">
        <f>全车数据表!AM199</f>
        <v>35000</v>
      </c>
      <c r="X198" s="88">
        <f>全车数据表!AU199</f>
        <v>5600000</v>
      </c>
      <c r="Y198" s="88">
        <f>全车数据表!AV199</f>
        <v>15352400</v>
      </c>
      <c r="Z198" s="88">
        <f>全车数据表!AN199</f>
        <v>6</v>
      </c>
      <c r="AA198" s="88">
        <f>全车数据表!AP199</f>
        <v>5</v>
      </c>
      <c r="AB198" s="88">
        <f>全车数据表!AR199</f>
        <v>4</v>
      </c>
      <c r="AC198" s="88">
        <f>全车数据表!AW199</f>
        <v>399</v>
      </c>
      <c r="AD198" s="88">
        <f>全车数据表!AX199</f>
        <v>0</v>
      </c>
      <c r="AE198" s="88">
        <f>全车数据表!AY199</f>
        <v>536</v>
      </c>
      <c r="AF198" s="88" t="str">
        <f>IF(全车数据表!BA199="","",全车数据表!BA199)</f>
        <v>联会赛事</v>
      </c>
      <c r="AG198" s="88" t="str">
        <f>IF(全车数据表!BB199="","",全车数据表!BB199)</f>
        <v/>
      </c>
      <c r="AH198" s="88" t="str">
        <f>IF(全车数据表!BC199="","",全车数据表!BC199)</f>
        <v/>
      </c>
      <c r="AI198" s="88" t="str">
        <f>IF(全车数据表!BD199="","",全车数据表!BD199)</f>
        <v/>
      </c>
      <c r="AJ198" s="88" t="str">
        <f>IF(全车数据表!BE199="","",全车数据表!BE199)</f>
        <v/>
      </c>
      <c r="AK198" s="88" t="str">
        <f>IF(全车数据表!BF199="","",全车数据表!BF199)</f>
        <v/>
      </c>
      <c r="AL198" s="88" t="str">
        <f>IF(全车数据表!BG199="","",全车数据表!BG199)</f>
        <v/>
      </c>
      <c r="AM198" s="88" t="str">
        <f>IF(全车数据表!BH199="","",全车数据表!BH199)</f>
        <v/>
      </c>
      <c r="AN198" s="88" t="str">
        <f>IF(全车数据表!BI199="","",全车数据表!BI199)</f>
        <v/>
      </c>
      <c r="AO198" s="88" t="str">
        <f>IF(全车数据表!BJ199="","",全车数据表!BJ199)</f>
        <v/>
      </c>
      <c r="AP198" s="88" t="str">
        <f>IF(全车数据表!BK199="","",全车数据表!BK199)</f>
        <v/>
      </c>
      <c r="AQ198" s="88" t="str">
        <f>IF(全车数据表!BL199="","",全车数据表!BL199)</f>
        <v/>
      </c>
      <c r="AR198" s="88" t="str">
        <f>IF(全车数据表!BM199="","",全车数据表!BM199)</f>
        <v/>
      </c>
      <c r="AS198" s="88">
        <f>IF(全车数据表!BN199="","",全车数据表!BN199)</f>
        <v>1</v>
      </c>
      <c r="AT198" s="88" t="str">
        <f>IF(全车数据表!BO199="","",全车数据表!BO199)</f>
        <v/>
      </c>
      <c r="AU198" s="88" t="str">
        <f>IF(全车数据表!BP199="","",全车数据表!BP199)</f>
        <v/>
      </c>
      <c r="AV198" s="88" t="str">
        <f>IF(全车数据表!BQ199="","",全车数据表!BQ199)</f>
        <v>1款</v>
      </c>
      <c r="AW198" s="88" t="str">
        <f>IF(全车数据表!BR199="","",全车数据表!BR199)</f>
        <v/>
      </c>
      <c r="AX198" s="88" t="str">
        <f>IF(全车数据表!BS199="","",全车数据表!BS199)</f>
        <v/>
      </c>
      <c r="AY198" s="88" t="str">
        <f>IF(全车数据表!BT199="","",全车数据表!BT199)</f>
        <v/>
      </c>
      <c r="AZ198" s="88" t="str">
        <f>IF(全车数据表!BU199="","",全车数据表!BU199)</f>
        <v/>
      </c>
      <c r="BA198" s="88" t="str">
        <f>IF(全车数据表!BV199="","",全车数据表!BV199)</f>
        <v>雪铁龙</v>
      </c>
      <c r="BB198" s="91" t="str">
        <f>IF(全车数据表!AZ199="","",全车数据表!AZ199)</f>
        <v/>
      </c>
    </row>
    <row r="199" spans="1:54">
      <c r="A199" s="88">
        <f>全车数据表!A200</f>
        <v>198</v>
      </c>
      <c r="B199" s="88" t="str">
        <f>全车数据表!B200</f>
        <v>Pagani Zonda Cinque</v>
      </c>
      <c r="C199" s="89" t="str">
        <f>全车数据表!E200</f>
        <v>cinque</v>
      </c>
      <c r="D199" s="88" t="str">
        <f>IF(全车数据表!D200="","",全车数据表!D200)</f>
        <v>Pagani</v>
      </c>
      <c r="E199" s="89" t="str">
        <f>全车数据表!H200</f>
        <v>5.3</v>
      </c>
      <c r="F199" s="89" t="str">
        <f>全车数据表!C200</f>
        <v>Cinque</v>
      </c>
      <c r="G199" s="89" t="str">
        <f>全车数据表!F200</f>
        <v>A</v>
      </c>
      <c r="H199" s="88">
        <f>LEN(全车数据表!G200)</f>
        <v>6</v>
      </c>
      <c r="I199" s="88" t="str">
        <f>VLOOKUP(全车数据表!P200,辅助计算!A:B,2,FALSE)</f>
        <v>epic</v>
      </c>
      <c r="J199" s="88" t="str">
        <f>全车数据表!Q200</f>
        <v>🔑</v>
      </c>
      <c r="K199" s="88">
        <f>全车数据表!R200</f>
        <v>30</v>
      </c>
      <c r="L199" s="88">
        <f>全车数据表!S200</f>
        <v>35</v>
      </c>
      <c r="M199" s="88">
        <f>全车数据表!T200</f>
        <v>50</v>
      </c>
      <c r="N199" s="88">
        <f>全车数据表!U200</f>
        <v>65</v>
      </c>
      <c r="O199" s="88">
        <f>全车数据表!V200</f>
        <v>80</v>
      </c>
      <c r="P199" s="88">
        <f>全车数据表!J200</f>
        <v>4105</v>
      </c>
      <c r="Q199" s="88">
        <f>全车数据表!K200</f>
        <v>369.7</v>
      </c>
      <c r="R199" s="88">
        <f>全车数据表!L200</f>
        <v>79.84</v>
      </c>
      <c r="S199" s="88">
        <f>全车数据表!M200</f>
        <v>74.760000000000005</v>
      </c>
      <c r="T199" s="88">
        <f>全车数据表!N200</f>
        <v>73.22</v>
      </c>
      <c r="U199" s="88">
        <f>全车数据表!O200</f>
        <v>0</v>
      </c>
      <c r="V199" s="88">
        <f>全车数据表!AL200</f>
        <v>0</v>
      </c>
      <c r="W199" s="88">
        <f>全车数据表!AM200</f>
        <v>0</v>
      </c>
      <c r="X199" s="88">
        <f>全车数据表!AU200</f>
        <v>0</v>
      </c>
      <c r="Y199" s="88">
        <f>全车数据表!AV200</f>
        <v>0</v>
      </c>
      <c r="Z199" s="88">
        <f>全车数据表!AN200</f>
        <v>0</v>
      </c>
      <c r="AA199" s="88">
        <f>全车数据表!AP200</f>
        <v>0</v>
      </c>
      <c r="AB199" s="88">
        <f>全车数据表!AR200</f>
        <v>0</v>
      </c>
      <c r="AC199" s="88">
        <f>全车数据表!AW200</f>
        <v>0</v>
      </c>
      <c r="AD199" s="88">
        <f>全车数据表!AX200</f>
        <v>0</v>
      </c>
      <c r="AE199" s="88">
        <f>全车数据表!AY200</f>
        <v>0</v>
      </c>
      <c r="AF199" s="88" t="str">
        <f>IF(全车数据表!BA200="","",全车数据表!BA200)</f>
        <v>至尊通行证</v>
      </c>
      <c r="AG199" s="88" t="str">
        <f>IF(全车数据表!BB200="","",全车数据表!BB200)</f>
        <v/>
      </c>
      <c r="AH199" s="88" t="str">
        <f>IF(全车数据表!BC200="","",全车数据表!BC200)</f>
        <v/>
      </c>
      <c r="AI199" s="88" t="str">
        <f>IF(全车数据表!BD200="","",全车数据表!BD200)</f>
        <v/>
      </c>
      <c r="AJ199" s="88" t="str">
        <f>IF(全车数据表!BE200="","",全车数据表!BE200)</f>
        <v/>
      </c>
      <c r="AK199" s="88" t="str">
        <f>IF(全车数据表!BF200="","",全车数据表!BF200)</f>
        <v/>
      </c>
      <c r="AL199" s="88" t="str">
        <f>IF(全车数据表!BG200="","",全车数据表!BG200)</f>
        <v/>
      </c>
      <c r="AM199" s="88" t="str">
        <f>IF(全车数据表!BH200="","",全车数据表!BH200)</f>
        <v/>
      </c>
      <c r="AN199" s="88" t="str">
        <f>IF(全车数据表!BI200="","",全车数据表!BI200)</f>
        <v/>
      </c>
      <c r="AO199" s="88" t="str">
        <f>IF(全车数据表!BJ200="","",全车数据表!BJ200)</f>
        <v/>
      </c>
      <c r="AP199" s="88" t="str">
        <f>IF(全车数据表!BK200="","",全车数据表!BK200)</f>
        <v/>
      </c>
      <c r="AQ199" s="88" t="str">
        <f>IF(全车数据表!BL200="","",全车数据表!BL200)</f>
        <v/>
      </c>
      <c r="AR199" s="88" t="str">
        <f>IF(全车数据表!BM200="","",全车数据表!BM200)</f>
        <v/>
      </c>
      <c r="AS199" s="88" t="str">
        <f>IF(全车数据表!BN200="","",全车数据表!BN200)</f>
        <v/>
      </c>
      <c r="AT199" s="88" t="str">
        <f>IF(全车数据表!BO200="","",全车数据表!BO200)</f>
        <v/>
      </c>
      <c r="AU199" s="88" t="str">
        <f>IF(全车数据表!BP200="","",全车数据表!BP200)</f>
        <v/>
      </c>
      <c r="AV199" s="88" t="str">
        <f>IF(全车数据表!BQ200="","",全车数据表!BQ200)</f>
        <v/>
      </c>
      <c r="AW199" s="88" t="str">
        <f>IF(全车数据表!BR200="","",全车数据表!BR200)</f>
        <v/>
      </c>
      <c r="AX199" s="88" t="str">
        <f>IF(全车数据表!BS200="","",全车数据表!BS200)</f>
        <v/>
      </c>
      <c r="AY199" s="88" t="str">
        <f>IF(全车数据表!BT200="","",全车数据表!BT200)</f>
        <v/>
      </c>
      <c r="AZ199" s="88" t="str">
        <f>IF(全车数据表!BU200="","",全车数据表!BU200)</f>
        <v/>
      </c>
      <c r="BA199" s="88" t="str">
        <f>IF(全车数据表!BV200="","",全车数据表!BV200)</f>
        <v>帕加尼</v>
      </c>
      <c r="BB199" s="91" t="str">
        <f>IF(全车数据表!AZ200="","",全车数据表!AZ200)</f>
        <v/>
      </c>
    </row>
    <row r="200" spans="1:54">
      <c r="A200" s="88">
        <f>全车数据表!A201</f>
        <v>199</v>
      </c>
      <c r="B200" s="88" t="str">
        <f>全车数据表!B201</f>
        <v>Aston Martin DBS GT Zagato</v>
      </c>
      <c r="C200" s="89" t="str">
        <f>全车数据表!E201</f>
        <v>zagato</v>
      </c>
      <c r="D200" s="88" t="str">
        <f>IF(全车数据表!D201="","",全车数据表!D201)</f>
        <v>Aston Martin</v>
      </c>
      <c r="E200" s="89" t="str">
        <f>全车数据表!H201</f>
        <v>4.6</v>
      </c>
      <c r="F200" s="89" t="str">
        <f>全车数据表!C201</f>
        <v>Zagato</v>
      </c>
      <c r="G200" s="89" t="str">
        <f>全车数据表!F201</f>
        <v>A</v>
      </c>
      <c r="H200" s="88">
        <f>LEN(全车数据表!G201)</f>
        <v>6</v>
      </c>
      <c r="I200" s="88" t="str">
        <f>VLOOKUP(全车数据表!P201,辅助计算!A:B,2,FALSE)</f>
        <v>epic</v>
      </c>
      <c r="J200" s="88">
        <f>全车数据表!Q201</f>
        <v>70</v>
      </c>
      <c r="K200" s="88">
        <f>全车数据表!R201</f>
        <v>23</v>
      </c>
      <c r="L200" s="88">
        <f>全车数据表!S201</f>
        <v>27</v>
      </c>
      <c r="M200" s="88">
        <f>全车数据表!T201</f>
        <v>36</v>
      </c>
      <c r="N200" s="88">
        <f>全车数据表!U201</f>
        <v>52</v>
      </c>
      <c r="O200" s="88">
        <f>全车数据表!V201</f>
        <v>59</v>
      </c>
      <c r="P200" s="88">
        <f>全车数据表!J201</f>
        <v>4109</v>
      </c>
      <c r="Q200" s="88">
        <f>全车数据表!K201</f>
        <v>361.9</v>
      </c>
      <c r="R200" s="88">
        <f>全车数据表!L201</f>
        <v>80.650000000000006</v>
      </c>
      <c r="S200" s="88">
        <f>全车数据表!M201</f>
        <v>75.77</v>
      </c>
      <c r="T200" s="88">
        <f>全车数据表!N201</f>
        <v>78.17</v>
      </c>
      <c r="U200" s="88">
        <f>全车数据表!O201</f>
        <v>0</v>
      </c>
      <c r="V200" s="88">
        <f>全车数据表!AL201</f>
        <v>18000000</v>
      </c>
      <c r="W200" s="88">
        <f>全车数据表!AM201</f>
        <v>56000</v>
      </c>
      <c r="X200" s="88">
        <f>全车数据表!AU201</f>
        <v>8960000</v>
      </c>
      <c r="Y200" s="88">
        <f>全车数据表!AV201</f>
        <v>26960000</v>
      </c>
      <c r="Z200" s="88">
        <f>全车数据表!AN201</f>
        <v>6</v>
      </c>
      <c r="AA200" s="88">
        <f>全车数据表!AP201</f>
        <v>5</v>
      </c>
      <c r="AB200" s="88">
        <f>全车数据表!AR201</f>
        <v>4</v>
      </c>
      <c r="AC200" s="88">
        <f>全车数据表!AW201</f>
        <v>0</v>
      </c>
      <c r="AD200" s="88">
        <f>全车数据表!AX201</f>
        <v>0</v>
      </c>
      <c r="AE200" s="88">
        <f>全车数据表!AY201</f>
        <v>0</v>
      </c>
      <c r="AF200" s="88" t="str">
        <f>IF(全车数据表!BA201="","",全车数据表!BA201)</f>
        <v>联会赛事</v>
      </c>
      <c r="AG200" s="88" t="str">
        <f>IF(全车数据表!BB201="","",全车数据表!BB201)</f>
        <v/>
      </c>
      <c r="AH200" s="88" t="str">
        <f>IF(全车数据表!BC201="","",全车数据表!BC201)</f>
        <v/>
      </c>
      <c r="AI200" s="88" t="str">
        <f>IF(全车数据表!BD201="","",全车数据表!BD201)</f>
        <v/>
      </c>
      <c r="AJ200" s="88" t="str">
        <f>IF(全车数据表!BE201="","",全车数据表!BE201)</f>
        <v/>
      </c>
      <c r="AK200" s="88" t="str">
        <f>IF(全车数据表!BF201="","",全车数据表!BF201)</f>
        <v/>
      </c>
      <c r="AL200" s="88" t="str">
        <f>IF(全车数据表!BG201="","",全车数据表!BG201)</f>
        <v/>
      </c>
      <c r="AM200" s="88" t="str">
        <f>IF(全车数据表!BH201="","",全车数据表!BH201)</f>
        <v/>
      </c>
      <c r="AN200" s="88" t="str">
        <f>IF(全车数据表!BI201="","",全车数据表!BI201)</f>
        <v/>
      </c>
      <c r="AO200" s="88" t="str">
        <f>IF(全车数据表!BJ201="","",全车数据表!BJ201)</f>
        <v/>
      </c>
      <c r="AP200" s="88" t="str">
        <f>IF(全车数据表!BK201="","",全车数据表!BK201)</f>
        <v/>
      </c>
      <c r="AQ200" s="88" t="str">
        <f>IF(全车数据表!BL201="","",全车数据表!BL201)</f>
        <v/>
      </c>
      <c r="AR200" s="88" t="str">
        <f>IF(全车数据表!BM201="","",全车数据表!BM201)</f>
        <v/>
      </c>
      <c r="AS200" s="88">
        <f>IF(全车数据表!BN201="","",全车数据表!BN201)</f>
        <v>1</v>
      </c>
      <c r="AT200" s="88" t="str">
        <f>IF(全车数据表!BO201="","",全车数据表!BO201)</f>
        <v/>
      </c>
      <c r="AU200" s="88" t="str">
        <f>IF(全车数据表!BP201="","",全车数据表!BP201)</f>
        <v/>
      </c>
      <c r="AV200" s="88" t="str">
        <f>IF(全车数据表!BQ201="","",全车数据表!BQ201)</f>
        <v/>
      </c>
      <c r="AW200" s="88" t="str">
        <f>IF(全车数据表!BR201="","",全车数据表!BR201)</f>
        <v/>
      </c>
      <c r="AX200" s="88" t="str">
        <f>IF(全车数据表!BS201="","",全车数据表!BS201)</f>
        <v/>
      </c>
      <c r="AY200" s="88" t="str">
        <f>IF(全车数据表!BT201="","",全车数据表!BT201)</f>
        <v/>
      </c>
      <c r="AZ200" s="88" t="str">
        <f>IF(全车数据表!BU201="","",全车数据表!BU201)</f>
        <v/>
      </c>
      <c r="BA200" s="88" t="str">
        <f>IF(全车数据表!BV201="","",全车数据表!BV201)</f>
        <v>阿斯顿马丁</v>
      </c>
      <c r="BB200" s="91" t="str">
        <f>IF(全车数据表!AZ201="","",全车数据表!AZ201)</f>
        <v/>
      </c>
    </row>
    <row r="201" spans="1:54">
      <c r="A201" s="88">
        <f>全车数据表!A202</f>
        <v>200</v>
      </c>
      <c r="B201" s="88" t="str">
        <f>全车数据表!B202</f>
        <v>Chevrolet Corvette Grand Sport Halloween Edition</v>
      </c>
      <c r="C201" s="89" t="str">
        <f>全车数据表!E202</f>
        <v>ccgshe</v>
      </c>
      <c r="D201" s="88" t="str">
        <f>IF(全车数据表!D202="","",全车数据表!D202)</f>
        <v>Chevrolet Corvette</v>
      </c>
      <c r="E201" s="89" t="str">
        <f>全车数据表!H202</f>
        <v>5.5</v>
      </c>
      <c r="F201" s="89" t="str">
        <f>全车数据表!C202</f>
        <v>五菱万圣版</v>
      </c>
      <c r="G201" s="89" t="str">
        <f>全车数据表!F202</f>
        <v>A</v>
      </c>
      <c r="H201" s="88">
        <f>LEN(全车数据表!G202)</f>
        <v>6</v>
      </c>
      <c r="I201" s="88" t="str">
        <f>VLOOKUP(全车数据表!P202,辅助计算!A:B,2,FALSE)</f>
        <v>epic</v>
      </c>
      <c r="J201" s="88" t="str">
        <f>全车数据表!Q202</f>
        <v>🔑</v>
      </c>
      <c r="K201" s="88">
        <f>全车数据表!R202</f>
        <v>40</v>
      </c>
      <c r="L201" s="88">
        <f>全车数据表!S202</f>
        <v>45</v>
      </c>
      <c r="M201" s="88">
        <f>全车数据表!T202</f>
        <v>60</v>
      </c>
      <c r="N201" s="88">
        <f>全车数据表!U202</f>
        <v>65</v>
      </c>
      <c r="O201" s="88">
        <f>全车数据表!V202</f>
        <v>70</v>
      </c>
      <c r="P201" s="88">
        <f>全车数据表!J202</f>
        <v>4112</v>
      </c>
      <c r="Q201" s="88">
        <f>全车数据表!K202</f>
        <v>357.4</v>
      </c>
      <c r="R201" s="88">
        <f>全车数据表!L202</f>
        <v>81.66</v>
      </c>
      <c r="S201" s="88">
        <f>全车数据表!M202</f>
        <v>80.58</v>
      </c>
      <c r="T201" s="88">
        <f>全车数据表!N202</f>
        <v>70.94</v>
      </c>
      <c r="U201" s="88">
        <f>全车数据表!O202</f>
        <v>0</v>
      </c>
      <c r="V201" s="88">
        <f>全车数据表!AL202</f>
        <v>0</v>
      </c>
      <c r="W201" s="88">
        <f>全车数据表!AM202</f>
        <v>0</v>
      </c>
      <c r="X201" s="88">
        <f>全车数据表!AU202</f>
        <v>0</v>
      </c>
      <c r="Y201" s="88">
        <f>全车数据表!AV202</f>
        <v>0</v>
      </c>
      <c r="Z201" s="88">
        <f>全车数据表!AN202</f>
        <v>0</v>
      </c>
      <c r="AA201" s="88">
        <f>全车数据表!AP202</f>
        <v>0</v>
      </c>
      <c r="AB201" s="88">
        <f>全车数据表!AR202</f>
        <v>0</v>
      </c>
      <c r="AC201" s="88">
        <f>全车数据表!AW202</f>
        <v>0</v>
      </c>
      <c r="AD201" s="88">
        <f>全车数据表!AX202</f>
        <v>0</v>
      </c>
      <c r="AE201" s="88">
        <f>全车数据表!AY202</f>
        <v>0</v>
      </c>
      <c r="AF201" s="88" t="str">
        <f>IF(全车数据表!BA202="","",全车数据表!BA202)</f>
        <v>狂飙赏金</v>
      </c>
      <c r="AG201" s="88" t="str">
        <f>IF(全车数据表!BB202="","",全车数据表!BB202)</f>
        <v/>
      </c>
      <c r="AH201" s="88" t="str">
        <f>IF(全车数据表!BC202="","",全车数据表!BC202)</f>
        <v/>
      </c>
      <c r="AI201" s="88" t="str">
        <f>IF(全车数据表!BD202="","",全车数据表!BD202)</f>
        <v/>
      </c>
      <c r="AJ201" s="88" t="str">
        <f>IF(全车数据表!BE202="","",全车数据表!BE202)</f>
        <v/>
      </c>
      <c r="AK201" s="88" t="str">
        <f>IF(全车数据表!BF202="","",全车数据表!BF202)</f>
        <v/>
      </c>
      <c r="AL201" s="88" t="str">
        <f>IF(全车数据表!BG202="","",全车数据表!BG202)</f>
        <v/>
      </c>
      <c r="AM201" s="88" t="str">
        <f>IF(全车数据表!BH202="","",全车数据表!BH202)</f>
        <v/>
      </c>
      <c r="AN201" s="88" t="str">
        <f>IF(全车数据表!BI202="","",全车数据表!BI202)</f>
        <v/>
      </c>
      <c r="AO201" s="88" t="str">
        <f>IF(全车数据表!BJ202="","",全车数据表!BJ202)</f>
        <v/>
      </c>
      <c r="AP201" s="88" t="str">
        <f>IF(全车数据表!BK202="","",全车数据表!BK202)</f>
        <v/>
      </c>
      <c r="AQ201" s="88" t="str">
        <f>IF(全车数据表!BL202="","",全车数据表!BL202)</f>
        <v/>
      </c>
      <c r="AR201" s="88" t="str">
        <f>IF(全车数据表!BM202="","",全车数据表!BM202)</f>
        <v/>
      </c>
      <c r="AS201" s="88" t="str">
        <f>IF(全车数据表!BN202="","",全车数据表!BN202)</f>
        <v/>
      </c>
      <c r="AT201" s="88" t="str">
        <f>IF(全车数据表!BO202="","",全车数据表!BO202)</f>
        <v/>
      </c>
      <c r="AU201" s="88" t="str">
        <f>IF(全车数据表!BP202="","",全车数据表!BP202)</f>
        <v/>
      </c>
      <c r="AV201" s="88" t="str">
        <f>IF(全车数据表!BQ202="","",全车数据表!BQ202)</f>
        <v/>
      </c>
      <c r="AW201" s="88" t="str">
        <f>IF(全车数据表!BR202="","",全车数据表!BR202)</f>
        <v/>
      </c>
      <c r="AX201" s="88" t="str">
        <f>IF(全车数据表!BS202="","",全车数据表!BS202)</f>
        <v/>
      </c>
      <c r="AY201" s="88" t="str">
        <f>IF(全车数据表!BT202="","",全车数据表!BT202)</f>
        <v/>
      </c>
      <c r="AZ201" s="88" t="str">
        <f>IF(全车数据表!BU202="","",全车数据表!BU202)</f>
        <v/>
      </c>
      <c r="BA201" s="88" t="str">
        <f>IF(全车数据表!BV202="","",全车数据表!BV202)</f>
        <v>雪佛兰克尔维特</v>
      </c>
      <c r="BB201" s="91" t="str">
        <f>IF(全车数据表!AZ202="","",全车数据表!AZ202)</f>
        <v/>
      </c>
    </row>
    <row r="202" spans="1:54">
      <c r="A202" s="88">
        <f>全车数据表!A203</f>
        <v>201</v>
      </c>
      <c r="B202" s="88" t="str">
        <f>全车数据表!B203</f>
        <v>Automobili Pininfarina Battista Edizione Nino Farina</v>
      </c>
      <c r="C202" s="89" t="str">
        <f>全车数据表!E203</f>
        <v>automobili_pininfarina_battista_edizione_nino_farina</v>
      </c>
      <c r="D202" s="88" t="str">
        <f>IF(全车数据表!D203="","",全车数据表!D203)</f>
        <v>Automobili Pininfarina</v>
      </c>
      <c r="E202" s="89" t="str">
        <f>全车数据表!H203</f>
        <v>5.7</v>
      </c>
      <c r="F202" s="89" t="str">
        <f>全车数据表!C203</f>
        <v>秋王特别版</v>
      </c>
      <c r="G202" s="89" t="str">
        <f>全车数据表!F203</f>
        <v>A</v>
      </c>
      <c r="H202" s="88">
        <f>LEN(全车数据表!G203)</f>
        <v>6</v>
      </c>
      <c r="I202" s="88" t="str">
        <f>VLOOKUP(全车数据表!P203,辅助计算!A:B,2,FALSE)</f>
        <v>epic</v>
      </c>
      <c r="J202" s="88">
        <f>全车数据表!Q203</f>
        <v>40</v>
      </c>
      <c r="K202" s="88">
        <f>全车数据表!R203</f>
        <v>45</v>
      </c>
      <c r="L202" s="88">
        <f>全车数据表!S203</f>
        <v>45</v>
      </c>
      <c r="M202" s="88">
        <f>全车数据表!T203</f>
        <v>48</v>
      </c>
      <c r="N202" s="88">
        <f>全车数据表!U203</f>
        <v>50</v>
      </c>
      <c r="O202" s="88">
        <f>全车数据表!V203</f>
        <v>52</v>
      </c>
      <c r="P202" s="88">
        <f>全车数据表!J203</f>
        <v>4125</v>
      </c>
      <c r="Q202" s="88">
        <f>全车数据表!K203</f>
        <v>365.4</v>
      </c>
      <c r="R202" s="88">
        <f>全车数据表!L203</f>
        <v>89.37</v>
      </c>
      <c r="S202" s="88">
        <f>全车数据表!M203</f>
        <v>64.44</v>
      </c>
      <c r="T202" s="88">
        <f>全车数据表!N203</f>
        <v>45.9</v>
      </c>
      <c r="U202" s="88">
        <f>全车数据表!O203</f>
        <v>0</v>
      </c>
      <c r="V202" s="88">
        <f>全车数据表!AL203</f>
        <v>0</v>
      </c>
      <c r="W202" s="88">
        <f>全车数据表!AM203</f>
        <v>0</v>
      </c>
      <c r="X202" s="88">
        <f>全车数据表!AU203</f>
        <v>0</v>
      </c>
      <c r="Y202" s="88">
        <f>全车数据表!AV203</f>
        <v>0</v>
      </c>
      <c r="Z202" s="88">
        <f>全车数据表!AN203</f>
        <v>7</v>
      </c>
      <c r="AA202" s="88">
        <f>全车数据表!AP203</f>
        <v>5</v>
      </c>
      <c r="AB202" s="88">
        <f>全车数据表!AR203</f>
        <v>4</v>
      </c>
      <c r="AC202" s="88">
        <f>全车数据表!AW203</f>
        <v>0</v>
      </c>
      <c r="AD202" s="88">
        <f>全车数据表!AX203</f>
        <v>0</v>
      </c>
      <c r="AE202" s="88">
        <f>全车数据表!AY203</f>
        <v>0</v>
      </c>
      <c r="AF202" s="88" t="str">
        <f>IF(全车数据表!BA203="","",全车数据表!BA203)</f>
        <v>通行证</v>
      </c>
      <c r="AG202" s="88" t="str">
        <f>IF(全车数据表!BB203="","",全车数据表!BB203)</f>
        <v/>
      </c>
      <c r="AH202" s="88" t="str">
        <f>IF(全车数据表!BC203="","",全车数据表!BC203)</f>
        <v/>
      </c>
      <c r="AI202" s="88" t="str">
        <f>IF(全车数据表!BD203="","",全车数据表!BD203)</f>
        <v/>
      </c>
      <c r="AJ202" s="88" t="str">
        <f>IF(全车数据表!BE203="","",全车数据表!BE203)</f>
        <v/>
      </c>
      <c r="AK202" s="88" t="str">
        <f>IF(全车数据表!BF203="","",全车数据表!BF203)</f>
        <v/>
      </c>
      <c r="AL202" s="88" t="str">
        <f>IF(全车数据表!BG203="","",全车数据表!BG203)</f>
        <v/>
      </c>
      <c r="AM202" s="88" t="str">
        <f>IF(全车数据表!BH203="","",全车数据表!BH203)</f>
        <v/>
      </c>
      <c r="AN202" s="88" t="str">
        <f>IF(全车数据表!BI203="","",全车数据表!BI203)</f>
        <v/>
      </c>
      <c r="AO202" s="88" t="str">
        <f>IF(全车数据表!BJ203="","",全车数据表!BJ203)</f>
        <v/>
      </c>
      <c r="AP202" s="88" t="str">
        <f>IF(全车数据表!BK203="","",全车数据表!BK203)</f>
        <v/>
      </c>
      <c r="AQ202" s="88" t="str">
        <f>IF(全车数据表!BL203="","",全车数据表!BL203)</f>
        <v/>
      </c>
      <c r="AR202" s="88" t="str">
        <f>IF(全车数据表!BM203="","",全车数据表!BM203)</f>
        <v/>
      </c>
      <c r="AS202" s="88" t="str">
        <f>IF(全车数据表!BN203="","",全车数据表!BN203)</f>
        <v/>
      </c>
      <c r="AT202" s="88" t="str">
        <f>IF(全车数据表!BO203="","",全车数据表!BO203)</f>
        <v/>
      </c>
      <c r="AU202" s="88" t="str">
        <f>IF(全车数据表!BP203="","",全车数据表!BP203)</f>
        <v/>
      </c>
      <c r="AV202" s="88" t="str">
        <f>IF(全车数据表!BQ203="","",全车数据表!BQ203)</f>
        <v/>
      </c>
      <c r="AW202" s="88" t="str">
        <f>IF(全车数据表!BR203="","",全车数据表!BR203)</f>
        <v/>
      </c>
      <c r="AX202" s="88" t="str">
        <f>IF(全车数据表!BS203="","",全车数据表!BS203)</f>
        <v/>
      </c>
      <c r="AY202" s="88" t="str">
        <f>IF(全车数据表!BT203="","",全车数据表!BT203)</f>
        <v/>
      </c>
      <c r="AZ202" s="88" t="str">
        <f>IF(全车数据表!BU203="","",全车数据表!BU203)</f>
        <v/>
      </c>
      <c r="BA202" s="88" t="str">
        <f>IF(全车数据表!BV203="","",全车数据表!BV203)</f>
        <v>巴蒂</v>
      </c>
      <c r="BB202" s="91" t="str">
        <f>IF(全车数据表!AZ203="","",全车数据表!AZ203)</f>
        <v/>
      </c>
    </row>
    <row r="203" spans="1:54">
      <c r="A203" s="88">
        <f>全车数据表!A204</f>
        <v>202</v>
      </c>
      <c r="B203" s="88" t="str">
        <f>全车数据表!B204</f>
        <v>Nissan GTR-50 Italdesign</v>
      </c>
      <c r="C203" s="89" t="str">
        <f>全车数据表!E204</f>
        <v>gtr-50</v>
      </c>
      <c r="D203" s="88" t="str">
        <f>IF(全车数据表!D204="","",全车数据表!D204)</f>
        <v>Nissan</v>
      </c>
      <c r="E203" s="89" t="str">
        <f>全车数据表!H204</f>
        <v>3.3</v>
      </c>
      <c r="F203" s="89" t="str">
        <f>全车数据表!C204</f>
        <v>GTR-50</v>
      </c>
      <c r="G203" s="89" t="str">
        <f>全车数据表!F204</f>
        <v>A</v>
      </c>
      <c r="H203" s="88">
        <f>LEN(全车数据表!G204)</f>
        <v>5</v>
      </c>
      <c r="I203" s="88" t="str">
        <f>VLOOKUP(全车数据表!P204,辅助计算!A:B,2,FALSE)</f>
        <v>epic</v>
      </c>
      <c r="J203" s="88">
        <f>全车数据表!Q204</f>
        <v>40</v>
      </c>
      <c r="K203" s="88">
        <f>全车数据表!R204</f>
        <v>33</v>
      </c>
      <c r="L203" s="88">
        <f>全车数据表!S204</f>
        <v>38</v>
      </c>
      <c r="M203" s="88">
        <f>全车数据表!T204</f>
        <v>43</v>
      </c>
      <c r="N203" s="88">
        <f>全车数据表!U204</f>
        <v>48</v>
      </c>
      <c r="O203" s="88">
        <f>全车数据表!V204</f>
        <v>0</v>
      </c>
      <c r="P203" s="88">
        <f>全车数据表!J204</f>
        <v>4127</v>
      </c>
      <c r="Q203" s="88">
        <f>全车数据表!K204</f>
        <v>349.2</v>
      </c>
      <c r="R203" s="88">
        <f>全车数据表!L204</f>
        <v>86.24</v>
      </c>
      <c r="S203" s="88">
        <f>全车数据表!M204</f>
        <v>73.5</v>
      </c>
      <c r="T203" s="88">
        <f>全车数据表!N204</f>
        <v>64.28</v>
      </c>
      <c r="U203" s="88">
        <f>全车数据表!O204</f>
        <v>0</v>
      </c>
      <c r="V203" s="88">
        <f>全车数据表!AL204</f>
        <v>9752000</v>
      </c>
      <c r="W203" s="88">
        <f>全车数据表!AM204</f>
        <v>35000</v>
      </c>
      <c r="X203" s="88">
        <f>全车数据表!AU204</f>
        <v>4760000</v>
      </c>
      <c r="Y203" s="88">
        <f>全车数据表!AV204</f>
        <v>14512000</v>
      </c>
      <c r="Z203" s="88">
        <f>全车数据表!AN204</f>
        <v>6</v>
      </c>
      <c r="AA203" s="88">
        <f>全车数据表!AP204</f>
        <v>5</v>
      </c>
      <c r="AB203" s="88">
        <f>全车数据表!AR204</f>
        <v>3</v>
      </c>
      <c r="AC203" s="88">
        <f>全车数据表!AW204</f>
        <v>363</v>
      </c>
      <c r="AD203" s="88">
        <f>全车数据表!AX204</f>
        <v>0</v>
      </c>
      <c r="AE203" s="88">
        <f>全车数据表!AY204</f>
        <v>476</v>
      </c>
      <c r="AF203" s="88" t="str">
        <f>IF(全车数据表!BA204="","",全车数据表!BA204)</f>
        <v>联会赛事</v>
      </c>
      <c r="AG203" s="88" t="str">
        <f>IF(全车数据表!BB204="","",全车数据表!BB204)</f>
        <v/>
      </c>
      <c r="AH203" s="88" t="str">
        <f>IF(全车数据表!BC204="","",全车数据表!BC204)</f>
        <v/>
      </c>
      <c r="AI203" s="88" t="str">
        <f>IF(全车数据表!BD204="","",全车数据表!BD204)</f>
        <v/>
      </c>
      <c r="AJ203" s="88" t="str">
        <f>IF(全车数据表!BE204="","",全车数据表!BE204)</f>
        <v/>
      </c>
      <c r="AK203" s="88" t="str">
        <f>IF(全车数据表!BF204="","",全车数据表!BF204)</f>
        <v/>
      </c>
      <c r="AL203" s="88" t="str">
        <f>IF(全车数据表!BG204="","",全车数据表!BG204)</f>
        <v/>
      </c>
      <c r="AM203" s="88" t="str">
        <f>IF(全车数据表!BH204="","",全车数据表!BH204)</f>
        <v/>
      </c>
      <c r="AN203" s="88" t="str">
        <f>IF(全车数据表!BI204="","",全车数据表!BI204)</f>
        <v/>
      </c>
      <c r="AO203" s="88" t="str">
        <f>IF(全车数据表!BJ204="","",全车数据表!BJ204)</f>
        <v/>
      </c>
      <c r="AP203" s="88" t="str">
        <f>IF(全车数据表!BK204="","",全车数据表!BK204)</f>
        <v/>
      </c>
      <c r="AQ203" s="88" t="str">
        <f>IF(全车数据表!BL204="","",全车数据表!BL204)</f>
        <v/>
      </c>
      <c r="AR203" s="88" t="str">
        <f>IF(全车数据表!BM204="","",全车数据表!BM204)</f>
        <v/>
      </c>
      <c r="AS203" s="88">
        <f>IF(全车数据表!BN204="","",全车数据表!BN204)</f>
        <v>1</v>
      </c>
      <c r="AT203" s="88" t="str">
        <f>IF(全车数据表!BO204="","",全车数据表!BO204)</f>
        <v/>
      </c>
      <c r="AU203" s="88" t="str">
        <f>IF(全车数据表!BP204="","",全车数据表!BP204)</f>
        <v/>
      </c>
      <c r="AV203" s="88" t="str">
        <f>IF(全车数据表!BQ204="","",全车数据表!BQ204)</f>
        <v>1款</v>
      </c>
      <c r="AW203" s="88" t="str">
        <f>IF(全车数据表!BR204="","",全车数据表!BR204)</f>
        <v/>
      </c>
      <c r="AX203" s="88" t="str">
        <f>IF(全车数据表!BS204="","",全车数据表!BS204)</f>
        <v/>
      </c>
      <c r="AY203" s="88" t="str">
        <f>IF(全车数据表!BT204="","",全车数据表!BT204)</f>
        <v/>
      </c>
      <c r="AZ203" s="88" t="str">
        <f>IF(全车数据表!BU204="","",全车数据表!BU204)</f>
        <v/>
      </c>
      <c r="BA203" s="88" t="str">
        <f>IF(全车数据表!BV204="","",全车数据表!BV204)</f>
        <v>日产</v>
      </c>
      <c r="BB203" s="91" t="str">
        <f>IF(全车数据表!AZ204="","",全车数据表!AZ204)</f>
        <v/>
      </c>
    </row>
    <row r="204" spans="1:54">
      <c r="A204" s="88">
        <f>全车数据表!A205</f>
        <v>203</v>
      </c>
      <c r="B204" s="88" t="str">
        <f>全车数据表!B205</f>
        <v>Pagani Zonda R🔑</v>
      </c>
      <c r="C204" s="89" t="str">
        <f>全车数据表!E205</f>
        <v>zondar</v>
      </c>
      <c r="D204" s="88" t="str">
        <f>IF(全车数据表!D205="","",全车数据表!D205)</f>
        <v>Pagani</v>
      </c>
      <c r="E204" s="89" t="str">
        <f>全车数据表!H205</f>
        <v>3.3</v>
      </c>
      <c r="F204" s="89" t="str">
        <f>全车数据表!C205</f>
        <v>风之子</v>
      </c>
      <c r="G204" s="89" t="str">
        <f>全车数据表!F205</f>
        <v>A</v>
      </c>
      <c r="H204" s="88">
        <f>LEN(全车数据表!G205)</f>
        <v>6</v>
      </c>
      <c r="I204" s="88" t="str">
        <f>VLOOKUP(全车数据表!P205,辅助计算!A:B,2,FALSE)</f>
        <v>epic</v>
      </c>
      <c r="J204" s="88" t="str">
        <f>全车数据表!Q205</f>
        <v>🔑</v>
      </c>
      <c r="K204" s="88">
        <f>全车数据表!R205</f>
        <v>30</v>
      </c>
      <c r="L204" s="88">
        <f>全车数据表!S205</f>
        <v>35</v>
      </c>
      <c r="M204" s="88">
        <f>全车数据表!T205</f>
        <v>45</v>
      </c>
      <c r="N204" s="88">
        <f>全车数据表!U205</f>
        <v>55</v>
      </c>
      <c r="O204" s="88">
        <f>全车数据表!V205</f>
        <v>85</v>
      </c>
      <c r="P204" s="88">
        <f>全车数据表!J205</f>
        <v>4164</v>
      </c>
      <c r="Q204" s="88">
        <f>全车数据表!K205</f>
        <v>368.3</v>
      </c>
      <c r="R204" s="88">
        <f>全车数据表!L205</f>
        <v>84.54</v>
      </c>
      <c r="S204" s="88">
        <f>全车数据表!M205</f>
        <v>57.29</v>
      </c>
      <c r="T204" s="88">
        <f>全车数据表!N205</f>
        <v>67.540000000000006</v>
      </c>
      <c r="U204" s="88">
        <f>全车数据表!O205</f>
        <v>0</v>
      </c>
      <c r="V204" s="88">
        <f>全车数据表!AL205</f>
        <v>9752400</v>
      </c>
      <c r="W204" s="88">
        <f>全车数据表!AM205</f>
        <v>35000</v>
      </c>
      <c r="X204" s="88">
        <f>全车数据表!AU205</f>
        <v>5600000</v>
      </c>
      <c r="Y204" s="88">
        <f>全车数据表!AV205</f>
        <v>15352400</v>
      </c>
      <c r="Z204" s="88">
        <f>全车数据表!AN205</f>
        <v>6</v>
      </c>
      <c r="AA204" s="88">
        <f>全车数据表!AP205</f>
        <v>5</v>
      </c>
      <c r="AB204" s="88">
        <f>全车数据表!AR205</f>
        <v>4</v>
      </c>
      <c r="AC204" s="88">
        <f>全车数据表!AW205</f>
        <v>383</v>
      </c>
      <c r="AD204" s="88">
        <f>全车数据表!AX205</f>
        <v>0</v>
      </c>
      <c r="AE204" s="88">
        <f>全车数据表!AY205</f>
        <v>509</v>
      </c>
      <c r="AF204" s="88" t="str">
        <f>IF(全车数据表!BA205="","",全车数据表!BA205)</f>
        <v>大奖赛</v>
      </c>
      <c r="AG204" s="88" t="str">
        <f>IF(全车数据表!BB205="","",全车数据表!BB205)</f>
        <v/>
      </c>
      <c r="AH204" s="88" t="str">
        <f>IF(全车数据表!BC205="","",全车数据表!BC205)</f>
        <v/>
      </c>
      <c r="AI204" s="88" t="str">
        <f>IF(全车数据表!BD205="","",全车数据表!BD205)</f>
        <v/>
      </c>
      <c r="AJ204" s="88" t="str">
        <f>IF(全车数据表!BE205="","",全车数据表!BE205)</f>
        <v/>
      </c>
      <c r="AK204" s="88" t="str">
        <f>IF(全车数据表!BF205="","",全车数据表!BF205)</f>
        <v/>
      </c>
      <c r="AL204" s="88" t="str">
        <f>IF(全车数据表!BG205="","",全车数据表!BG205)</f>
        <v/>
      </c>
      <c r="AM204" s="88" t="str">
        <f>IF(全车数据表!BH205="","",全车数据表!BH205)</f>
        <v/>
      </c>
      <c r="AN204" s="88" t="str">
        <f>IF(全车数据表!BI205="","",全车数据表!BI205)</f>
        <v/>
      </c>
      <c r="AO204" s="88" t="str">
        <f>IF(全车数据表!BJ205="","",全车数据表!BJ205)</f>
        <v/>
      </c>
      <c r="AP204" s="88" t="str">
        <f>IF(全车数据表!BK205="","",全车数据表!BK205)</f>
        <v/>
      </c>
      <c r="AQ204" s="88" t="str">
        <f>IF(全车数据表!BL205="","",全车数据表!BL205)</f>
        <v/>
      </c>
      <c r="AR204" s="88">
        <f>IF(全车数据表!BM205="","",全车数据表!BM205)</f>
        <v>1</v>
      </c>
      <c r="AS204" s="88" t="str">
        <f>IF(全车数据表!BN205="","",全车数据表!BN205)</f>
        <v/>
      </c>
      <c r="AT204" s="88">
        <f>IF(全车数据表!BO205="","",全车数据表!BO205)</f>
        <v>1</v>
      </c>
      <c r="AU204" s="88">
        <f>IF(全车数据表!BP205="","",全车数据表!BP205)</f>
        <v>1</v>
      </c>
      <c r="AV204" s="88" t="str">
        <f>IF(全车数据表!BQ205="","",全车数据表!BQ205)</f>
        <v/>
      </c>
      <c r="AW204" s="88" t="str">
        <f>IF(全车数据表!BR205="","",全车数据表!BR205)</f>
        <v/>
      </c>
      <c r="AX204" s="88" t="str">
        <f>IF(全车数据表!BS205="","",全车数据表!BS205)</f>
        <v/>
      </c>
      <c r="AY204" s="88" t="str">
        <f>IF(全车数据表!BT205="","",全车数据表!BT205)</f>
        <v/>
      </c>
      <c r="AZ204" s="88" t="str">
        <f>IF(全车数据表!BU205="","",全车数据表!BU205)</f>
        <v/>
      </c>
      <c r="BA204" s="88" t="str">
        <f>IF(全车数据表!BV205="","",全车数据表!BV205)</f>
        <v>帕加尼 风之子</v>
      </c>
      <c r="BB204" s="91" t="str">
        <f>IF(全车数据表!AZ205="","",全车数据表!AZ205)</f>
        <v/>
      </c>
    </row>
    <row r="205" spans="1:54">
      <c r="A205" s="88">
        <f>全车数据表!A206</f>
        <v>204</v>
      </c>
      <c r="B205" s="88" t="str">
        <f>全车数据表!B206</f>
        <v>Peugeot 9x8</v>
      </c>
      <c r="C205" s="89" t="str">
        <f>全车数据表!E206</f>
        <v>9x8</v>
      </c>
      <c r="D205" s="88" t="str">
        <f>IF(全车数据表!D206="","",全车数据表!D206)</f>
        <v>Peugeot</v>
      </c>
      <c r="E205" s="89" t="str">
        <f>全车数据表!H206</f>
        <v>3.9</v>
      </c>
      <c r="F205" s="89" t="str">
        <f>全车数据表!C206</f>
        <v>9x8</v>
      </c>
      <c r="G205" s="89" t="str">
        <f>全车数据表!F206</f>
        <v>A</v>
      </c>
      <c r="H205" s="88">
        <f>LEN(全车数据表!G206)</f>
        <v>6</v>
      </c>
      <c r="I205" s="88" t="str">
        <f>VLOOKUP(全车数据表!P206,辅助计算!A:B,2,FALSE)</f>
        <v>epic</v>
      </c>
      <c r="J205" s="88">
        <f>全车数据表!Q206</f>
        <v>40</v>
      </c>
      <c r="K205" s="88">
        <f>全车数据表!R206</f>
        <v>45</v>
      </c>
      <c r="L205" s="88">
        <f>全车数据表!S206</f>
        <v>45</v>
      </c>
      <c r="M205" s="88">
        <f>全车数据表!T206</f>
        <v>48</v>
      </c>
      <c r="N205" s="88">
        <f>全车数据表!U206</f>
        <v>50</v>
      </c>
      <c r="O205" s="88">
        <f>全车数据表!V206</f>
        <v>52</v>
      </c>
      <c r="P205" s="88">
        <f>全车数据表!J206</f>
        <v>4172</v>
      </c>
      <c r="Q205" s="88">
        <f>全车数据表!K206</f>
        <v>344.3</v>
      </c>
      <c r="R205" s="88">
        <f>全车数据表!L206</f>
        <v>90.03</v>
      </c>
      <c r="S205" s="88">
        <f>全车数据表!M206</f>
        <v>94.15</v>
      </c>
      <c r="T205" s="88">
        <f>全车数据表!N206</f>
        <v>69.94</v>
      </c>
      <c r="U205" s="88">
        <f>全车数据表!O206</f>
        <v>0</v>
      </c>
      <c r="V205" s="88">
        <f>全车数据表!AL206</f>
        <v>22000000</v>
      </c>
      <c r="W205" s="88">
        <f>全车数据表!AM206</f>
        <v>56000</v>
      </c>
      <c r="X205" s="88">
        <f>全车数据表!AU206</f>
        <v>8960000</v>
      </c>
      <c r="Y205" s="88">
        <f>全车数据表!AV206</f>
        <v>30960000</v>
      </c>
      <c r="Z205" s="88">
        <f>全车数据表!AN206</f>
        <v>6</v>
      </c>
      <c r="AA205" s="88">
        <f>全车数据表!AP206</f>
        <v>5</v>
      </c>
      <c r="AB205" s="88">
        <f>全车数据表!AR206</f>
        <v>4</v>
      </c>
      <c r="AC205" s="88">
        <f>全车数据表!AW206</f>
        <v>358</v>
      </c>
      <c r="AD205" s="88">
        <f>全车数据表!AX206</f>
        <v>0</v>
      </c>
      <c r="AE205" s="88">
        <f>全车数据表!AY206</f>
        <v>468</v>
      </c>
      <c r="AF205" s="88" t="str">
        <f>IF(全车数据表!BA206="","",全车数据表!BA206)</f>
        <v>联会赛事</v>
      </c>
      <c r="AG205" s="88" t="str">
        <f>IF(全车数据表!BB206="","",全车数据表!BB206)</f>
        <v/>
      </c>
      <c r="AH205" s="88" t="str">
        <f>IF(全车数据表!BC206="","",全车数据表!BC206)</f>
        <v/>
      </c>
      <c r="AI205" s="88" t="str">
        <f>IF(全车数据表!BD206="","",全车数据表!BD206)</f>
        <v/>
      </c>
      <c r="AJ205" s="88" t="str">
        <f>IF(全车数据表!BE206="","",全车数据表!BE206)</f>
        <v/>
      </c>
      <c r="AK205" s="88" t="str">
        <f>IF(全车数据表!BF206="","",全车数据表!BF206)</f>
        <v/>
      </c>
      <c r="AL205" s="88" t="str">
        <f>IF(全车数据表!BG206="","",全车数据表!BG206)</f>
        <v/>
      </c>
      <c r="AM205" s="88" t="str">
        <f>IF(全车数据表!BH206="","",全车数据表!BH206)</f>
        <v/>
      </c>
      <c r="AN205" s="88" t="str">
        <f>IF(全车数据表!BI206="","",全车数据表!BI206)</f>
        <v/>
      </c>
      <c r="AO205" s="88" t="str">
        <f>IF(全车数据表!BJ206="","",全车数据表!BJ206)</f>
        <v/>
      </c>
      <c r="AP205" s="88" t="str">
        <f>IF(全车数据表!BK206="","",全车数据表!BK206)</f>
        <v/>
      </c>
      <c r="AQ205" s="88" t="str">
        <f>IF(全车数据表!BL206="","",全车数据表!BL206)</f>
        <v/>
      </c>
      <c r="AR205" s="88" t="str">
        <f>IF(全车数据表!BM206="","",全车数据表!BM206)</f>
        <v/>
      </c>
      <c r="AS205" s="88">
        <f>IF(全车数据表!BN206="","",全车数据表!BN206)</f>
        <v>1</v>
      </c>
      <c r="AT205" s="88" t="str">
        <f>IF(全车数据表!BO206="","",全车数据表!BO206)</f>
        <v/>
      </c>
      <c r="AU205" s="88" t="str">
        <f>IF(全车数据表!BP206="","",全车数据表!BP206)</f>
        <v/>
      </c>
      <c r="AV205" s="88" t="str">
        <f>IF(全车数据表!BQ206="","",全车数据表!BQ206)</f>
        <v/>
      </c>
      <c r="AW205" s="88" t="str">
        <f>IF(全车数据表!BR206="","",全车数据表!BR206)</f>
        <v/>
      </c>
      <c r="AX205" s="88" t="str">
        <f>IF(全车数据表!BS206="","",全车数据表!BS206)</f>
        <v/>
      </c>
      <c r="AY205" s="88" t="str">
        <f>IF(全车数据表!BT206="","",全车数据表!BT206)</f>
        <v/>
      </c>
      <c r="AZ205" s="88" t="str">
        <f>IF(全车数据表!BU206="","",全车数据表!BU206)</f>
        <v/>
      </c>
      <c r="BA205" s="88" t="str">
        <f>IF(全车数据表!BV206="","",全车数据表!BV206)</f>
        <v>标致</v>
      </c>
      <c r="BB205" s="91" t="str">
        <f>IF(全车数据表!AZ206="","",全车数据表!AZ206)</f>
        <v/>
      </c>
    </row>
    <row r="206" spans="1:54">
      <c r="A206" s="88">
        <f>全车数据表!A207</f>
        <v>205</v>
      </c>
      <c r="B206" s="88" t="str">
        <f>全车数据表!B207</f>
        <v>McLaren Sabre</v>
      </c>
      <c r="C206" s="89" t="str">
        <f>全车数据表!E207</f>
        <v>sabre</v>
      </c>
      <c r="D206" s="88" t="str">
        <f>IF(全车数据表!D207="","",全车数据表!D207)</f>
        <v>McLaren</v>
      </c>
      <c r="E206" s="89" t="str">
        <f>全车数据表!H207</f>
        <v>5.3</v>
      </c>
      <c r="F206" s="89" t="str">
        <f>全车数据表!C207</f>
        <v>Sabre</v>
      </c>
      <c r="G206" s="89" t="str">
        <f>全车数据表!F207</f>
        <v>A</v>
      </c>
      <c r="H206" s="88">
        <f>LEN(全车数据表!G207)</f>
        <v>6</v>
      </c>
      <c r="I206" s="88" t="str">
        <f>VLOOKUP(全车数据表!P207,辅助计算!A:B,2,FALSE)</f>
        <v>epic</v>
      </c>
      <c r="J206" s="88">
        <f>全车数据表!Q207</f>
        <v>40</v>
      </c>
      <c r="K206" s="88">
        <f>全车数据表!R207</f>
        <v>45</v>
      </c>
      <c r="L206" s="88">
        <f>全车数据表!S207</f>
        <v>45</v>
      </c>
      <c r="M206" s="88">
        <f>全车数据表!T207</f>
        <v>48</v>
      </c>
      <c r="N206" s="88">
        <f>全车数据表!U207</f>
        <v>50</v>
      </c>
      <c r="O206" s="88">
        <f>全车数据表!V207</f>
        <v>52</v>
      </c>
      <c r="P206" s="88">
        <f>全车数据表!J207</f>
        <v>4173</v>
      </c>
      <c r="Q206" s="88">
        <f>全车数据表!K207</f>
        <v>363.1</v>
      </c>
      <c r="R206" s="88">
        <f>全车数据表!L207</f>
        <v>87.04</v>
      </c>
      <c r="S206" s="88">
        <f>全车数据表!M207</f>
        <v>68.06</v>
      </c>
      <c r="T206" s="88">
        <f>全车数据表!N207</f>
        <v>58.45</v>
      </c>
      <c r="U206" s="88">
        <f>全车数据表!O207</f>
        <v>0</v>
      </c>
      <c r="V206" s="88">
        <f>全车数据表!AL207</f>
        <v>22000000</v>
      </c>
      <c r="W206" s="88">
        <f>全车数据表!AM207</f>
        <v>42000</v>
      </c>
      <c r="X206" s="88">
        <f>全车数据表!AU207</f>
        <v>6720000</v>
      </c>
      <c r="Y206" s="88">
        <f>全车数据表!AV207</f>
        <v>28720000</v>
      </c>
      <c r="Z206" s="88">
        <f>全车数据表!AN207</f>
        <v>6</v>
      </c>
      <c r="AA206" s="88">
        <f>全车数据表!AP207</f>
        <v>5</v>
      </c>
      <c r="AB206" s="88">
        <f>全车数据表!AR207</f>
        <v>4</v>
      </c>
      <c r="AC206" s="88">
        <f>全车数据表!AW207</f>
        <v>0</v>
      </c>
      <c r="AD206" s="88">
        <f>全车数据表!AX207</f>
        <v>0</v>
      </c>
      <c r="AE206" s="88">
        <f>全车数据表!AY207</f>
        <v>0</v>
      </c>
      <c r="AF206" s="88" t="str">
        <f>IF(全车数据表!BA207="","",全车数据表!BA207)</f>
        <v>联会赛事</v>
      </c>
      <c r="AG206" s="88" t="str">
        <f>IF(全车数据表!BB207="","",全车数据表!BB207)</f>
        <v/>
      </c>
      <c r="AH206" s="88" t="str">
        <f>IF(全车数据表!BC207="","",全车数据表!BC207)</f>
        <v/>
      </c>
      <c r="AI206" s="88" t="str">
        <f>IF(全车数据表!BD207="","",全车数据表!BD207)</f>
        <v/>
      </c>
      <c r="AJ206" s="88" t="str">
        <f>IF(全车数据表!BE207="","",全车数据表!BE207)</f>
        <v/>
      </c>
      <c r="AK206" s="88" t="str">
        <f>IF(全车数据表!BF207="","",全车数据表!BF207)</f>
        <v/>
      </c>
      <c r="AL206" s="88" t="str">
        <f>IF(全车数据表!BG207="","",全车数据表!BG207)</f>
        <v/>
      </c>
      <c r="AM206" s="88" t="str">
        <f>IF(全车数据表!BH207="","",全车数据表!BH207)</f>
        <v/>
      </c>
      <c r="AN206" s="88" t="str">
        <f>IF(全车数据表!BI207="","",全车数据表!BI207)</f>
        <v/>
      </c>
      <c r="AO206" s="88" t="str">
        <f>IF(全车数据表!BJ207="","",全车数据表!BJ207)</f>
        <v/>
      </c>
      <c r="AP206" s="88" t="str">
        <f>IF(全车数据表!BK207="","",全车数据表!BK207)</f>
        <v/>
      </c>
      <c r="AQ206" s="88" t="str">
        <f>IF(全车数据表!BL207="","",全车数据表!BL207)</f>
        <v/>
      </c>
      <c r="AR206" s="88" t="str">
        <f>IF(全车数据表!BM207="","",全车数据表!BM207)</f>
        <v/>
      </c>
      <c r="AS206" s="88" t="str">
        <f>IF(全车数据表!BN207="","",全车数据表!BN207)</f>
        <v/>
      </c>
      <c r="AT206" s="88" t="str">
        <f>IF(全车数据表!BO207="","",全车数据表!BO207)</f>
        <v/>
      </c>
      <c r="AU206" s="88" t="str">
        <f>IF(全车数据表!BP207="","",全车数据表!BP207)</f>
        <v/>
      </c>
      <c r="AV206" s="88" t="str">
        <f>IF(全车数据表!BQ207="","",全车数据表!BQ207)</f>
        <v/>
      </c>
      <c r="AW206" s="88" t="str">
        <f>IF(全车数据表!BR207="","",全车数据表!BR207)</f>
        <v/>
      </c>
      <c r="AX206" s="88" t="str">
        <f>IF(全车数据表!BS207="","",全车数据表!BS207)</f>
        <v/>
      </c>
      <c r="AY206" s="88" t="str">
        <f>IF(全车数据表!BT207="","",全车数据表!BT207)</f>
        <v/>
      </c>
      <c r="AZ206" s="88" t="str">
        <f>IF(全车数据表!BU207="","",全车数据表!BU207)</f>
        <v/>
      </c>
      <c r="BA206" s="88" t="str">
        <f>IF(全车数据表!BV207="","",全车数据表!BV207)</f>
        <v>迈凯轮</v>
      </c>
      <c r="BB206" s="91" t="str">
        <f>IF(全车数据表!AZ207="","",全车数据表!AZ207)</f>
        <v/>
      </c>
    </row>
    <row r="207" spans="1:54">
      <c r="A207" s="88">
        <f>全车数据表!A208</f>
        <v>206</v>
      </c>
      <c r="B207" s="88" t="str">
        <f>全车数据表!B208</f>
        <v>Glickenhaus 007S🔑</v>
      </c>
      <c r="C207" s="89" t="str">
        <f>全车数据表!E208</f>
        <v>007s</v>
      </c>
      <c r="D207" s="88" t="str">
        <f>IF(全车数据表!D208="","",全车数据表!D208)</f>
        <v>Glickenhaus</v>
      </c>
      <c r="E207" s="89" t="str">
        <f>全车数据表!H208</f>
        <v>3.3</v>
      </c>
      <c r="F207" s="89" t="str">
        <f>全车数据表!C208</f>
        <v>007S</v>
      </c>
      <c r="G207" s="89" t="str">
        <f>全车数据表!F208</f>
        <v>A</v>
      </c>
      <c r="H207" s="88">
        <f>LEN(全车数据表!G208)</f>
        <v>6</v>
      </c>
      <c r="I207" s="88" t="str">
        <f>VLOOKUP(全车数据表!P208,辅助计算!A:B,2,FALSE)</f>
        <v>epic</v>
      </c>
      <c r="J207" s="88" t="str">
        <f>全车数据表!Q208</f>
        <v>🔑</v>
      </c>
      <c r="K207" s="88">
        <f>全车数据表!R208</f>
        <v>30</v>
      </c>
      <c r="L207" s="88">
        <f>全车数据表!S208</f>
        <v>35</v>
      </c>
      <c r="M207" s="88">
        <f>全车数据表!T208</f>
        <v>45</v>
      </c>
      <c r="N207" s="88">
        <f>全车数据表!U208</f>
        <v>55</v>
      </c>
      <c r="O207" s="88">
        <f>全车数据表!V208</f>
        <v>85</v>
      </c>
      <c r="P207" s="88">
        <f>全车数据表!J208</f>
        <v>4192</v>
      </c>
      <c r="Q207" s="88">
        <f>全车数据表!K208</f>
        <v>358.6</v>
      </c>
      <c r="R207" s="88">
        <f>全车数据表!L208</f>
        <v>89.33</v>
      </c>
      <c r="S207" s="88">
        <f>全车数据表!M208</f>
        <v>82.63</v>
      </c>
      <c r="T207" s="88">
        <f>全车数据表!N208</f>
        <v>55.24</v>
      </c>
      <c r="U207" s="88">
        <f>全车数据表!O208</f>
        <v>0</v>
      </c>
      <c r="V207" s="88">
        <f>全车数据表!AL208</f>
        <v>0</v>
      </c>
      <c r="W207" s="88">
        <f>全车数据表!AM208</f>
        <v>35000</v>
      </c>
      <c r="X207" s="88">
        <f>全车数据表!AU208</f>
        <v>5600000</v>
      </c>
      <c r="Y207" s="88">
        <f>全车数据表!AV208</f>
        <v>0</v>
      </c>
      <c r="Z207" s="88">
        <f>全车数据表!AN208</f>
        <v>6</v>
      </c>
      <c r="AA207" s="88">
        <f>全车数据表!AP208</f>
        <v>5</v>
      </c>
      <c r="AB207" s="88">
        <f>全车数据表!AR208</f>
        <v>4</v>
      </c>
      <c r="AC207" s="88">
        <f>全车数据表!AW208</f>
        <v>373</v>
      </c>
      <c r="AD207" s="88">
        <f>全车数据表!AX208</f>
        <v>0</v>
      </c>
      <c r="AE207" s="88">
        <f>全车数据表!AY208</f>
        <v>493</v>
      </c>
      <c r="AF207" s="88" t="str">
        <f>IF(全车数据表!BA208="","",全车数据表!BA208)</f>
        <v>大奖赛</v>
      </c>
      <c r="AG207" s="88" t="str">
        <f>IF(全车数据表!BB208="","",全车数据表!BB208)</f>
        <v/>
      </c>
      <c r="AH207" s="88" t="str">
        <f>IF(全车数据表!BC208="","",全车数据表!BC208)</f>
        <v/>
      </c>
      <c r="AI207" s="88" t="str">
        <f>IF(全车数据表!BD208="","",全车数据表!BD208)</f>
        <v/>
      </c>
      <c r="AJ207" s="88" t="str">
        <f>IF(全车数据表!BE208="","",全车数据表!BE208)</f>
        <v/>
      </c>
      <c r="AK207" s="88" t="str">
        <f>IF(全车数据表!BF208="","",全车数据表!BF208)</f>
        <v/>
      </c>
      <c r="AL207" s="88" t="str">
        <f>IF(全车数据表!BG208="","",全车数据表!BG208)</f>
        <v/>
      </c>
      <c r="AM207" s="88" t="str">
        <f>IF(全车数据表!BH208="","",全车数据表!BH208)</f>
        <v/>
      </c>
      <c r="AN207" s="88" t="str">
        <f>IF(全车数据表!BI208="","",全车数据表!BI208)</f>
        <v/>
      </c>
      <c r="AO207" s="88" t="str">
        <f>IF(全车数据表!BJ208="","",全车数据表!BJ208)</f>
        <v/>
      </c>
      <c r="AP207" s="88" t="str">
        <f>IF(全车数据表!BK208="","",全车数据表!BK208)</f>
        <v/>
      </c>
      <c r="AQ207" s="88" t="str">
        <f>IF(全车数据表!BL208="","",全车数据表!BL208)</f>
        <v/>
      </c>
      <c r="AR207" s="88">
        <f>IF(全车数据表!BM208="","",全车数据表!BM208)</f>
        <v>1</v>
      </c>
      <c r="AS207" s="88" t="str">
        <f>IF(全车数据表!BN208="","",全车数据表!BN208)</f>
        <v/>
      </c>
      <c r="AT207" s="88">
        <f>IF(全车数据表!BO208="","",全车数据表!BO208)</f>
        <v>1</v>
      </c>
      <c r="AU207" s="88">
        <f>IF(全车数据表!BP208="","",全车数据表!BP208)</f>
        <v>1</v>
      </c>
      <c r="AV207" s="88" t="str">
        <f>IF(全车数据表!BQ208="","",全车数据表!BQ208)</f>
        <v>1款</v>
      </c>
      <c r="AW207" s="88" t="str">
        <f>IF(全车数据表!BR208="","",全车数据表!BR208)</f>
        <v/>
      </c>
      <c r="AX207" s="88" t="str">
        <f>IF(全车数据表!BS208="","",全车数据表!BS208)</f>
        <v/>
      </c>
      <c r="AY207" s="88" t="str">
        <f>IF(全车数据表!BT208="","",全车数据表!BT208)</f>
        <v/>
      </c>
      <c r="AZ207" s="88" t="str">
        <f>IF(全车数据表!BU208="","",全车数据表!BU208)</f>
        <v/>
      </c>
      <c r="BA207" s="88" t="str">
        <f>IF(全车数据表!BV208="","",全车数据表!BV208)</f>
        <v/>
      </c>
      <c r="BB207" s="91" t="str">
        <f>IF(全车数据表!AZ208="","",全车数据表!AZ208)</f>
        <v/>
      </c>
    </row>
    <row r="208" spans="1:54">
      <c r="A208" s="88">
        <f>全车数据表!A209</f>
        <v>207</v>
      </c>
      <c r="B208" s="88" t="str">
        <f>全车数据表!B209</f>
        <v>Nissan GT-R Neon Edition</v>
      </c>
      <c r="C208" s="89" t="str">
        <f>全车数据表!E209</f>
        <v>gtrneon</v>
      </c>
      <c r="D208" s="88" t="str">
        <f>IF(全车数据表!D209="","",全车数据表!D209)</f>
        <v>Nissan</v>
      </c>
      <c r="E208" s="89" t="str">
        <f>全车数据表!H209</f>
        <v>4.3</v>
      </c>
      <c r="F208" s="89" t="str">
        <f>全车数据表!C209</f>
        <v>霓虹GTR</v>
      </c>
      <c r="G208" s="89" t="str">
        <f>全车数据表!F209</f>
        <v>A</v>
      </c>
      <c r="H208" s="88">
        <f>LEN(全车数据表!G209)</f>
        <v>6</v>
      </c>
      <c r="I208" s="88" t="str">
        <f>VLOOKUP(全车数据表!P209,辅助计算!A:B,2,FALSE)</f>
        <v>epic</v>
      </c>
      <c r="J208" s="88">
        <f>全车数据表!Q209</f>
        <v>40</v>
      </c>
      <c r="K208" s="88">
        <f>全车数据表!R209</f>
        <v>45</v>
      </c>
      <c r="L208" s="88">
        <f>全车数据表!S209</f>
        <v>45</v>
      </c>
      <c r="M208" s="88">
        <f>全车数据表!T209</f>
        <v>48</v>
      </c>
      <c r="N208" s="88">
        <f>全车数据表!U209</f>
        <v>50</v>
      </c>
      <c r="O208" s="88">
        <f>全车数据表!V209</f>
        <v>52</v>
      </c>
      <c r="P208" s="88">
        <f>全车数据表!J209</f>
        <v>4201</v>
      </c>
      <c r="Q208" s="88">
        <f>全车数据表!K209</f>
        <v>357</v>
      </c>
      <c r="R208" s="88">
        <f>全车数据表!L209</f>
        <v>88.23</v>
      </c>
      <c r="S208" s="88">
        <f>全车数据表!M209</f>
        <v>75.459999999999994</v>
      </c>
      <c r="T208" s="88">
        <f>全车数据表!N209</f>
        <v>70.44</v>
      </c>
      <c r="U208" s="88">
        <f>全车数据表!O209</f>
        <v>0</v>
      </c>
      <c r="V208" s="88">
        <f>全车数据表!AL209</f>
        <v>0</v>
      </c>
      <c r="W208" s="88">
        <f>全车数据表!AM209</f>
        <v>72000</v>
      </c>
      <c r="X208" s="88">
        <f>全车数据表!AU209</f>
        <v>0</v>
      </c>
      <c r="Y208" s="88">
        <f>全车数据表!AV209</f>
        <v>0</v>
      </c>
      <c r="Z208" s="88">
        <f>全车数据表!AN209</f>
        <v>6</v>
      </c>
      <c r="AA208" s="88">
        <f>全车数据表!AP209</f>
        <v>5</v>
      </c>
      <c r="AB208" s="88">
        <f>全车数据表!AR209</f>
        <v>4</v>
      </c>
      <c r="AC208" s="88">
        <f>全车数据表!AW209</f>
        <v>371</v>
      </c>
      <c r="AD208" s="88">
        <f>全车数据表!AX209</f>
        <v>0</v>
      </c>
      <c r="AE208" s="88">
        <f>全车数据表!AY209</f>
        <v>490</v>
      </c>
      <c r="AF208" s="88" t="str">
        <f>IF(全车数据表!BA209="","",全车数据表!BA209)</f>
        <v>联会赛事</v>
      </c>
      <c r="AG208" s="88" t="str">
        <f>IF(全车数据表!BB209="","",全车数据表!BB209)</f>
        <v/>
      </c>
      <c r="AH208" s="88" t="str">
        <f>IF(全车数据表!BC209="","",全车数据表!BC209)</f>
        <v/>
      </c>
      <c r="AI208" s="88" t="str">
        <f>IF(全车数据表!BD209="","",全车数据表!BD209)</f>
        <v/>
      </c>
      <c r="AJ208" s="88" t="str">
        <f>IF(全车数据表!BE209="","",全车数据表!BE209)</f>
        <v/>
      </c>
      <c r="AK208" s="88" t="str">
        <f>IF(全车数据表!BF209="","",全车数据表!BF209)</f>
        <v/>
      </c>
      <c r="AL208" s="88" t="str">
        <f>IF(全车数据表!BG209="","",全车数据表!BG209)</f>
        <v/>
      </c>
      <c r="AM208" s="88" t="str">
        <f>IF(全车数据表!BH209="","",全车数据表!BH209)</f>
        <v/>
      </c>
      <c r="AN208" s="88" t="str">
        <f>IF(全车数据表!BI209="","",全车数据表!BI209)</f>
        <v/>
      </c>
      <c r="AO208" s="88" t="str">
        <f>IF(全车数据表!BJ209="","",全车数据表!BJ209)</f>
        <v/>
      </c>
      <c r="AP208" s="88" t="str">
        <f>IF(全车数据表!BK209="","",全车数据表!BK209)</f>
        <v/>
      </c>
      <c r="AQ208" s="88" t="str">
        <f>IF(全车数据表!BL209="","",全车数据表!BL209)</f>
        <v/>
      </c>
      <c r="AR208" s="88" t="str">
        <f>IF(全车数据表!BM209="","",全车数据表!BM209)</f>
        <v/>
      </c>
      <c r="AS208" s="88">
        <f>IF(全车数据表!BN209="","",全车数据表!BN209)</f>
        <v>1</v>
      </c>
      <c r="AT208" s="88" t="str">
        <f>IF(全车数据表!BO209="","",全车数据表!BO209)</f>
        <v/>
      </c>
      <c r="AU208" s="88" t="str">
        <f>IF(全车数据表!BP209="","",全车数据表!BP209)</f>
        <v/>
      </c>
      <c r="AV208" s="88" t="str">
        <f>IF(全车数据表!BQ209="","",全车数据表!BQ209)</f>
        <v/>
      </c>
      <c r="AW208" s="88" t="str">
        <f>IF(全车数据表!BR209="","",全车数据表!BR209)</f>
        <v/>
      </c>
      <c r="AX208" s="88" t="str">
        <f>IF(全车数据表!BS209="","",全车数据表!BS209)</f>
        <v/>
      </c>
      <c r="AY208" s="88" t="str">
        <f>IF(全车数据表!BT209="","",全车数据表!BT209)</f>
        <v/>
      </c>
      <c r="AZ208" s="88" t="str">
        <f>IF(全车数据表!BU209="","",全车数据表!BU209)</f>
        <v/>
      </c>
      <c r="BA208" s="88" t="str">
        <f>IF(全车数据表!BV209="","",全车数据表!BV209)</f>
        <v>日产 尼桑</v>
      </c>
      <c r="BB208" s="91" t="str">
        <f>IF(全车数据表!AZ209="","",全车数据表!AZ209)</f>
        <v/>
      </c>
    </row>
    <row r="209" spans="1:54">
      <c r="A209" s="88">
        <f>全车数据表!A210</f>
        <v>208</v>
      </c>
      <c r="B209" s="88" t="str">
        <f>全车数据表!B210</f>
        <v>Porsche 935(2019)🔑</v>
      </c>
      <c r="C209" s="89" t="str">
        <f>全车数据表!E210</f>
        <v>935</v>
      </c>
      <c r="D209" s="88" t="str">
        <f>IF(全车数据表!D210="","",全车数据表!D210)</f>
        <v>Porsche</v>
      </c>
      <c r="E209" s="89" t="str">
        <f>全车数据表!H210</f>
        <v>4.2</v>
      </c>
      <c r="F209" s="89" t="str">
        <f>全车数据表!C210</f>
        <v>935</v>
      </c>
      <c r="G209" s="89" t="str">
        <f>全车数据表!F210</f>
        <v>A</v>
      </c>
      <c r="H209" s="88">
        <f>LEN(全车数据表!G210)</f>
        <v>6</v>
      </c>
      <c r="I209" s="88" t="str">
        <f>VLOOKUP(全车数据表!P210,辅助计算!A:B,2,FALSE)</f>
        <v>epic</v>
      </c>
      <c r="J209" s="88" t="str">
        <f>全车数据表!Q210</f>
        <v>🔑</v>
      </c>
      <c r="K209" s="88">
        <f>全车数据表!R210</f>
        <v>45</v>
      </c>
      <c r="L209" s="88">
        <f>全车数据表!S210</f>
        <v>50</v>
      </c>
      <c r="M209" s="88">
        <f>全车数据表!T210</f>
        <v>56</v>
      </c>
      <c r="N209" s="88">
        <f>全车数据表!U210</f>
        <v>62</v>
      </c>
      <c r="O209" s="88">
        <f>全车数据表!V210</f>
        <v>66</v>
      </c>
      <c r="P209" s="88">
        <f>全车数据表!J210</f>
        <v>4229</v>
      </c>
      <c r="Q209" s="88">
        <f>全车数据表!K210</f>
        <v>352</v>
      </c>
      <c r="R209" s="88">
        <f>全车数据表!L210</f>
        <v>84.94</v>
      </c>
      <c r="S209" s="88">
        <f>全车数据表!M210</f>
        <v>87.96</v>
      </c>
      <c r="T209" s="88">
        <f>全车数据表!N210</f>
        <v>72.61</v>
      </c>
      <c r="U209" s="88">
        <f>全车数据表!O210</f>
        <v>0</v>
      </c>
      <c r="V209" s="88">
        <f>全车数据表!AL210</f>
        <v>0</v>
      </c>
      <c r="W209" s="88">
        <f>全车数据表!AM210</f>
        <v>58500</v>
      </c>
      <c r="X209" s="88">
        <f>全车数据表!AU210</f>
        <v>0</v>
      </c>
      <c r="Y209" s="88">
        <f>全车数据表!AV210</f>
        <v>0</v>
      </c>
      <c r="Z209" s="88">
        <f>全车数据表!AN210</f>
        <v>6</v>
      </c>
      <c r="AA209" s="88">
        <f>全车数据表!AP210</f>
        <v>5</v>
      </c>
      <c r="AB209" s="88">
        <f>全车数据表!AR210</f>
        <v>4</v>
      </c>
      <c r="AC209" s="88">
        <f>全车数据表!AW210</f>
        <v>0</v>
      </c>
      <c r="AD209" s="88">
        <f>全车数据表!AX210</f>
        <v>0</v>
      </c>
      <c r="AE209" s="88">
        <f>全车数据表!AY210</f>
        <v>0</v>
      </c>
      <c r="AF209" s="88" t="str">
        <f>IF(全车数据表!BA210="","",全车数据表!BA210)</f>
        <v>大奖赛</v>
      </c>
      <c r="AG209" s="88" t="str">
        <f>IF(全车数据表!BB210="","",全车数据表!BB210)</f>
        <v/>
      </c>
      <c r="AH209" s="88" t="str">
        <f>IF(全车数据表!BC210="","",全车数据表!BC210)</f>
        <v/>
      </c>
      <c r="AI209" s="88" t="str">
        <f>IF(全车数据表!BD210="","",全车数据表!BD210)</f>
        <v/>
      </c>
      <c r="AJ209" s="88" t="str">
        <f>IF(全车数据表!BE210="","",全车数据表!BE210)</f>
        <v/>
      </c>
      <c r="AK209" s="88" t="str">
        <f>IF(全车数据表!BF210="","",全车数据表!BF210)</f>
        <v/>
      </c>
      <c r="AL209" s="88" t="str">
        <f>IF(全车数据表!BG210="","",全车数据表!BG210)</f>
        <v/>
      </c>
      <c r="AM209" s="88" t="str">
        <f>IF(全车数据表!BH210="","",全车数据表!BH210)</f>
        <v/>
      </c>
      <c r="AN209" s="88" t="str">
        <f>IF(全车数据表!BI210="","",全车数据表!BI210)</f>
        <v/>
      </c>
      <c r="AO209" s="88" t="str">
        <f>IF(全车数据表!BJ210="","",全车数据表!BJ210)</f>
        <v/>
      </c>
      <c r="AP209" s="88" t="str">
        <f>IF(全车数据表!BK210="","",全车数据表!BK210)</f>
        <v/>
      </c>
      <c r="AQ209" s="88" t="str">
        <f>IF(全车数据表!BL210="","",全车数据表!BL210)</f>
        <v/>
      </c>
      <c r="AR209" s="88">
        <f>IF(全车数据表!BM210="","",全车数据表!BM210)</f>
        <v>1</v>
      </c>
      <c r="AS209" s="88" t="str">
        <f>IF(全车数据表!BN210="","",全车数据表!BN210)</f>
        <v/>
      </c>
      <c r="AT209" s="88">
        <f>IF(全车数据表!BO210="","",全车数据表!BO210)</f>
        <v>1</v>
      </c>
      <c r="AU209" s="88" t="str">
        <f>IF(全车数据表!BP210="","",全车数据表!BP210)</f>
        <v/>
      </c>
      <c r="AV209" s="88" t="str">
        <f>IF(全车数据表!BQ210="","",全车数据表!BQ210)</f>
        <v/>
      </c>
      <c r="AW209" s="88" t="str">
        <f>IF(全车数据表!BR210="","",全车数据表!BR210)</f>
        <v/>
      </c>
      <c r="AX209" s="88" t="str">
        <f>IF(全车数据表!BS210="","",全车数据表!BS210)</f>
        <v/>
      </c>
      <c r="AY209" s="88" t="str">
        <f>IF(全车数据表!BT210="","",全车数据表!BT210)</f>
        <v/>
      </c>
      <c r="AZ209" s="88" t="str">
        <f>IF(全车数据表!BU210="","",全车数据表!BU210)</f>
        <v/>
      </c>
      <c r="BA209" s="88" t="str">
        <f>IF(全车数据表!BV210="","",全车数据表!BV210)</f>
        <v>保时捷</v>
      </c>
      <c r="BB209" s="91" t="str">
        <f>IF(全车数据表!AZ210="","",全车数据表!AZ210)</f>
        <v/>
      </c>
    </row>
    <row r="210" spans="1:54">
      <c r="A210" s="88">
        <f>全车数据表!A211</f>
        <v>209</v>
      </c>
      <c r="B210" s="88" t="str">
        <f>全车数据表!B211</f>
        <v>Aston Martin Victor</v>
      </c>
      <c r="C210" s="89" t="str">
        <f>全车数据表!E211</f>
        <v>victor</v>
      </c>
      <c r="D210" s="88" t="str">
        <f>IF(全车数据表!D211="","",全车数据表!D211)</f>
        <v>Aston Martin</v>
      </c>
      <c r="E210" s="89" t="str">
        <f>全车数据表!H211</f>
        <v>3.0</v>
      </c>
      <c r="F210" s="89" t="str">
        <f>全车数据表!C211</f>
        <v>Victor</v>
      </c>
      <c r="G210" s="89" t="str">
        <f>全车数据表!F211</f>
        <v>A</v>
      </c>
      <c r="H210" s="88">
        <f>LEN(全车数据表!G211)</f>
        <v>6</v>
      </c>
      <c r="I210" s="88" t="str">
        <f>VLOOKUP(全车数据表!P211,辅助计算!A:B,2,FALSE)</f>
        <v>epic</v>
      </c>
      <c r="J210" s="88">
        <f>全车数据表!Q211</f>
        <v>40</v>
      </c>
      <c r="K210" s="88">
        <f>全车数据表!R211</f>
        <v>30</v>
      </c>
      <c r="L210" s="88">
        <f>全车数据表!S211</f>
        <v>35</v>
      </c>
      <c r="M210" s="88">
        <f>全车数据表!T211</f>
        <v>40</v>
      </c>
      <c r="N210" s="88">
        <f>全车数据表!U211</f>
        <v>50</v>
      </c>
      <c r="O210" s="88">
        <f>全车数据表!V211</f>
        <v>55</v>
      </c>
      <c r="P210" s="88">
        <f>全车数据表!J211</f>
        <v>4251</v>
      </c>
      <c r="Q210" s="88">
        <f>全车数据表!K211</f>
        <v>371.8</v>
      </c>
      <c r="R210" s="88">
        <f>全车数据表!L211</f>
        <v>78.34</v>
      </c>
      <c r="S210" s="88">
        <f>全车数据表!M211</f>
        <v>76.86</v>
      </c>
      <c r="T210" s="88">
        <f>全车数据表!N211</f>
        <v>69.599999999999994</v>
      </c>
      <c r="U210" s="88">
        <f>全车数据表!O211</f>
        <v>0</v>
      </c>
      <c r="V210" s="88">
        <f>全车数据表!AL211</f>
        <v>12248200</v>
      </c>
      <c r="W210" s="88">
        <f>全车数据表!AM211</f>
        <v>45000</v>
      </c>
      <c r="X210" s="88">
        <f>全车数据表!AU211</f>
        <v>7200000</v>
      </c>
      <c r="Y210" s="88">
        <f>全车数据表!AV211</f>
        <v>19448200</v>
      </c>
      <c r="Z210" s="88">
        <f>全车数据表!AN211</f>
        <v>6</v>
      </c>
      <c r="AA210" s="88">
        <f>全车数据表!AP211</f>
        <v>5</v>
      </c>
      <c r="AB210" s="88">
        <f>全车数据表!AR211</f>
        <v>4</v>
      </c>
      <c r="AC210" s="88">
        <f>全车数据表!AW211</f>
        <v>387</v>
      </c>
      <c r="AD210" s="88">
        <f>全车数据表!AX211</f>
        <v>0</v>
      </c>
      <c r="AE210" s="88">
        <f>全车数据表!AY211</f>
        <v>517</v>
      </c>
      <c r="AF210" s="88" t="str">
        <f>IF(全车数据表!BA211="","",全车数据表!BA211)</f>
        <v>通行证</v>
      </c>
      <c r="AG210" s="88" t="str">
        <f>IF(全车数据表!BB211="","",全车数据表!BB211)</f>
        <v/>
      </c>
      <c r="AH210" s="88" t="str">
        <f>IF(全车数据表!BC211="","",全车数据表!BC211)</f>
        <v/>
      </c>
      <c r="AI210" s="88" t="str">
        <f>IF(全车数据表!BD211="","",全车数据表!BD211)</f>
        <v/>
      </c>
      <c r="AJ210" s="88" t="str">
        <f>IF(全车数据表!BE211="","",全车数据表!BE211)</f>
        <v/>
      </c>
      <c r="AK210" s="88" t="str">
        <f>IF(全车数据表!BF211="","",全车数据表!BF211)</f>
        <v/>
      </c>
      <c r="AL210" s="88" t="str">
        <f>IF(全车数据表!BG211="","",全车数据表!BG211)</f>
        <v/>
      </c>
      <c r="AM210" s="88">
        <f>IF(全车数据表!BH211="","",全车数据表!BH211)</f>
        <v>1</v>
      </c>
      <c r="AN210" s="88" t="str">
        <f>IF(全车数据表!BI211="","",全车数据表!BI211)</f>
        <v/>
      </c>
      <c r="AO210" s="88" t="str">
        <f>IF(全车数据表!BJ211="","",全车数据表!BJ211)</f>
        <v/>
      </c>
      <c r="AP210" s="88" t="str">
        <f>IF(全车数据表!BK211="","",全车数据表!BK211)</f>
        <v/>
      </c>
      <c r="AQ210" s="88" t="str">
        <f>IF(全车数据表!BL211="","",全车数据表!BL211)</f>
        <v/>
      </c>
      <c r="AR210" s="88" t="str">
        <f>IF(全车数据表!BM211="","",全车数据表!BM211)</f>
        <v/>
      </c>
      <c r="AS210" s="88" t="str">
        <f>IF(全车数据表!BN211="","",全车数据表!BN211)</f>
        <v/>
      </c>
      <c r="AT210" s="88" t="str">
        <f>IF(全车数据表!BO211="","",全车数据表!BO211)</f>
        <v/>
      </c>
      <c r="AU210" s="88">
        <f>IF(全车数据表!BP211="","",全车数据表!BP211)</f>
        <v>1</v>
      </c>
      <c r="AV210" s="88" t="str">
        <f>IF(全车数据表!BQ211="","",全车数据表!BQ211)</f>
        <v/>
      </c>
      <c r="AW210" s="88" t="str">
        <f>IF(全车数据表!BR211="","",全车数据表!BR211)</f>
        <v/>
      </c>
      <c r="AX210" s="88" t="str">
        <f>IF(全车数据表!BS211="","",全车数据表!BS211)</f>
        <v/>
      </c>
      <c r="AY210" s="88" t="str">
        <f>IF(全车数据表!BT211="","",全车数据表!BT211)</f>
        <v/>
      </c>
      <c r="AZ210" s="88" t="str">
        <f>IF(全车数据表!BU211="","",全车数据表!BU211)</f>
        <v/>
      </c>
      <c r="BA210" s="88" t="str">
        <f>IF(全车数据表!BV211="","",全车数据表!BV211)</f>
        <v>阿斯顿马丁 维克多</v>
      </c>
      <c r="BB210" s="91" t="str">
        <f>IF(全车数据表!AZ211="","",全车数据表!AZ211)</f>
        <v/>
      </c>
    </row>
    <row r="211" spans="1:54">
      <c r="A211" s="88">
        <f>全车数据表!A212</f>
        <v>210</v>
      </c>
      <c r="B211" s="88" t="str">
        <f>全车数据表!B212</f>
        <v>Pagani Huayra R</v>
      </c>
      <c r="C211" s="89" t="str">
        <f>全车数据表!E212</f>
        <v>huayrar</v>
      </c>
      <c r="D211" s="88" t="str">
        <f>IF(全车数据表!D212="","",全车数据表!D212)</f>
        <v>Pagani</v>
      </c>
      <c r="E211" s="89" t="str">
        <f>全车数据表!H212</f>
        <v>3.6</v>
      </c>
      <c r="F211" s="89" t="str">
        <f>全车数据表!C212</f>
        <v>Huayra R</v>
      </c>
      <c r="G211" s="89" t="str">
        <f>全车数据表!F212</f>
        <v>A</v>
      </c>
      <c r="H211" s="88">
        <f>LEN(全车数据表!G212)</f>
        <v>6</v>
      </c>
      <c r="I211" s="88" t="str">
        <f>VLOOKUP(全车数据表!P212,辅助计算!A:B,2,FALSE)</f>
        <v>epic</v>
      </c>
      <c r="J211" s="88">
        <f>全车数据表!Q212</f>
        <v>40</v>
      </c>
      <c r="K211" s="88">
        <f>全车数据表!R212</f>
        <v>30</v>
      </c>
      <c r="L211" s="88">
        <f>全车数据表!S212</f>
        <v>35</v>
      </c>
      <c r="M211" s="88">
        <f>全车数据表!T212</f>
        <v>40</v>
      </c>
      <c r="N211" s="88">
        <f>全车数据表!U212</f>
        <v>50</v>
      </c>
      <c r="O211" s="88">
        <f>全车数据表!V212</f>
        <v>55</v>
      </c>
      <c r="P211" s="88">
        <f>全车数据表!J212</f>
        <v>4259</v>
      </c>
      <c r="Q211" s="88">
        <f>全车数据表!K212</f>
        <v>376.4</v>
      </c>
      <c r="R211" s="88">
        <f>全车数据表!L212</f>
        <v>83.04</v>
      </c>
      <c r="S211" s="88">
        <f>全车数据表!M212</f>
        <v>58.21</v>
      </c>
      <c r="T211" s="88">
        <f>全车数据表!N212</f>
        <v>64.11</v>
      </c>
      <c r="U211" s="88">
        <f>全车数据表!O212</f>
        <v>0</v>
      </c>
      <c r="V211" s="88">
        <f>全车数据表!AL212</f>
        <v>12248200</v>
      </c>
      <c r="W211" s="88">
        <f>全车数据表!AM212</f>
        <v>45000</v>
      </c>
      <c r="X211" s="88">
        <f>全车数据表!AU212</f>
        <v>7200000</v>
      </c>
      <c r="Y211" s="88">
        <f>全车数据表!AV212</f>
        <v>19448200</v>
      </c>
      <c r="Z211" s="88">
        <f>全车数据表!AN212</f>
        <v>6</v>
      </c>
      <c r="AA211" s="88">
        <f>全车数据表!AP212</f>
        <v>5</v>
      </c>
      <c r="AB211" s="88">
        <f>全车数据表!AR212</f>
        <v>4</v>
      </c>
      <c r="AC211" s="88">
        <f>全车数据表!AW212</f>
        <v>391</v>
      </c>
      <c r="AD211" s="88">
        <f>全车数据表!AX212</f>
        <v>0</v>
      </c>
      <c r="AE211" s="88">
        <f>全车数据表!AY212</f>
        <v>523</v>
      </c>
      <c r="AF211" s="88" t="str">
        <f>IF(全车数据表!BA212="","",全车数据表!BA212)</f>
        <v>特殊赛事</v>
      </c>
      <c r="AG211" s="88" t="str">
        <f>IF(全车数据表!BB212="","",全车数据表!BB212)</f>
        <v/>
      </c>
      <c r="AH211" s="88" t="str">
        <f>IF(全车数据表!BC212="","",全车数据表!BC212)</f>
        <v/>
      </c>
      <c r="AI211" s="88" t="str">
        <f>IF(全车数据表!BD212="","",全车数据表!BD212)</f>
        <v/>
      </c>
      <c r="AJ211" s="88" t="str">
        <f>IF(全车数据表!BE212="","",全车数据表!BE212)</f>
        <v/>
      </c>
      <c r="AK211" s="88" t="str">
        <f>IF(全车数据表!BF212="","",全车数据表!BF212)</f>
        <v/>
      </c>
      <c r="AL211" s="88" t="str">
        <f>IF(全车数据表!BG212="","",全车数据表!BG212)</f>
        <v/>
      </c>
      <c r="AM211" s="88" t="str">
        <f>IF(全车数据表!BH212="","",全车数据表!BH212)</f>
        <v/>
      </c>
      <c r="AN211" s="88" t="str">
        <f>IF(全车数据表!BI212="","",全车数据表!BI212)</f>
        <v/>
      </c>
      <c r="AO211" s="88" t="str">
        <f>IF(全车数据表!BJ212="","",全车数据表!BJ212)</f>
        <v/>
      </c>
      <c r="AP211" s="88" t="str">
        <f>IF(全车数据表!BK212="","",全车数据表!BK212)</f>
        <v/>
      </c>
      <c r="AQ211" s="88">
        <f>IF(全车数据表!BL212="","",全车数据表!BL212)</f>
        <v>1</v>
      </c>
      <c r="AR211" s="88" t="str">
        <f>IF(全车数据表!BM212="","",全车数据表!BM212)</f>
        <v/>
      </c>
      <c r="AS211" s="88" t="str">
        <f>IF(全车数据表!BN212="","",全车数据表!BN212)</f>
        <v/>
      </c>
      <c r="AT211" s="88" t="str">
        <f>IF(全车数据表!BO212="","",全车数据表!BO212)</f>
        <v/>
      </c>
      <c r="AU211" s="88" t="str">
        <f>IF(全车数据表!BP212="","",全车数据表!BP212)</f>
        <v/>
      </c>
      <c r="AV211" s="88" t="str">
        <f>IF(全车数据表!BQ212="","",全车数据表!BQ212)</f>
        <v>1款</v>
      </c>
      <c r="AW211" s="88" t="str">
        <f>IF(全车数据表!BR212="","",全车数据表!BR212)</f>
        <v/>
      </c>
      <c r="AX211" s="88" t="str">
        <f>IF(全车数据表!BS212="","",全车数据表!BS212)</f>
        <v/>
      </c>
      <c r="AY211" s="88">
        <f>IF(全车数据表!BT212="","",全车数据表!BT212)</f>
        <v>1</v>
      </c>
      <c r="AZ211" s="88" t="str">
        <f>IF(全车数据表!BU212="","",全车数据表!BU212)</f>
        <v/>
      </c>
      <c r="BA211" s="88" t="str">
        <f>IF(全车数据表!BV212="","",全车数据表!BV212)</f>
        <v>帕加尼</v>
      </c>
      <c r="BB211" s="91" t="str">
        <f>IF(全车数据表!AZ212="","",全车数据表!AZ212)</f>
        <v/>
      </c>
    </row>
    <row r="212" spans="1:54">
      <c r="A212" s="88">
        <f>全车数据表!A213</f>
        <v>211</v>
      </c>
      <c r="B212" s="88" t="str">
        <f>全车数据表!B213</f>
        <v>Mclaren 650S GT3</v>
      </c>
      <c r="C212" s="89" t="str">
        <f>全车数据表!E213</f>
        <v>650s</v>
      </c>
      <c r="D212" s="88" t="str">
        <f>IF(全车数据表!D213="","",全车数据表!D213)</f>
        <v>McLaren</v>
      </c>
      <c r="E212" s="89" t="str">
        <f>全车数据表!H213</f>
        <v>3.9</v>
      </c>
      <c r="F212" s="89" t="str">
        <f>全车数据表!C213</f>
        <v>650S</v>
      </c>
      <c r="G212" s="89" t="str">
        <f>全车数据表!F213</f>
        <v>A</v>
      </c>
      <c r="H212" s="88">
        <f>LEN(全车数据表!G213)</f>
        <v>6</v>
      </c>
      <c r="I212" s="88" t="str">
        <f>VLOOKUP(全车数据表!P213,辅助计算!A:B,2,FALSE)</f>
        <v>epic</v>
      </c>
      <c r="J212" s="88">
        <f>全车数据表!Q213</f>
        <v>40</v>
      </c>
      <c r="K212" s="88">
        <f>全车数据表!R213</f>
        <v>45</v>
      </c>
      <c r="L212" s="88">
        <f>全车数据表!S213</f>
        <v>45</v>
      </c>
      <c r="M212" s="88">
        <f>全车数据表!T213</f>
        <v>48</v>
      </c>
      <c r="N212" s="88">
        <f>全车数据表!U213</f>
        <v>50</v>
      </c>
      <c r="O212" s="88">
        <f>全车数据表!V213</f>
        <v>52</v>
      </c>
      <c r="P212" s="88">
        <f>全车数据表!J213</f>
        <v>4266</v>
      </c>
      <c r="Q212" s="88">
        <f>全车数据表!K213</f>
        <v>357</v>
      </c>
      <c r="R212" s="88">
        <f>全车数据表!L213</f>
        <v>84.34</v>
      </c>
      <c r="S212" s="88">
        <f>全车数据表!M213</f>
        <v>85.82</v>
      </c>
      <c r="T212" s="88">
        <f>全车数据表!N213</f>
        <v>78.22</v>
      </c>
      <c r="U212" s="88">
        <f>全车数据表!O213</f>
        <v>0</v>
      </c>
      <c r="V212" s="88">
        <f>全车数据表!AL213</f>
        <v>24500200</v>
      </c>
      <c r="W212" s="88">
        <f>全车数据表!AM213</f>
        <v>58500</v>
      </c>
      <c r="X212" s="88">
        <f>全车数据表!AU213</f>
        <v>9360000</v>
      </c>
      <c r="Y212" s="88">
        <f>全车数据表!AV213</f>
        <v>33860200</v>
      </c>
      <c r="Z212" s="88">
        <f>全车数据表!AN213</f>
        <v>6</v>
      </c>
      <c r="AA212" s="88">
        <f>全车数据表!AP213</f>
        <v>5</v>
      </c>
      <c r="AB212" s="88">
        <f>全车数据表!AR213</f>
        <v>4</v>
      </c>
      <c r="AC212" s="88">
        <f>全车数据表!AW213</f>
        <v>371</v>
      </c>
      <c r="AD212" s="88">
        <f>全车数据表!AX213</f>
        <v>0</v>
      </c>
      <c r="AE212" s="88">
        <f>全车数据表!AY213</f>
        <v>490</v>
      </c>
      <c r="AF212" s="88" t="str">
        <f>IF(全车数据表!BA213="","",全车数据表!BA213)</f>
        <v>通行证</v>
      </c>
      <c r="AG212" s="88" t="str">
        <f>IF(全车数据表!BB213="","",全车数据表!BB213)</f>
        <v/>
      </c>
      <c r="AH212" s="88" t="str">
        <f>IF(全车数据表!BC213="","",全车数据表!BC213)</f>
        <v/>
      </c>
      <c r="AI212" s="88" t="str">
        <f>IF(全车数据表!BD213="","",全车数据表!BD213)</f>
        <v/>
      </c>
      <c r="AJ212" s="88" t="str">
        <f>IF(全车数据表!BE213="","",全车数据表!BE213)</f>
        <v/>
      </c>
      <c r="AK212" s="88" t="str">
        <f>IF(全车数据表!BF213="","",全车数据表!BF213)</f>
        <v/>
      </c>
      <c r="AL212" s="88" t="str">
        <f>IF(全车数据表!BG213="","",全车数据表!BG213)</f>
        <v/>
      </c>
      <c r="AM212" s="88">
        <f>IF(全车数据表!BH213="","",全车数据表!BH213)</f>
        <v>1</v>
      </c>
      <c r="AN212" s="88" t="str">
        <f>IF(全车数据表!BI213="","",全车数据表!BI213)</f>
        <v/>
      </c>
      <c r="AO212" s="88" t="str">
        <f>IF(全车数据表!BJ213="","",全车数据表!BJ213)</f>
        <v/>
      </c>
      <c r="AP212" s="88" t="str">
        <f>IF(全车数据表!BK213="","",全车数据表!BK213)</f>
        <v/>
      </c>
      <c r="AQ212" s="88" t="str">
        <f>IF(全车数据表!BL213="","",全车数据表!BL213)</f>
        <v/>
      </c>
      <c r="AR212" s="88" t="str">
        <f>IF(全车数据表!BM213="","",全车数据表!BM213)</f>
        <v/>
      </c>
      <c r="AS212" s="88" t="str">
        <f>IF(全车数据表!BN213="","",全车数据表!BN213)</f>
        <v/>
      </c>
      <c r="AT212" s="88" t="str">
        <f>IF(全车数据表!BO213="","",全车数据表!BO213)</f>
        <v/>
      </c>
      <c r="AU212" s="88" t="str">
        <f>IF(全车数据表!BP213="","",全车数据表!BP213)</f>
        <v/>
      </c>
      <c r="AV212" s="88" t="str">
        <f>IF(全车数据表!BQ213="","",全车数据表!BQ213)</f>
        <v/>
      </c>
      <c r="AW212" s="88" t="str">
        <f>IF(全车数据表!BR213="","",全车数据表!BR213)</f>
        <v/>
      </c>
      <c r="AX212" s="88" t="str">
        <f>IF(全车数据表!BS213="","",全车数据表!BS213)</f>
        <v/>
      </c>
      <c r="AY212" s="88" t="str">
        <f>IF(全车数据表!BT213="","",全车数据表!BT213)</f>
        <v/>
      </c>
      <c r="AZ212" s="88" t="str">
        <f>IF(全车数据表!BU213="","",全车数据表!BU213)</f>
        <v/>
      </c>
      <c r="BA212" s="88" t="str">
        <f>IF(全车数据表!BV213="","",全车数据表!BV213)</f>
        <v>迈凯伦</v>
      </c>
      <c r="BB212" s="91" t="str">
        <f>IF(全车数据表!AZ213="","",全车数据表!AZ213)</f>
        <v/>
      </c>
    </row>
    <row r="213" spans="1:54">
      <c r="A213" s="88">
        <f>全车数据表!A214</f>
        <v>212</v>
      </c>
      <c r="B213" s="88" t="str">
        <f>全车数据表!B214</f>
        <v>Ferrari SF90 XX Stradale</v>
      </c>
      <c r="C213" s="89" t="str">
        <f>全车数据表!E214</f>
        <v>sf90xx</v>
      </c>
      <c r="D213" s="88" t="str">
        <f>IF(全车数据表!D214="","",全车数据表!D214)</f>
        <v>Ferrari</v>
      </c>
      <c r="E213" s="89" t="str">
        <f>全车数据表!H214</f>
        <v>5.0</v>
      </c>
      <c r="F213" s="89" t="str">
        <f>全车数据表!C214</f>
        <v>SF90XX</v>
      </c>
      <c r="G213" s="89" t="str">
        <f>全车数据表!F214</f>
        <v>A</v>
      </c>
      <c r="H213" s="88">
        <f>LEN(全车数据表!G214)</f>
        <v>6</v>
      </c>
      <c r="I213" s="88" t="str">
        <f>VLOOKUP(全车数据表!P214,辅助计算!A:B,2,FALSE)</f>
        <v>epic</v>
      </c>
      <c r="J213" s="88">
        <f>全车数据表!Q214</f>
        <v>40</v>
      </c>
      <c r="K213" s="88">
        <f>全车数据表!R214</f>
        <v>30</v>
      </c>
      <c r="L213" s="88">
        <f>全车数据表!S214</f>
        <v>35</v>
      </c>
      <c r="M213" s="88">
        <f>全车数据表!T214</f>
        <v>40</v>
      </c>
      <c r="N213" s="88">
        <f>全车数据表!U214</f>
        <v>50</v>
      </c>
      <c r="O213" s="88">
        <f>全车数据表!V214</f>
        <v>55</v>
      </c>
      <c r="P213" s="88">
        <f>全车数据表!J214</f>
        <v>4286</v>
      </c>
      <c r="Q213" s="88">
        <f>全车数据表!K214</f>
        <v>361.2</v>
      </c>
      <c r="R213" s="88">
        <f>全车数据表!L214</f>
        <v>85.73</v>
      </c>
      <c r="S213" s="88">
        <f>全车数据表!M214</f>
        <v>79.17</v>
      </c>
      <c r="T213" s="88">
        <f>全车数据表!N214</f>
        <v>62.85</v>
      </c>
      <c r="U213" s="88">
        <f>全车数据表!O214</f>
        <v>0</v>
      </c>
      <c r="V213" s="88">
        <f>全车数据表!AL214</f>
        <v>0</v>
      </c>
      <c r="W213" s="88">
        <f>全车数据表!AM214</f>
        <v>54000</v>
      </c>
      <c r="X213" s="88">
        <f>全车数据表!AU214</f>
        <v>0</v>
      </c>
      <c r="Y213" s="88">
        <f>全车数据表!AV214</f>
        <v>0</v>
      </c>
      <c r="Z213" s="88">
        <f>全车数据表!AN214</f>
        <v>6</v>
      </c>
      <c r="AA213" s="88">
        <f>全车数据表!AP214</f>
        <v>5</v>
      </c>
      <c r="AB213" s="88">
        <f>全车数据表!AR214</f>
        <v>4</v>
      </c>
      <c r="AC213" s="88">
        <f>全车数据表!AW214</f>
        <v>376</v>
      </c>
      <c r="AD213" s="88">
        <f>全车数据表!AX214</f>
        <v>0</v>
      </c>
      <c r="AE213" s="88">
        <f>全车数据表!AY214</f>
        <v>497</v>
      </c>
      <c r="AF213" s="88" t="str">
        <f>IF(全车数据表!BA214="","",全车数据表!BA214)</f>
        <v>联会赛事</v>
      </c>
      <c r="AG213" s="88" t="str">
        <f>IF(全车数据表!BB214="","",全车数据表!BB214)</f>
        <v/>
      </c>
      <c r="AH213" s="88" t="str">
        <f>IF(全车数据表!BC214="","",全车数据表!BC214)</f>
        <v/>
      </c>
      <c r="AI213" s="88" t="str">
        <f>IF(全车数据表!BD214="","",全车数据表!BD214)</f>
        <v/>
      </c>
      <c r="AJ213" s="88" t="str">
        <f>IF(全车数据表!BE214="","",全车数据表!BE214)</f>
        <v/>
      </c>
      <c r="AK213" s="88" t="str">
        <f>IF(全车数据表!BF214="","",全车数据表!BF214)</f>
        <v/>
      </c>
      <c r="AL213" s="88" t="str">
        <f>IF(全车数据表!BG214="","",全车数据表!BG214)</f>
        <v/>
      </c>
      <c r="AM213" s="88" t="str">
        <f>IF(全车数据表!BH214="","",全车数据表!BH214)</f>
        <v/>
      </c>
      <c r="AN213" s="88" t="str">
        <f>IF(全车数据表!BI214="","",全车数据表!BI214)</f>
        <v/>
      </c>
      <c r="AO213" s="88" t="str">
        <f>IF(全车数据表!BJ214="","",全车数据表!BJ214)</f>
        <v/>
      </c>
      <c r="AP213" s="88" t="str">
        <f>IF(全车数据表!BK214="","",全车数据表!BK214)</f>
        <v/>
      </c>
      <c r="AQ213" s="88" t="str">
        <f>IF(全车数据表!BL214="","",全车数据表!BL214)</f>
        <v/>
      </c>
      <c r="AR213" s="88" t="str">
        <f>IF(全车数据表!BM214="","",全车数据表!BM214)</f>
        <v/>
      </c>
      <c r="AS213" s="88" t="str">
        <f>IF(全车数据表!BN214="","",全车数据表!BN214)</f>
        <v/>
      </c>
      <c r="AT213" s="88" t="str">
        <f>IF(全车数据表!BO214="","",全车数据表!BO214)</f>
        <v/>
      </c>
      <c r="AU213" s="88" t="str">
        <f>IF(全车数据表!BP214="","",全车数据表!BP214)</f>
        <v/>
      </c>
      <c r="AV213" s="88" t="str">
        <f>IF(全车数据表!BQ214="","",全车数据表!BQ214)</f>
        <v/>
      </c>
      <c r="AW213" s="88" t="str">
        <f>IF(全车数据表!BR214="","",全车数据表!BR214)</f>
        <v/>
      </c>
      <c r="AX213" s="88" t="str">
        <f>IF(全车数据表!BS214="","",全车数据表!BS214)</f>
        <v/>
      </c>
      <c r="AY213" s="88" t="str">
        <f>IF(全车数据表!BT214="","",全车数据表!BT214)</f>
        <v/>
      </c>
      <c r="AZ213" s="88" t="str">
        <f>IF(全车数据表!BU214="","",全车数据表!BU214)</f>
        <v/>
      </c>
      <c r="BA213" s="88" t="str">
        <f>IF(全车数据表!BV214="","",全车数据表!BV214)</f>
        <v>法拉利 顺丰</v>
      </c>
      <c r="BB213" s="91" t="str">
        <f>IF(全车数据表!AZ214="","",全车数据表!AZ214)</f>
        <v/>
      </c>
    </row>
    <row r="214" spans="1:54">
      <c r="A214" s="88">
        <f>全车数据表!A215</f>
        <v>213</v>
      </c>
      <c r="B214" s="88" t="str">
        <f>全车数据表!B215</f>
        <v>Security Interceptor</v>
      </c>
      <c r="C214" s="89" t="str">
        <f>全车数据表!E215</f>
        <v>interceptor</v>
      </c>
      <c r="D214" s="88" t="str">
        <f>IF(全车数据表!D215="","",全车数据表!D215)</f>
        <v>Security</v>
      </c>
      <c r="E214" s="89" t="str">
        <f>全车数据表!H215</f>
        <v>3.6</v>
      </c>
      <c r="F214" s="89" t="str">
        <f>全车数据表!C215</f>
        <v>拦路虎</v>
      </c>
      <c r="G214" s="89" t="str">
        <f>全车数据表!F215</f>
        <v>A</v>
      </c>
      <c r="H214" s="88">
        <f>LEN(全车数据表!G215)</f>
        <v>6</v>
      </c>
      <c r="I214" s="88" t="str">
        <f>VLOOKUP(全车数据表!P215,辅助计算!A:B,2,FALSE)</f>
        <v>epic</v>
      </c>
      <c r="J214" s="88" t="str">
        <f>全车数据表!Q215</f>
        <v>?</v>
      </c>
      <c r="K214" s="88" t="str">
        <f>全车数据表!R215</f>
        <v>?</v>
      </c>
      <c r="L214" s="88" t="str">
        <f>全车数据表!S215</f>
        <v>?</v>
      </c>
      <c r="M214" s="88" t="str">
        <f>全车数据表!T215</f>
        <v>?</v>
      </c>
      <c r="N214" s="88" t="str">
        <f>全车数据表!U215</f>
        <v>?</v>
      </c>
      <c r="O214" s="88" t="str">
        <f>全车数据表!V215</f>
        <v>?</v>
      </c>
      <c r="P214" s="88">
        <f>全车数据表!J215</f>
        <v>4305</v>
      </c>
      <c r="Q214" s="88">
        <f>全车数据表!K215</f>
        <v>361.1</v>
      </c>
      <c r="R214" s="88">
        <f>全车数据表!L215</f>
        <v>83.2</v>
      </c>
      <c r="S214" s="88">
        <f>全车数据表!M215</f>
        <v>78.8</v>
      </c>
      <c r="T214" s="88">
        <f>全车数据表!N215</f>
        <v>45.56</v>
      </c>
      <c r="U214" s="88">
        <f>全车数据表!O215</f>
        <v>0</v>
      </c>
      <c r="V214" s="88">
        <f>全车数据表!AL215</f>
        <v>0</v>
      </c>
      <c r="W214" s="88">
        <f>全车数据表!AM215</f>
        <v>0</v>
      </c>
      <c r="X214" s="88">
        <f>全车数据表!AU215</f>
        <v>0</v>
      </c>
      <c r="Y214" s="88">
        <f>全车数据表!AV215</f>
        <v>0</v>
      </c>
      <c r="Z214" s="88">
        <f>全车数据表!AN215</f>
        <v>6</v>
      </c>
      <c r="AA214" s="88">
        <f>全车数据表!AP215</f>
        <v>5</v>
      </c>
      <c r="AB214" s="88">
        <f>全车数据表!AR215</f>
        <v>4</v>
      </c>
      <c r="AC214" s="88">
        <f>全车数据表!AW215</f>
        <v>0</v>
      </c>
      <c r="AD214" s="88">
        <f>全车数据表!AX215</f>
        <v>0</v>
      </c>
      <c r="AE214" s="88">
        <f>全车数据表!AY215</f>
        <v>0</v>
      </c>
      <c r="AF214" s="88" t="str">
        <f>IF(全车数据表!BA215="","",全车数据表!BA215)</f>
        <v>联会赛事</v>
      </c>
      <c r="AG214" s="88" t="str">
        <f>IF(全车数据表!BB215="","",全车数据表!BB215)</f>
        <v/>
      </c>
      <c r="AH214" s="88" t="str">
        <f>IF(全车数据表!BC215="","",全车数据表!BC215)</f>
        <v/>
      </c>
      <c r="AI214" s="88" t="str">
        <f>IF(全车数据表!BD215="","",全车数据表!BD215)</f>
        <v/>
      </c>
      <c r="AJ214" s="88" t="str">
        <f>IF(全车数据表!BE215="","",全车数据表!BE215)</f>
        <v/>
      </c>
      <c r="AK214" s="88" t="str">
        <f>IF(全车数据表!BF215="","",全车数据表!BF215)</f>
        <v/>
      </c>
      <c r="AL214" s="88" t="str">
        <f>IF(全车数据表!BG215="","",全车数据表!BG215)</f>
        <v/>
      </c>
      <c r="AM214" s="88" t="str">
        <f>IF(全车数据表!BH215="","",全车数据表!BH215)</f>
        <v/>
      </c>
      <c r="AN214" s="88" t="str">
        <f>IF(全车数据表!BI215="","",全车数据表!BI215)</f>
        <v/>
      </c>
      <c r="AO214" s="88" t="str">
        <f>IF(全车数据表!BJ215="","",全车数据表!BJ215)</f>
        <v/>
      </c>
      <c r="AP214" s="88" t="str">
        <f>IF(全车数据表!BK215="","",全车数据表!BK215)</f>
        <v/>
      </c>
      <c r="AQ214" s="88" t="str">
        <f>IF(全车数据表!BL215="","",全车数据表!BL215)</f>
        <v/>
      </c>
      <c r="AR214" s="88" t="str">
        <f>IF(全车数据表!BM215="","",全车数据表!BM215)</f>
        <v/>
      </c>
      <c r="AS214" s="88">
        <f>IF(全车数据表!BN215="","",全车数据表!BN215)</f>
        <v>1</v>
      </c>
      <c r="AT214" s="88" t="str">
        <f>IF(全车数据表!BO215="","",全车数据表!BO215)</f>
        <v/>
      </c>
      <c r="AU214" s="88" t="str">
        <f>IF(全车数据表!BP215="","",全车数据表!BP215)</f>
        <v/>
      </c>
      <c r="AV214" s="88" t="str">
        <f>IF(全车数据表!BQ215="","",全车数据表!BQ215)</f>
        <v/>
      </c>
      <c r="AW214" s="88" t="str">
        <f>IF(全车数据表!BR215="","",全车数据表!BR215)</f>
        <v/>
      </c>
      <c r="AX214" s="88" t="str">
        <f>IF(全车数据表!BS215="","",全车数据表!BS215)</f>
        <v/>
      </c>
      <c r="AY214" s="88" t="str">
        <f>IF(全车数据表!BT215="","",全车数据表!BT215)</f>
        <v/>
      </c>
      <c r="AZ214" s="88" t="str">
        <f>IF(全车数据表!BU215="","",全车数据表!BU215)</f>
        <v/>
      </c>
      <c r="BA214" s="88" t="str">
        <f>IF(全车数据表!BV215="","",全车数据表!BV215)</f>
        <v/>
      </c>
      <c r="BB214" s="91" t="str">
        <f>IF(全车数据表!AZ215="","",全车数据表!AZ215)</f>
        <v/>
      </c>
    </row>
    <row r="215" spans="1:54">
      <c r="A215" s="88">
        <f>全车数据表!A216</f>
        <v>214</v>
      </c>
      <c r="B215" s="88" t="str">
        <f>全车数据表!B216</f>
        <v>Pagani Utopia Coupe🔑</v>
      </c>
      <c r="C215" s="89" t="str">
        <f>全车数据表!E216</f>
        <v>utopia</v>
      </c>
      <c r="D215" s="88" t="str">
        <f>IF(全车数据表!D216="","",全车数据表!D216)</f>
        <v>Pagani</v>
      </c>
      <c r="E215" s="89" t="str">
        <f>全车数据表!H216</f>
        <v>4.5</v>
      </c>
      <c r="F215" s="89" t="str">
        <f>全车数据表!C216</f>
        <v>乌托邦</v>
      </c>
      <c r="G215" s="89" t="str">
        <f>全车数据表!F216</f>
        <v>A</v>
      </c>
      <c r="H215" s="88">
        <f>LEN(全车数据表!G216)</f>
        <v>6</v>
      </c>
      <c r="I215" s="88" t="str">
        <f>VLOOKUP(全车数据表!P216,辅助计算!A:B,2,FALSE)</f>
        <v>epic</v>
      </c>
      <c r="J215" s="88" t="str">
        <f>全车数据表!Q216</f>
        <v>🔑</v>
      </c>
      <c r="K215" s="88">
        <f>全车数据表!R216</f>
        <v>45</v>
      </c>
      <c r="L215" s="88">
        <f>全车数据表!S216</f>
        <v>50</v>
      </c>
      <c r="M215" s="88">
        <f>全车数据表!T216</f>
        <v>56</v>
      </c>
      <c r="N215" s="88">
        <f>全车数据表!U216</f>
        <v>62</v>
      </c>
      <c r="O215" s="88">
        <f>全车数据表!V216</f>
        <v>66</v>
      </c>
      <c r="P215" s="88">
        <f>全车数据表!J216</f>
        <v>4308</v>
      </c>
      <c r="Q215" s="88">
        <f>全车数据表!K216</f>
        <v>367.9</v>
      </c>
      <c r="R215" s="88">
        <f>全车数据表!L216</f>
        <v>81.03</v>
      </c>
      <c r="S215" s="88">
        <f>全车数据表!M216</f>
        <v>80.63</v>
      </c>
      <c r="T215" s="88">
        <f>全车数据表!N216</f>
        <v>77.19</v>
      </c>
      <c r="U215" s="88">
        <f>全车数据表!O216</f>
        <v>0</v>
      </c>
      <c r="V215" s="88">
        <f>全车数据表!AL216</f>
        <v>22000000</v>
      </c>
      <c r="W215" s="88">
        <f>全车数据表!AM216</f>
        <v>72000</v>
      </c>
      <c r="X215" s="88">
        <f>全车数据表!AU216</f>
        <v>11520000</v>
      </c>
      <c r="Y215" s="88">
        <f>全车数据表!AV216</f>
        <v>33520000</v>
      </c>
      <c r="Z215" s="88">
        <f>全车数据表!AN216</f>
        <v>6</v>
      </c>
      <c r="AA215" s="88">
        <f>全车数据表!AP216</f>
        <v>5</v>
      </c>
      <c r="AB215" s="88">
        <f>全车数据表!AR216</f>
        <v>4</v>
      </c>
      <c r="AC215" s="88">
        <f>全车数据表!AW216</f>
        <v>0</v>
      </c>
      <c r="AD215" s="88">
        <f>全车数据表!AX216</f>
        <v>0</v>
      </c>
      <c r="AE215" s="88">
        <f>全车数据表!AY216</f>
        <v>0</v>
      </c>
      <c r="AF215" s="88" t="str">
        <f>IF(全车数据表!BA216="","",全车数据表!BA216)</f>
        <v>特殊赛事</v>
      </c>
      <c r="AG215" s="88" t="str">
        <f>IF(全车数据表!BB216="","",全车数据表!BB216)</f>
        <v/>
      </c>
      <c r="AH215" s="88" t="str">
        <f>IF(全车数据表!BC216="","",全车数据表!BC216)</f>
        <v/>
      </c>
      <c r="AI215" s="88" t="str">
        <f>IF(全车数据表!BD216="","",全车数据表!BD216)</f>
        <v/>
      </c>
      <c r="AJ215" s="88" t="str">
        <f>IF(全车数据表!BE216="","",全车数据表!BE216)</f>
        <v/>
      </c>
      <c r="AK215" s="88" t="str">
        <f>IF(全车数据表!BF216="","",全车数据表!BF216)</f>
        <v/>
      </c>
      <c r="AL215" s="88" t="str">
        <f>IF(全车数据表!BG216="","",全车数据表!BG216)</f>
        <v/>
      </c>
      <c r="AM215" s="88" t="str">
        <f>IF(全车数据表!BH216="","",全车数据表!BH216)</f>
        <v/>
      </c>
      <c r="AN215" s="88" t="str">
        <f>IF(全车数据表!BI216="","",全车数据表!BI216)</f>
        <v/>
      </c>
      <c r="AO215" s="88" t="str">
        <f>IF(全车数据表!BJ216="","",全车数据表!BJ216)</f>
        <v/>
      </c>
      <c r="AP215" s="88" t="str">
        <f>IF(全车数据表!BK216="","",全车数据表!BK216)</f>
        <v/>
      </c>
      <c r="AQ215" s="88">
        <f>IF(全车数据表!BL216="","",全车数据表!BL216)</f>
        <v>1</v>
      </c>
      <c r="AR215" s="88" t="str">
        <f>IF(全车数据表!BM216="","",全车数据表!BM216)</f>
        <v/>
      </c>
      <c r="AS215" s="88" t="str">
        <f>IF(全车数据表!BN216="","",全车数据表!BN216)</f>
        <v/>
      </c>
      <c r="AT215" s="88">
        <f>IF(全车数据表!BO216="","",全车数据表!BO216)</f>
        <v>1</v>
      </c>
      <c r="AU215" s="88" t="str">
        <f>IF(全车数据表!BP216="","",全车数据表!BP216)</f>
        <v/>
      </c>
      <c r="AV215" s="88" t="str">
        <f>IF(全车数据表!BQ216="","",全车数据表!BQ216)</f>
        <v/>
      </c>
      <c r="AW215" s="88" t="str">
        <f>IF(全车数据表!BR216="","",全车数据表!BR216)</f>
        <v/>
      </c>
      <c r="AX215" s="88" t="str">
        <f>IF(全车数据表!BS216="","",全车数据表!BS216)</f>
        <v/>
      </c>
      <c r="AY215" s="88" t="str">
        <f>IF(全车数据表!BT216="","",全车数据表!BT216)</f>
        <v/>
      </c>
      <c r="AZ215" s="88" t="str">
        <f>IF(全车数据表!BU216="","",全车数据表!BU216)</f>
        <v/>
      </c>
      <c r="BA215" s="88" t="str">
        <f>IF(全车数据表!BV216="","",全车数据表!BV216)</f>
        <v>帕加尼乌托邦</v>
      </c>
      <c r="BB215" s="91" t="str">
        <f>IF(全车数据表!AZ216="","",全车数据表!AZ216)</f>
        <v/>
      </c>
    </row>
    <row r="216" spans="1:54">
      <c r="A216" s="88">
        <f>全车数据表!A217</f>
        <v>215</v>
      </c>
      <c r="B216" s="88" t="str">
        <f>全车数据表!B217</f>
        <v>Ford Shelby Super Snake</v>
      </c>
      <c r="C216" s="89" t="str">
        <f>全车数据表!E217</f>
        <v>supersnake</v>
      </c>
      <c r="D216" s="88" t="str">
        <f>IF(全车数据表!D217="","",全车数据表!D217)</f>
        <v>Ford</v>
      </c>
      <c r="E216" s="89" t="str">
        <f>全车数据表!H217</f>
        <v>5.3</v>
      </c>
      <c r="F216" s="89" t="str">
        <f>全车数据表!C217</f>
        <v>超级蛇</v>
      </c>
      <c r="G216" s="89" t="str">
        <f>全车数据表!F217</f>
        <v>A</v>
      </c>
      <c r="H216" s="88">
        <f>LEN(全车数据表!G217)</f>
        <v>6</v>
      </c>
      <c r="I216" s="88" t="str">
        <f>VLOOKUP(全车数据表!P217,辅助计算!A:B,2,FALSE)</f>
        <v>epic</v>
      </c>
      <c r="J216" s="88" t="str">
        <f>全车数据表!Q217</f>
        <v>🔑</v>
      </c>
      <c r="K216" s="88">
        <f>全车数据表!R217</f>
        <v>45</v>
      </c>
      <c r="L216" s="88">
        <f>全车数据表!S217</f>
        <v>50</v>
      </c>
      <c r="M216" s="88">
        <f>全车数据表!T217</f>
        <v>56</v>
      </c>
      <c r="N216" s="88">
        <f>全车数据表!U217</f>
        <v>62</v>
      </c>
      <c r="O216" s="88">
        <f>全车数据表!V217</f>
        <v>66</v>
      </c>
      <c r="P216" s="88">
        <f>全车数据表!J217</f>
        <v>4350</v>
      </c>
      <c r="Q216" s="88">
        <f>全车数据表!K217</f>
        <v>363.4</v>
      </c>
      <c r="R216" s="88">
        <f>全车数据表!L217</f>
        <v>85.44</v>
      </c>
      <c r="S216" s="88">
        <f>全车数据表!M217</f>
        <v>75.98</v>
      </c>
      <c r="T216" s="88">
        <f>全车数据表!N217</f>
        <v>59.74</v>
      </c>
      <c r="U216" s="88">
        <f>全车数据表!O217</f>
        <v>0</v>
      </c>
      <c r="V216" s="88">
        <f>全车数据表!AL217</f>
        <v>22000000</v>
      </c>
      <c r="W216" s="88">
        <f>全车数据表!AM217</f>
        <v>72000</v>
      </c>
      <c r="X216" s="88">
        <f>全车数据表!AU217</f>
        <v>11520000</v>
      </c>
      <c r="Y216" s="88">
        <f>全车数据表!AV217</f>
        <v>33520000</v>
      </c>
      <c r="Z216" s="88">
        <f>全车数据表!AN217</f>
        <v>6</v>
      </c>
      <c r="AA216" s="88">
        <f>全车数据表!AP217</f>
        <v>5</v>
      </c>
      <c r="AB216" s="88">
        <f>全车数据表!AR217</f>
        <v>4</v>
      </c>
      <c r="AC216" s="88">
        <f>全车数据表!AW217</f>
        <v>0</v>
      </c>
      <c r="AD216" s="88">
        <f>全车数据表!AX217</f>
        <v>0</v>
      </c>
      <c r="AE216" s="88">
        <f>全车数据表!AY217</f>
        <v>0</v>
      </c>
      <c r="AF216" s="88" t="str">
        <f>IF(全车数据表!BA217="","",全车数据表!BA217)</f>
        <v>特殊赛事</v>
      </c>
      <c r="AG216" s="88" t="str">
        <f>IF(全车数据表!BB217="","",全车数据表!BB217)</f>
        <v/>
      </c>
      <c r="AH216" s="88" t="str">
        <f>IF(全车数据表!BC217="","",全车数据表!BC217)</f>
        <v/>
      </c>
      <c r="AI216" s="88" t="str">
        <f>IF(全车数据表!BD217="","",全车数据表!BD217)</f>
        <v/>
      </c>
      <c r="AJ216" s="88" t="str">
        <f>IF(全车数据表!BE217="","",全车数据表!BE217)</f>
        <v/>
      </c>
      <c r="AK216" s="88" t="str">
        <f>IF(全车数据表!BF217="","",全车数据表!BF217)</f>
        <v/>
      </c>
      <c r="AL216" s="88" t="str">
        <f>IF(全车数据表!BG217="","",全车数据表!BG217)</f>
        <v/>
      </c>
      <c r="AM216" s="88" t="str">
        <f>IF(全车数据表!BH217="","",全车数据表!BH217)</f>
        <v/>
      </c>
      <c r="AN216" s="88" t="str">
        <f>IF(全车数据表!BI217="","",全车数据表!BI217)</f>
        <v/>
      </c>
      <c r="AO216" s="88" t="str">
        <f>IF(全车数据表!BJ217="","",全车数据表!BJ217)</f>
        <v/>
      </c>
      <c r="AP216" s="88" t="str">
        <f>IF(全车数据表!BK217="","",全车数据表!BK217)</f>
        <v/>
      </c>
      <c r="AQ216" s="88" t="str">
        <f>IF(全车数据表!BL217="","",全车数据表!BL217)</f>
        <v/>
      </c>
      <c r="AR216" s="88" t="str">
        <f>IF(全车数据表!BM217="","",全车数据表!BM217)</f>
        <v/>
      </c>
      <c r="AS216" s="88" t="str">
        <f>IF(全车数据表!BN217="","",全车数据表!BN217)</f>
        <v/>
      </c>
      <c r="AT216" s="88" t="str">
        <f>IF(全车数据表!BO217="","",全车数据表!BO217)</f>
        <v/>
      </c>
      <c r="AU216" s="88" t="str">
        <f>IF(全车数据表!BP217="","",全车数据表!BP217)</f>
        <v/>
      </c>
      <c r="AV216" s="88" t="str">
        <f>IF(全车数据表!BQ217="","",全车数据表!BQ217)</f>
        <v/>
      </c>
      <c r="AW216" s="88" t="str">
        <f>IF(全车数据表!BR217="","",全车数据表!BR217)</f>
        <v/>
      </c>
      <c r="AX216" s="88" t="str">
        <f>IF(全车数据表!BS217="","",全车数据表!BS217)</f>
        <v/>
      </c>
      <c r="AY216" s="88" t="str">
        <f>IF(全车数据表!BT217="","",全车数据表!BT217)</f>
        <v/>
      </c>
      <c r="AZ216" s="88" t="str">
        <f>IF(全车数据表!BU217="","",全车数据表!BU217)</f>
        <v/>
      </c>
      <c r="BA216" s="88" t="str">
        <f>IF(全车数据表!BV217="","",全车数据表!BV217)</f>
        <v>福特 谢尔比</v>
      </c>
      <c r="BB216" s="91" t="str">
        <f>IF(全车数据表!AZ217="","",全车数据表!AZ217)</f>
        <v/>
      </c>
    </row>
    <row r="217" spans="1:54">
      <c r="A217" s="88">
        <f>全车数据表!A218</f>
        <v>216</v>
      </c>
      <c r="B217" s="88" t="str">
        <f>全车数据表!B218</f>
        <v>Lamborghini Temerario</v>
      </c>
      <c r="C217" s="89" t="str">
        <f>全车数据表!E218</f>
        <v>temerario</v>
      </c>
      <c r="D217" s="88" t="str">
        <f>IF(全车数据表!D218="","",全车数据表!D218)</f>
        <v>Lamborghini</v>
      </c>
      <c r="E217" s="89" t="str">
        <f>全车数据表!H218</f>
        <v>5.1</v>
      </c>
      <c r="F217" s="89" t="str">
        <f>全车数据表!C218</f>
        <v>Temerario</v>
      </c>
      <c r="G217" s="89" t="str">
        <f>全车数据表!F218</f>
        <v>A</v>
      </c>
      <c r="H217" s="88">
        <f>LEN(全车数据表!G218)</f>
        <v>6</v>
      </c>
      <c r="I217" s="88" t="str">
        <f>VLOOKUP(全车数据表!P218,辅助计算!A:B,2,FALSE)</f>
        <v>epic</v>
      </c>
      <c r="J217" s="88">
        <f>全车数据表!Q218</f>
        <v>30</v>
      </c>
      <c r="K217" s="88">
        <f>全车数据表!R218</f>
        <v>40</v>
      </c>
      <c r="L217" s="88">
        <f>全车数据表!S218</f>
        <v>45</v>
      </c>
      <c r="M217" s="88">
        <f>全车数据表!T218</f>
        <v>55</v>
      </c>
      <c r="N217" s="88">
        <f>全车数据表!U218</f>
        <v>60</v>
      </c>
      <c r="O217" s="88">
        <f>全车数据表!V218</f>
        <v>70</v>
      </c>
      <c r="P217" s="88">
        <f>全车数据表!J218</f>
        <v>4372</v>
      </c>
      <c r="Q217" s="88">
        <f>全车数据表!K218</f>
        <v>365.5</v>
      </c>
      <c r="R217" s="88">
        <f>全车数据表!L218</f>
        <v>88.35</v>
      </c>
      <c r="S217" s="88">
        <f>全车数据表!M218</f>
        <v>70.53</v>
      </c>
      <c r="T217" s="88">
        <f>全车数据表!N218</f>
        <v>62.21</v>
      </c>
      <c r="U217" s="88">
        <f>全车数据表!O218</f>
        <v>0</v>
      </c>
      <c r="V217" s="88">
        <f>全车数据表!AL218</f>
        <v>22000000</v>
      </c>
      <c r="W217" s="88">
        <f>全车数据表!AM218</f>
        <v>72000</v>
      </c>
      <c r="X217" s="88">
        <f>全车数据表!AU218</f>
        <v>11520000</v>
      </c>
      <c r="Y217" s="88">
        <f>全车数据表!AV218</f>
        <v>33520000</v>
      </c>
      <c r="Z217" s="88">
        <f>全车数据表!AN218</f>
        <v>6</v>
      </c>
      <c r="AA217" s="88">
        <f>全车数据表!AP218</f>
        <v>5</v>
      </c>
      <c r="AB217" s="88">
        <f>全车数据表!AR218</f>
        <v>4</v>
      </c>
      <c r="AC217" s="88">
        <f>全车数据表!AW218</f>
        <v>380</v>
      </c>
      <c r="AD217" s="88">
        <f>全车数据表!AX218</f>
        <v>0</v>
      </c>
      <c r="AE217" s="88">
        <f>全车数据表!AY218</f>
        <v>505</v>
      </c>
      <c r="AF217" s="88" t="str">
        <f>IF(全车数据表!BA218="","",全车数据表!BA218)</f>
        <v>特殊赛事</v>
      </c>
      <c r="AG217" s="88" t="str">
        <f>IF(全车数据表!BB218="","",全车数据表!BB218)</f>
        <v/>
      </c>
      <c r="AH217" s="88" t="str">
        <f>IF(全车数据表!BC218="","",全车数据表!BC218)</f>
        <v/>
      </c>
      <c r="AI217" s="88" t="str">
        <f>IF(全车数据表!BD218="","",全车数据表!BD218)</f>
        <v/>
      </c>
      <c r="AJ217" s="88" t="str">
        <f>IF(全车数据表!BE218="","",全车数据表!BE218)</f>
        <v/>
      </c>
      <c r="AK217" s="88" t="str">
        <f>IF(全车数据表!BF218="","",全车数据表!BF218)</f>
        <v/>
      </c>
      <c r="AL217" s="88" t="str">
        <f>IF(全车数据表!BG218="","",全车数据表!BG218)</f>
        <v/>
      </c>
      <c r="AM217" s="88" t="str">
        <f>IF(全车数据表!BH218="","",全车数据表!BH218)</f>
        <v/>
      </c>
      <c r="AN217" s="88" t="str">
        <f>IF(全车数据表!BI218="","",全车数据表!BI218)</f>
        <v/>
      </c>
      <c r="AO217" s="88" t="str">
        <f>IF(全车数据表!BJ218="","",全车数据表!BJ218)</f>
        <v/>
      </c>
      <c r="AP217" s="88" t="str">
        <f>IF(全车数据表!BK218="","",全车数据表!BK218)</f>
        <v/>
      </c>
      <c r="AQ217" s="88" t="str">
        <f>IF(全车数据表!BL218="","",全车数据表!BL218)</f>
        <v/>
      </c>
      <c r="AR217" s="88" t="str">
        <f>IF(全车数据表!BM218="","",全车数据表!BM218)</f>
        <v/>
      </c>
      <c r="AS217" s="88" t="str">
        <f>IF(全车数据表!BN218="","",全车数据表!BN218)</f>
        <v/>
      </c>
      <c r="AT217" s="88" t="str">
        <f>IF(全车数据表!BO218="","",全车数据表!BO218)</f>
        <v/>
      </c>
      <c r="AU217" s="88" t="str">
        <f>IF(全车数据表!BP218="","",全车数据表!BP218)</f>
        <v/>
      </c>
      <c r="AV217" s="88" t="str">
        <f>IF(全车数据表!BQ218="","",全车数据表!BQ218)</f>
        <v/>
      </c>
      <c r="AW217" s="88" t="str">
        <f>IF(全车数据表!BR218="","",全车数据表!BR218)</f>
        <v/>
      </c>
      <c r="AX217" s="88" t="str">
        <f>IF(全车数据表!BS218="","",全车数据表!BS218)</f>
        <v/>
      </c>
      <c r="AY217" s="88" t="str">
        <f>IF(全车数据表!BT218="","",全车数据表!BT218)</f>
        <v/>
      </c>
      <c r="AZ217" s="88" t="str">
        <f>IF(全车数据表!BU218="","",全车数据表!BU218)</f>
        <v/>
      </c>
      <c r="BA217" s="88" t="str">
        <f>IF(全车数据表!BV218="","",全车数据表!BV218)</f>
        <v>兰博基尼</v>
      </c>
      <c r="BB217" s="91" t="str">
        <f>IF(全车数据表!AZ218="","",全车数据表!AZ218)</f>
        <v/>
      </c>
    </row>
    <row r="218" spans="1:54">
      <c r="A218" s="88">
        <f>全车数据表!A219</f>
        <v>217</v>
      </c>
      <c r="B218" s="88" t="str">
        <f>全车数据表!B219</f>
        <v>FV Frangivento Asfane🔑</v>
      </c>
      <c r="C218" s="89" t="str">
        <f>全车数据表!E219</f>
        <v>asfane</v>
      </c>
      <c r="D218" s="88" t="str">
        <f>IF(全车数据表!D219="","",全车数据表!D219)</f>
        <v>FV Frangivento</v>
      </c>
      <c r="E218" s="89" t="str">
        <f>全车数据表!H219</f>
        <v>4.8</v>
      </c>
      <c r="F218" s="89" t="str">
        <f>全车数据表!C219</f>
        <v>Asfane</v>
      </c>
      <c r="G218" s="89" t="str">
        <f>全车数据表!F219</f>
        <v>A</v>
      </c>
      <c r="H218" s="88">
        <f>LEN(全车数据表!G219)</f>
        <v>6</v>
      </c>
      <c r="I218" s="88" t="str">
        <f>VLOOKUP(全车数据表!P219,辅助计算!A:B,2,FALSE)</f>
        <v>epic</v>
      </c>
      <c r="J218" s="88" t="str">
        <f>全车数据表!Q219</f>
        <v>🔑</v>
      </c>
      <c r="K218" s="88">
        <f>全车数据表!R219</f>
        <v>45</v>
      </c>
      <c r="L218" s="88">
        <f>全车数据表!S219</f>
        <v>50</v>
      </c>
      <c r="M218" s="88">
        <f>全车数据表!T219</f>
        <v>56</v>
      </c>
      <c r="N218" s="88">
        <f>全车数据表!U219</f>
        <v>62</v>
      </c>
      <c r="O218" s="88">
        <f>全车数据表!V219</f>
        <v>66</v>
      </c>
      <c r="P218" s="88">
        <f>全车数据表!J219</f>
        <v>4377</v>
      </c>
      <c r="Q218" s="88">
        <f>全车数据表!K219</f>
        <v>373.9</v>
      </c>
      <c r="R218" s="88">
        <f>全车数据表!L219</f>
        <v>82.03</v>
      </c>
      <c r="S218" s="88">
        <f>全车数据表!M219</f>
        <v>69.13</v>
      </c>
      <c r="T218" s="88">
        <f>全车数据表!N219</f>
        <v>67.63</v>
      </c>
      <c r="U218" s="88">
        <f>全车数据表!O219</f>
        <v>0</v>
      </c>
      <c r="V218" s="88">
        <f>全车数据表!AL219</f>
        <v>22000000</v>
      </c>
      <c r="W218" s="88">
        <f>全车数据表!AM219</f>
        <v>58500</v>
      </c>
      <c r="X218" s="88">
        <f>全车数据表!AU219</f>
        <v>9360000</v>
      </c>
      <c r="Y218" s="88">
        <f>全车数据表!AV219</f>
        <v>31360000</v>
      </c>
      <c r="Z218" s="88">
        <f>全车数据表!AN219</f>
        <v>6</v>
      </c>
      <c r="AA218" s="88">
        <f>全车数据表!AP219</f>
        <v>5</v>
      </c>
      <c r="AB218" s="88">
        <f>全车数据表!AR219</f>
        <v>4</v>
      </c>
      <c r="AC218" s="88">
        <f>全车数据表!AW219</f>
        <v>389</v>
      </c>
      <c r="AD218" s="88">
        <f>全车数据表!AX219</f>
        <v>0</v>
      </c>
      <c r="AE218" s="88">
        <f>全车数据表!AY219</f>
        <v>519</v>
      </c>
      <c r="AF218" s="88" t="str">
        <f>IF(全车数据表!BA219="","",全车数据表!BA219)</f>
        <v>特殊赛事</v>
      </c>
      <c r="AG218" s="88" t="str">
        <f>IF(全车数据表!BB219="","",全车数据表!BB219)</f>
        <v/>
      </c>
      <c r="AH218" s="88" t="str">
        <f>IF(全车数据表!BC219="","",全车数据表!BC219)</f>
        <v/>
      </c>
      <c r="AI218" s="88" t="str">
        <f>IF(全车数据表!BD219="","",全车数据表!BD219)</f>
        <v/>
      </c>
      <c r="AJ218" s="88" t="str">
        <f>IF(全车数据表!BE219="","",全车数据表!BE219)</f>
        <v/>
      </c>
      <c r="AK218" s="88" t="str">
        <f>IF(全车数据表!BF219="","",全车数据表!BF219)</f>
        <v/>
      </c>
      <c r="AL218" s="88" t="str">
        <f>IF(全车数据表!BG219="","",全车数据表!BG219)</f>
        <v/>
      </c>
      <c r="AM218" s="88" t="str">
        <f>IF(全车数据表!BH219="","",全车数据表!BH219)</f>
        <v/>
      </c>
      <c r="AN218" s="88" t="str">
        <f>IF(全车数据表!BI219="","",全车数据表!BI219)</f>
        <v/>
      </c>
      <c r="AO218" s="88" t="str">
        <f>IF(全车数据表!BJ219="","",全车数据表!BJ219)</f>
        <v/>
      </c>
      <c r="AP218" s="88" t="str">
        <f>IF(全车数据表!BK219="","",全车数据表!BK219)</f>
        <v/>
      </c>
      <c r="AQ218" s="88">
        <f>IF(全车数据表!BL219="","",全车数据表!BL219)</f>
        <v>1</v>
      </c>
      <c r="AR218" s="88" t="str">
        <f>IF(全车数据表!BM219="","",全车数据表!BM219)</f>
        <v/>
      </c>
      <c r="AS218" s="88" t="str">
        <f>IF(全车数据表!BN219="","",全车数据表!BN219)</f>
        <v/>
      </c>
      <c r="AT218" s="88">
        <f>IF(全车数据表!BO219="","",全车数据表!BO219)</f>
        <v>1</v>
      </c>
      <c r="AU218" s="88" t="str">
        <f>IF(全车数据表!BP219="","",全车数据表!BP219)</f>
        <v/>
      </c>
      <c r="AV218" s="88" t="str">
        <f>IF(全车数据表!BQ219="","",全车数据表!BQ219)</f>
        <v/>
      </c>
      <c r="AW218" s="88" t="str">
        <f>IF(全车数据表!BR219="","",全车数据表!BR219)</f>
        <v/>
      </c>
      <c r="AX218" s="88" t="str">
        <f>IF(全车数据表!BS219="","",全车数据表!BS219)</f>
        <v/>
      </c>
      <c r="AY218" s="88" t="str">
        <f>IF(全车数据表!BT219="","",全车数据表!BT219)</f>
        <v/>
      </c>
      <c r="AZ218" s="88" t="str">
        <f>IF(全车数据表!BU219="","",全车数据表!BU219)</f>
        <v/>
      </c>
      <c r="BA218" s="88" t="str">
        <f>IF(全车数据表!BV219="","",全车数据表!BV219)</f>
        <v/>
      </c>
      <c r="BB218" s="91" t="str">
        <f>IF(全车数据表!AZ219="","",全车数据表!AZ219)</f>
        <v/>
      </c>
    </row>
    <row r="219" spans="1:54">
      <c r="A219" s="88">
        <f>全车数据表!A220</f>
        <v>218</v>
      </c>
      <c r="B219" s="88" t="str">
        <f>全车数据表!B220</f>
        <v>Zenvo Aurora Agil</v>
      </c>
      <c r="C219" s="89" t="str">
        <f>全车数据表!E220</f>
        <v>zenvo_aurora_agil</v>
      </c>
      <c r="D219" s="88" t="str">
        <f>IF(全车数据表!D220="","",全车数据表!D220)</f>
        <v>Zenvo</v>
      </c>
      <c r="E219" s="89" t="str">
        <f>全车数据表!H220</f>
        <v>5.8</v>
      </c>
      <c r="F219" s="89" t="str">
        <f>全车数据表!C220</f>
        <v>Agil</v>
      </c>
      <c r="G219" s="89" t="str">
        <f>全车数据表!F220</f>
        <v>A</v>
      </c>
      <c r="H219" s="88">
        <f>LEN(全车数据表!G220)</f>
        <v>6</v>
      </c>
      <c r="I219" s="88" t="str">
        <f>VLOOKUP(全车数据表!P220,辅助计算!A:B,2,FALSE)</f>
        <v>epic</v>
      </c>
      <c r="J219" s="88" t="str">
        <f>全车数据表!Q220</f>
        <v>🔑</v>
      </c>
      <c r="K219" s="88" t="str">
        <f>全车数据表!R220</f>
        <v>?</v>
      </c>
      <c r="L219" s="88" t="str">
        <f>全车数据表!S220</f>
        <v>?</v>
      </c>
      <c r="M219" s="88" t="str">
        <f>全车数据表!T220</f>
        <v>?</v>
      </c>
      <c r="N219" s="88" t="str">
        <f>全车数据表!U220</f>
        <v>?</v>
      </c>
      <c r="O219" s="88" t="str">
        <f>全车数据表!V220</f>
        <v>?</v>
      </c>
      <c r="P219" s="88">
        <f>全车数据表!J220</f>
        <v>4393</v>
      </c>
      <c r="Q219" s="88">
        <f>全车数据表!K220</f>
        <v>379.4</v>
      </c>
      <c r="R219" s="88">
        <f>全车数据表!L220</f>
        <v>83.12</v>
      </c>
      <c r="S219" s="88">
        <f>全车数据表!M220</f>
        <v>70.3</v>
      </c>
      <c r="T219" s="88">
        <f>全车数据表!N220</f>
        <v>64.25</v>
      </c>
      <c r="U219" s="88">
        <f>全车数据表!O220</f>
        <v>0</v>
      </c>
      <c r="V219" s="88">
        <f>全车数据表!AL220</f>
        <v>0</v>
      </c>
      <c r="W219" s="88">
        <f>全车数据表!AM220</f>
        <v>0</v>
      </c>
      <c r="X219" s="88">
        <f>全车数据表!AU220</f>
        <v>0</v>
      </c>
      <c r="Y219" s="88">
        <f>全车数据表!AV220</f>
        <v>0</v>
      </c>
      <c r="Z219" s="88">
        <f>全车数据表!AN220</f>
        <v>0</v>
      </c>
      <c r="AA219" s="88">
        <f>全车数据表!AP220</f>
        <v>0</v>
      </c>
      <c r="AB219" s="88">
        <f>全车数据表!AR220</f>
        <v>0</v>
      </c>
      <c r="AC219" s="88">
        <f>全车数据表!AW220</f>
        <v>0</v>
      </c>
      <c r="AD219" s="88">
        <f>全车数据表!AX220</f>
        <v>0</v>
      </c>
      <c r="AE219" s="88">
        <f>全车数据表!AY220</f>
        <v>0</v>
      </c>
      <c r="AF219" s="88" t="str">
        <f>IF(全车数据表!BA220="","",全车数据表!BA220)</f>
        <v>狂飙赏金</v>
      </c>
      <c r="AG219" s="88" t="str">
        <f>IF(全车数据表!BB220="","",全车数据表!BB220)</f>
        <v/>
      </c>
      <c r="AH219" s="88" t="str">
        <f>IF(全车数据表!BC220="","",全车数据表!BC220)</f>
        <v/>
      </c>
      <c r="AI219" s="88" t="str">
        <f>IF(全车数据表!BD220="","",全车数据表!BD220)</f>
        <v/>
      </c>
      <c r="AJ219" s="88" t="str">
        <f>IF(全车数据表!BE220="","",全车数据表!BE220)</f>
        <v/>
      </c>
      <c r="AK219" s="88" t="str">
        <f>IF(全车数据表!BF220="","",全车数据表!BF220)</f>
        <v/>
      </c>
      <c r="AL219" s="88" t="str">
        <f>IF(全车数据表!BG220="","",全车数据表!BG220)</f>
        <v/>
      </c>
      <c r="AM219" s="88" t="str">
        <f>IF(全车数据表!BH220="","",全车数据表!BH220)</f>
        <v/>
      </c>
      <c r="AN219" s="88" t="str">
        <f>IF(全车数据表!BI220="","",全车数据表!BI220)</f>
        <v/>
      </c>
      <c r="AO219" s="88" t="str">
        <f>IF(全车数据表!BJ220="","",全车数据表!BJ220)</f>
        <v/>
      </c>
      <c r="AP219" s="88" t="str">
        <f>IF(全车数据表!BK220="","",全车数据表!BK220)</f>
        <v/>
      </c>
      <c r="AQ219" s="88" t="str">
        <f>IF(全车数据表!BL220="","",全车数据表!BL220)</f>
        <v/>
      </c>
      <c r="AR219" s="88" t="str">
        <f>IF(全车数据表!BM220="","",全车数据表!BM220)</f>
        <v/>
      </c>
      <c r="AS219" s="88" t="str">
        <f>IF(全车数据表!BN220="","",全车数据表!BN220)</f>
        <v/>
      </c>
      <c r="AT219" s="88" t="str">
        <f>IF(全车数据表!BO220="","",全车数据表!BO220)</f>
        <v/>
      </c>
      <c r="AU219" s="88" t="str">
        <f>IF(全车数据表!BP220="","",全车数据表!BP220)</f>
        <v/>
      </c>
      <c r="AV219" s="88" t="str">
        <f>IF(全车数据表!BQ220="","",全车数据表!BQ220)</f>
        <v/>
      </c>
      <c r="AW219" s="88" t="str">
        <f>IF(全车数据表!BR220="","",全车数据表!BR220)</f>
        <v/>
      </c>
      <c r="AX219" s="88" t="str">
        <f>IF(全车数据表!BS220="","",全车数据表!BS220)</f>
        <v/>
      </c>
      <c r="AY219" s="88" t="str">
        <f>IF(全车数据表!BT220="","",全车数据表!BT220)</f>
        <v/>
      </c>
      <c r="AZ219" s="88" t="str">
        <f>IF(全车数据表!BU220="","",全车数据表!BU220)</f>
        <v/>
      </c>
      <c r="BA219" s="88" t="str">
        <f>IF(全车数据表!BV220="","",全车数据表!BV220)</f>
        <v>极光</v>
      </c>
      <c r="BB219" s="91" t="str">
        <f>IF(全车数据表!AZ220="","",全车数据表!AZ220)</f>
        <v/>
      </c>
    </row>
    <row r="220" spans="1:54">
      <c r="A220" s="88">
        <f>全车数据表!A221</f>
        <v>219</v>
      </c>
      <c r="B220" s="88" t="str">
        <f>全车数据表!B221</f>
        <v>Jaguar XJR-9</v>
      </c>
      <c r="C220" s="89" t="str">
        <f>全车数据表!E221</f>
        <v>xjr</v>
      </c>
      <c r="D220" s="88" t="str">
        <f>IF(全车数据表!D221="","",全车数据表!D221)</f>
        <v>Jaguar</v>
      </c>
      <c r="E220" s="89" t="str">
        <f>全车数据表!H221</f>
        <v>4.1</v>
      </c>
      <c r="F220" s="89" t="str">
        <f>全车数据表!C221</f>
        <v>XJR-9</v>
      </c>
      <c r="G220" s="89" t="str">
        <f>全车数据表!F221</f>
        <v>A</v>
      </c>
      <c r="H220" s="88">
        <f>LEN(全车数据表!G221)</f>
        <v>6</v>
      </c>
      <c r="I220" s="88" t="str">
        <f>VLOOKUP(全车数据表!P221,辅助计算!A:B,2,FALSE)</f>
        <v>epic</v>
      </c>
      <c r="J220" s="88">
        <f>全车数据表!Q221</f>
        <v>40</v>
      </c>
      <c r="K220" s="88">
        <f>全车数据表!R221</f>
        <v>45</v>
      </c>
      <c r="L220" s="88">
        <f>全车数据表!S221</f>
        <v>45</v>
      </c>
      <c r="M220" s="88">
        <f>全车数据表!T221</f>
        <v>48</v>
      </c>
      <c r="N220" s="88">
        <f>全车数据表!U221</f>
        <v>50</v>
      </c>
      <c r="O220" s="88">
        <f>全车数据表!V221</f>
        <v>52</v>
      </c>
      <c r="P220" s="88">
        <f>全车数据表!J221</f>
        <v>4438</v>
      </c>
      <c r="Q220" s="88">
        <f>全车数据表!K221</f>
        <v>400.7</v>
      </c>
      <c r="R220" s="88">
        <f>全车数据表!L221</f>
        <v>72.45</v>
      </c>
      <c r="S220" s="88">
        <f>全车数据表!M221</f>
        <v>59.33</v>
      </c>
      <c r="T220" s="88">
        <f>全车数据表!N221</f>
        <v>84.95</v>
      </c>
      <c r="U220" s="88">
        <f>全车数据表!O221</f>
        <v>8.5</v>
      </c>
      <c r="V220" s="88">
        <f>全车数据表!AL221</f>
        <v>18000000</v>
      </c>
      <c r="W220" s="88">
        <f>全车数据表!AM221</f>
        <v>72000</v>
      </c>
      <c r="X220" s="88">
        <f>全车数据表!AU221</f>
        <v>11520000</v>
      </c>
      <c r="Y220" s="88">
        <f>全车数据表!AV221</f>
        <v>29520000</v>
      </c>
      <c r="Z220" s="88">
        <f>全车数据表!AN221</f>
        <v>6</v>
      </c>
      <c r="AA220" s="88">
        <f>全车数据表!AP221</f>
        <v>5</v>
      </c>
      <c r="AB220" s="88">
        <f>全车数据表!AR221</f>
        <v>4</v>
      </c>
      <c r="AC220" s="88">
        <f>全车数据表!AW221</f>
        <v>416</v>
      </c>
      <c r="AD220" s="88">
        <f>全车数据表!AX221</f>
        <v>0</v>
      </c>
      <c r="AE220" s="88">
        <f>全车数据表!AY221</f>
        <v>556</v>
      </c>
      <c r="AF220" s="88" t="str">
        <f>IF(全车数据表!BA221="","",全车数据表!BA221)</f>
        <v>特殊赛事</v>
      </c>
      <c r="AG220" s="88" t="str">
        <f>IF(全车数据表!BB221="","",全车数据表!BB221)</f>
        <v/>
      </c>
      <c r="AH220" s="88" t="str">
        <f>IF(全车数据表!BC221="","",全车数据表!BC221)</f>
        <v/>
      </c>
      <c r="AI220" s="88" t="str">
        <f>IF(全车数据表!BD221="","",全车数据表!BD221)</f>
        <v/>
      </c>
      <c r="AJ220" s="88" t="str">
        <f>IF(全车数据表!BE221="","",全车数据表!BE221)</f>
        <v/>
      </c>
      <c r="AK220" s="88" t="str">
        <f>IF(全车数据表!BF221="","",全车数据表!BF221)</f>
        <v/>
      </c>
      <c r="AL220" s="88" t="str">
        <f>IF(全车数据表!BG221="","",全车数据表!BG221)</f>
        <v/>
      </c>
      <c r="AM220" s="88" t="str">
        <f>IF(全车数据表!BH221="","",全车数据表!BH221)</f>
        <v/>
      </c>
      <c r="AN220" s="88" t="str">
        <f>IF(全车数据表!BI221="","",全车数据表!BI221)</f>
        <v/>
      </c>
      <c r="AO220" s="88" t="str">
        <f>IF(全车数据表!BJ221="","",全车数据表!BJ221)</f>
        <v/>
      </c>
      <c r="AP220" s="88" t="str">
        <f>IF(全车数据表!BK221="","",全车数据表!BK221)</f>
        <v/>
      </c>
      <c r="AQ220" s="88">
        <f>IF(全车数据表!BL221="","",全车数据表!BL221)</f>
        <v>1</v>
      </c>
      <c r="AR220" s="88" t="str">
        <f>IF(全车数据表!BM221="","",全车数据表!BM221)</f>
        <v/>
      </c>
      <c r="AS220" s="88" t="str">
        <f>IF(全车数据表!BN221="","",全车数据表!BN221)</f>
        <v/>
      </c>
      <c r="AT220" s="88" t="str">
        <f>IF(全车数据表!BO221="","",全车数据表!BO221)</f>
        <v/>
      </c>
      <c r="AU220" s="88" t="str">
        <f>IF(全车数据表!BP221="","",全车数据表!BP221)</f>
        <v/>
      </c>
      <c r="AV220" s="88" t="str">
        <f>IF(全车数据表!BQ221="","",全车数据表!BQ221)</f>
        <v/>
      </c>
      <c r="AW220" s="88" t="str">
        <f>IF(全车数据表!BR221="","",全车数据表!BR221)</f>
        <v/>
      </c>
      <c r="AX220" s="88" t="str">
        <f>IF(全车数据表!BS221="","",全车数据表!BS221)</f>
        <v/>
      </c>
      <c r="AY220" s="88" t="str">
        <f>IF(全车数据表!BT221="","",全车数据表!BT221)</f>
        <v/>
      </c>
      <c r="AZ220" s="88" t="str">
        <f>IF(全车数据表!BU221="","",全车数据表!BU221)</f>
        <v/>
      </c>
      <c r="BA220" s="88" t="str">
        <f>IF(全车数据表!BV221="","",全车数据表!BV221)</f>
        <v>捷豹</v>
      </c>
      <c r="BB220" s="91" t="str">
        <f>IF(全车数据表!AZ221="","",全车数据表!AZ221)</f>
        <v/>
      </c>
    </row>
    <row r="221" spans="1:54">
      <c r="A221" s="88">
        <f>全车数据表!A222</f>
        <v>220</v>
      </c>
      <c r="B221" s="88" t="str">
        <f>全车数据表!B222</f>
        <v>Noble M600 Speedster</v>
      </c>
      <c r="C221" s="89" t="str">
        <f>全车数据表!E222</f>
        <v>m600</v>
      </c>
      <c r="D221" s="88" t="str">
        <f>IF(全车数据表!D222="","",全车数据表!D222)</f>
        <v>Noble</v>
      </c>
      <c r="E221" s="89" t="str">
        <f>全车数据表!H222</f>
        <v>4.3</v>
      </c>
      <c r="F221" s="89" t="str">
        <f>全车数据表!C222</f>
        <v>M600</v>
      </c>
      <c r="G221" s="89" t="str">
        <f>全车数据表!F222</f>
        <v>A</v>
      </c>
      <c r="H221" s="88">
        <f>LEN(全车数据表!G222)</f>
        <v>6</v>
      </c>
      <c r="I221" s="88" t="str">
        <f>VLOOKUP(全车数据表!P222,辅助计算!A:B,2,FALSE)</f>
        <v>epic</v>
      </c>
      <c r="J221" s="88">
        <f>全车数据表!Q222</f>
        <v>40</v>
      </c>
      <c r="K221" s="88">
        <f>全车数据表!R222</f>
        <v>30</v>
      </c>
      <c r="L221" s="88">
        <f>全车数据表!S222</f>
        <v>35</v>
      </c>
      <c r="M221" s="88">
        <f>全车数据表!T222</f>
        <v>40</v>
      </c>
      <c r="N221" s="88">
        <f>全车数据表!U222</f>
        <v>50</v>
      </c>
      <c r="O221" s="88">
        <f>全车数据表!V222</f>
        <v>55</v>
      </c>
      <c r="P221" s="88">
        <f>全车数据表!J222</f>
        <v>4464</v>
      </c>
      <c r="Q221" s="88">
        <f>全车数据表!K222</f>
        <v>375.7</v>
      </c>
      <c r="R221" s="88">
        <f>全车数据表!L222</f>
        <v>81.03</v>
      </c>
      <c r="S221" s="88">
        <f>全车数据表!M222</f>
        <v>85.47</v>
      </c>
      <c r="T221" s="88">
        <f>全车数据表!N222</f>
        <v>61.71</v>
      </c>
      <c r="U221" s="88">
        <f>全车数据表!O222</f>
        <v>0</v>
      </c>
      <c r="V221" s="88">
        <f>全车数据表!AL222</f>
        <v>18000000</v>
      </c>
      <c r="W221" s="88">
        <f>全车数据表!AM222</f>
        <v>60000</v>
      </c>
      <c r="X221" s="88">
        <f>全车数据表!AU222</f>
        <v>9600000</v>
      </c>
      <c r="Y221" s="88">
        <f>全车数据表!AV222</f>
        <v>27600000</v>
      </c>
      <c r="Z221" s="88">
        <f>全车数据表!AN222</f>
        <v>6</v>
      </c>
      <c r="AA221" s="88">
        <f>全车数据表!AP222</f>
        <v>5</v>
      </c>
      <c r="AB221" s="88">
        <f>全车数据表!AR222</f>
        <v>4</v>
      </c>
      <c r="AC221" s="88">
        <f>全车数据表!AW222</f>
        <v>0</v>
      </c>
      <c r="AD221" s="88">
        <f>全车数据表!AX222</f>
        <v>0</v>
      </c>
      <c r="AE221" s="88">
        <f>全车数据表!AY222</f>
        <v>0</v>
      </c>
      <c r="AF221" s="88" t="str">
        <f>IF(全车数据表!BA222="","",全车数据表!BA222)</f>
        <v>联会赛事</v>
      </c>
      <c r="AG221" s="88" t="str">
        <f>IF(全车数据表!BB222="","",全车数据表!BB222)</f>
        <v/>
      </c>
      <c r="AH221" s="88" t="str">
        <f>IF(全车数据表!BC222="","",全车数据表!BC222)</f>
        <v/>
      </c>
      <c r="AI221" s="88" t="str">
        <f>IF(全车数据表!BD222="","",全车数据表!BD222)</f>
        <v/>
      </c>
      <c r="AJ221" s="88" t="str">
        <f>IF(全车数据表!BE222="","",全车数据表!BE222)</f>
        <v/>
      </c>
      <c r="AK221" s="88" t="str">
        <f>IF(全车数据表!BF222="","",全车数据表!BF222)</f>
        <v/>
      </c>
      <c r="AL221" s="88" t="str">
        <f>IF(全车数据表!BG222="","",全车数据表!BG222)</f>
        <v/>
      </c>
      <c r="AM221" s="88" t="str">
        <f>IF(全车数据表!BH222="","",全车数据表!BH222)</f>
        <v/>
      </c>
      <c r="AN221" s="88" t="str">
        <f>IF(全车数据表!BI222="","",全车数据表!BI222)</f>
        <v/>
      </c>
      <c r="AO221" s="88" t="str">
        <f>IF(全车数据表!BJ222="","",全车数据表!BJ222)</f>
        <v/>
      </c>
      <c r="AP221" s="88" t="str">
        <f>IF(全车数据表!BK222="","",全车数据表!BK222)</f>
        <v/>
      </c>
      <c r="AQ221" s="88" t="str">
        <f>IF(全车数据表!BL222="","",全车数据表!BL222)</f>
        <v/>
      </c>
      <c r="AR221" s="88" t="str">
        <f>IF(全车数据表!BM222="","",全车数据表!BM222)</f>
        <v/>
      </c>
      <c r="AS221" s="88">
        <f>IF(全车数据表!BN222="","",全车数据表!BN222)</f>
        <v>1</v>
      </c>
      <c r="AT221" s="88" t="str">
        <f>IF(全车数据表!BO222="","",全车数据表!BO222)</f>
        <v/>
      </c>
      <c r="AU221" s="88" t="str">
        <f>IF(全车数据表!BP222="","",全车数据表!BP222)</f>
        <v/>
      </c>
      <c r="AV221" s="88" t="str">
        <f>IF(全车数据表!BQ222="","",全车数据表!BQ222)</f>
        <v/>
      </c>
      <c r="AW221" s="88" t="str">
        <f>IF(全车数据表!BR222="","",全车数据表!BR222)</f>
        <v/>
      </c>
      <c r="AX221" s="88" t="str">
        <f>IF(全车数据表!BS222="","",全车数据表!BS222)</f>
        <v/>
      </c>
      <c r="AY221" s="88" t="str">
        <f>IF(全车数据表!BT222="","",全车数据表!BT222)</f>
        <v/>
      </c>
      <c r="AZ221" s="88" t="str">
        <f>IF(全车数据表!BU222="","",全车数据表!BU222)</f>
        <v/>
      </c>
      <c r="BA221" s="88" t="str">
        <f>IF(全车数据表!BV222="","",全车数据表!BV222)</f>
        <v>诺贝尔</v>
      </c>
      <c r="BB221" s="91" t="str">
        <f>IF(全车数据表!AZ222="","",全车数据表!AZ222)</f>
        <v/>
      </c>
    </row>
    <row r="222" spans="1:54">
      <c r="A222" s="88">
        <f>全车数据表!A223</f>
        <v>221</v>
      </c>
      <c r="B222" s="88" t="str">
        <f>全车数据表!B223</f>
        <v>Aston Martin Valhalla Concept Car</v>
      </c>
      <c r="C222" s="89" t="str">
        <f>全车数据表!E223</f>
        <v>valhalla</v>
      </c>
      <c r="D222" s="88" t="str">
        <f>IF(全车数据表!D223="","",全车数据表!D223)</f>
        <v>Aston Martin</v>
      </c>
      <c r="E222" s="89" t="str">
        <f>全车数据表!H223</f>
        <v>2.5</v>
      </c>
      <c r="F222" s="89" t="str">
        <f>全车数据表!C223</f>
        <v>英灵殿</v>
      </c>
      <c r="G222" s="89" t="str">
        <f>全车数据表!F223</f>
        <v>A</v>
      </c>
      <c r="H222" s="88">
        <f>LEN(全车数据表!G223)</f>
        <v>6</v>
      </c>
      <c r="I222" s="88" t="str">
        <f>VLOOKUP(全车数据表!P223,辅助计算!A:B,2,FALSE)</f>
        <v>epic</v>
      </c>
      <c r="J222" s="88">
        <f>全车数据表!Q223</f>
        <v>50</v>
      </c>
      <c r="K222" s="88">
        <f>全车数据表!R223</f>
        <v>15</v>
      </c>
      <c r="L222" s="88">
        <f>全车数据表!S223</f>
        <v>18</v>
      </c>
      <c r="M222" s="88">
        <f>全车数据表!T223</f>
        <v>24</v>
      </c>
      <c r="N222" s="88">
        <f>全车数据表!U223</f>
        <v>38</v>
      </c>
      <c r="O222" s="88">
        <f>全车数据表!V223</f>
        <v>45</v>
      </c>
      <c r="P222" s="88">
        <f>全车数据表!J223</f>
        <v>4515</v>
      </c>
      <c r="Q222" s="88">
        <f>全车数据表!K223</f>
        <v>376.9</v>
      </c>
      <c r="R222" s="88">
        <f>全车数据表!L223</f>
        <v>82.25</v>
      </c>
      <c r="S222" s="88">
        <f>全车数据表!M223</f>
        <v>81.760000000000005</v>
      </c>
      <c r="T222" s="88">
        <f>全车数据表!N223</f>
        <v>59.55</v>
      </c>
      <c r="U222" s="88">
        <f>全车数据表!O223</f>
        <v>0</v>
      </c>
      <c r="V222" s="88">
        <f>全车数据表!AL223</f>
        <v>0</v>
      </c>
      <c r="W222" s="88">
        <f>全车数据表!AM223</f>
        <v>60000</v>
      </c>
      <c r="X222" s="88">
        <f>全车数据表!AU223</f>
        <v>9600000</v>
      </c>
      <c r="Y222" s="88">
        <f>全车数据表!AV223</f>
        <v>0</v>
      </c>
      <c r="Z222" s="88">
        <f>全车数据表!AN223</f>
        <v>6</v>
      </c>
      <c r="AA222" s="88">
        <f>全车数据表!AP223</f>
        <v>5</v>
      </c>
      <c r="AB222" s="88">
        <f>全车数据表!AR223</f>
        <v>4</v>
      </c>
      <c r="AC222" s="88">
        <f>全车数据表!AW223</f>
        <v>392</v>
      </c>
      <c r="AD222" s="88">
        <f>全车数据表!AX223</f>
        <v>0</v>
      </c>
      <c r="AE222" s="88">
        <f>全车数据表!AY223</f>
        <v>524</v>
      </c>
      <c r="AF222" s="88" t="str">
        <f>IF(全车数据表!BA223="","",全车数据表!BA223)</f>
        <v>特殊赛事</v>
      </c>
      <c r="AG222" s="88" t="str">
        <f>IF(全车数据表!BB223="","",全车数据表!BB223)</f>
        <v/>
      </c>
      <c r="AH222" s="88" t="str">
        <f>IF(全车数据表!BC223="","",全车数据表!BC223)</f>
        <v/>
      </c>
      <c r="AI222" s="88" t="str">
        <f>IF(全车数据表!BD223="","",全车数据表!BD223)</f>
        <v/>
      </c>
      <c r="AJ222" s="88" t="str">
        <f>IF(全车数据表!BE223="","",全车数据表!BE223)</f>
        <v/>
      </c>
      <c r="AK222" s="88" t="str">
        <f>IF(全车数据表!BF223="","",全车数据表!BF223)</f>
        <v/>
      </c>
      <c r="AL222" s="88" t="str">
        <f>IF(全车数据表!BG223="","",全车数据表!BG223)</f>
        <v/>
      </c>
      <c r="AM222" s="88" t="str">
        <f>IF(全车数据表!BH223="","",全车数据表!BH223)</f>
        <v/>
      </c>
      <c r="AN222" s="88" t="str">
        <f>IF(全车数据表!BI223="","",全车数据表!BI223)</f>
        <v/>
      </c>
      <c r="AO222" s="88" t="str">
        <f>IF(全车数据表!BJ223="","",全车数据表!BJ223)</f>
        <v/>
      </c>
      <c r="AP222" s="88" t="str">
        <f>IF(全车数据表!BK223="","",全车数据表!BK223)</f>
        <v/>
      </c>
      <c r="AQ222" s="88">
        <f>IF(全车数据表!BL223="","",全车数据表!BL223)</f>
        <v>1</v>
      </c>
      <c r="AR222" s="88" t="str">
        <f>IF(全车数据表!BM223="","",全车数据表!BM223)</f>
        <v/>
      </c>
      <c r="AS222" s="88" t="str">
        <f>IF(全车数据表!BN223="","",全车数据表!BN223)</f>
        <v/>
      </c>
      <c r="AT222" s="88" t="str">
        <f>IF(全车数据表!BO223="","",全车数据表!BO223)</f>
        <v/>
      </c>
      <c r="AU222" s="88" t="str">
        <f>IF(全车数据表!BP223="","",全车数据表!BP223)</f>
        <v/>
      </c>
      <c r="AV222" s="88" t="str">
        <f>IF(全车数据表!BQ223="","",全车数据表!BQ223)</f>
        <v/>
      </c>
      <c r="AW222" s="88" t="str">
        <f>IF(全车数据表!BR223="","",全车数据表!BR223)</f>
        <v/>
      </c>
      <c r="AX222" s="88" t="str">
        <f>IF(全车数据表!BS223="","",全车数据表!BS223)</f>
        <v/>
      </c>
      <c r="AY222" s="88">
        <f>IF(全车数据表!BT223="","",全车数据表!BT223)</f>
        <v>1</v>
      </c>
      <c r="AZ222" s="88" t="str">
        <f>IF(全车数据表!BU223="","",全车数据表!BU223)</f>
        <v/>
      </c>
      <c r="BA222" s="88" t="str">
        <f>IF(全车数据表!BV223="","",全车数据表!BV223)</f>
        <v>阿斯顿马丁 英灵殿 瓦</v>
      </c>
      <c r="BB222" s="91" t="str">
        <f>IF(全车数据表!AZ223="","",全车数据表!AZ223)</f>
        <v/>
      </c>
    </row>
    <row r="223" spans="1:54">
      <c r="A223" s="88">
        <f>全车数据表!A224</f>
        <v>222</v>
      </c>
      <c r="B223" s="88" t="str">
        <f>全车数据表!B224</f>
        <v>Lexus Electrified Sport Concept</v>
      </c>
      <c r="C223" s="89" t="str">
        <f>全车数据表!E224</f>
        <v>bev</v>
      </c>
      <c r="D223" s="88" t="str">
        <f>IF(全车数据表!D224="","",全车数据表!D224)</f>
        <v>Lexus</v>
      </c>
      <c r="E223" s="89" t="str">
        <f>全车数据表!H224</f>
        <v>5.5</v>
      </c>
      <c r="F223" s="89" t="str">
        <f>全车数据表!C224</f>
        <v>lexus concept</v>
      </c>
      <c r="G223" s="89" t="str">
        <f>全车数据表!F224</f>
        <v>A</v>
      </c>
      <c r="H223" s="88">
        <f>LEN(全车数据表!G224)</f>
        <v>6</v>
      </c>
      <c r="I223" s="88" t="str">
        <f>VLOOKUP(全车数据表!P224,辅助计算!A:B,2,FALSE)</f>
        <v>epic</v>
      </c>
      <c r="J223" s="88">
        <f>全车数据表!Q224</f>
        <v>40</v>
      </c>
      <c r="K223" s="88">
        <f>全车数据表!R224</f>
        <v>45</v>
      </c>
      <c r="L223" s="88">
        <f>全车数据表!S224</f>
        <v>45</v>
      </c>
      <c r="M223" s="88">
        <f>全车数据表!T224</f>
        <v>48</v>
      </c>
      <c r="N223" s="88">
        <f>全车数据表!U224</f>
        <v>50</v>
      </c>
      <c r="O223" s="88">
        <f>全车数据表!V224</f>
        <v>52</v>
      </c>
      <c r="P223" s="88">
        <f>全车数据表!J224</f>
        <v>4565</v>
      </c>
      <c r="Q223" s="88">
        <f>全车数据表!K224</f>
        <v>379.2</v>
      </c>
      <c r="R223" s="88">
        <f>全车数据表!L224</f>
        <v>88.43</v>
      </c>
      <c r="S223" s="88">
        <f>全车数据表!M224</f>
        <v>50.26</v>
      </c>
      <c r="T223" s="88">
        <f>全车数据表!N224</f>
        <v>55.59</v>
      </c>
      <c r="U223" s="88">
        <f>全车数据表!O224</f>
        <v>0</v>
      </c>
      <c r="V223" s="88">
        <f>全车数据表!AL224</f>
        <v>0</v>
      </c>
      <c r="W223" s="88">
        <f>全车数据表!AM224</f>
        <v>0</v>
      </c>
      <c r="X223" s="88">
        <f>全车数据表!AU224</f>
        <v>0</v>
      </c>
      <c r="Y223" s="88">
        <f>全车数据表!AV224</f>
        <v>0</v>
      </c>
      <c r="Z223" s="88">
        <f>全车数据表!AN224</f>
        <v>0</v>
      </c>
      <c r="AA223" s="88">
        <f>全车数据表!AP224</f>
        <v>0</v>
      </c>
      <c r="AB223" s="88">
        <f>全车数据表!AR224</f>
        <v>0</v>
      </c>
      <c r="AC223" s="88">
        <f>全车数据表!AW224</f>
        <v>0</v>
      </c>
      <c r="AD223" s="88">
        <f>全车数据表!AX224</f>
        <v>0</v>
      </c>
      <c r="AE223" s="88">
        <f>全车数据表!AY224</f>
        <v>0</v>
      </c>
      <c r="AF223" s="88" t="str">
        <f>IF(全车数据表!BA224="","",全车数据表!BA224)</f>
        <v>联会赛事</v>
      </c>
      <c r="AG223" s="88" t="str">
        <f>IF(全车数据表!BB224="","",全车数据表!BB224)</f>
        <v/>
      </c>
      <c r="AH223" s="88" t="str">
        <f>IF(全车数据表!BC224="","",全车数据表!BC224)</f>
        <v/>
      </c>
      <c r="AI223" s="88" t="str">
        <f>IF(全车数据表!BD224="","",全车数据表!BD224)</f>
        <v/>
      </c>
      <c r="AJ223" s="88" t="str">
        <f>IF(全车数据表!BE224="","",全车数据表!BE224)</f>
        <v/>
      </c>
      <c r="AK223" s="88" t="str">
        <f>IF(全车数据表!BF224="","",全车数据表!BF224)</f>
        <v/>
      </c>
      <c r="AL223" s="88" t="str">
        <f>IF(全车数据表!BG224="","",全车数据表!BG224)</f>
        <v/>
      </c>
      <c r="AM223" s="88" t="str">
        <f>IF(全车数据表!BH224="","",全车数据表!BH224)</f>
        <v/>
      </c>
      <c r="AN223" s="88" t="str">
        <f>IF(全车数据表!BI224="","",全车数据表!BI224)</f>
        <v/>
      </c>
      <c r="AO223" s="88" t="str">
        <f>IF(全车数据表!BJ224="","",全车数据表!BJ224)</f>
        <v/>
      </c>
      <c r="AP223" s="88" t="str">
        <f>IF(全车数据表!BK224="","",全车数据表!BK224)</f>
        <v/>
      </c>
      <c r="AQ223" s="88" t="str">
        <f>IF(全车数据表!BL224="","",全车数据表!BL224)</f>
        <v/>
      </c>
      <c r="AR223" s="88" t="str">
        <f>IF(全车数据表!BM224="","",全车数据表!BM224)</f>
        <v/>
      </c>
      <c r="AS223" s="88" t="str">
        <f>IF(全车数据表!BN224="","",全车数据表!BN224)</f>
        <v/>
      </c>
      <c r="AT223" s="88" t="str">
        <f>IF(全车数据表!BO224="","",全车数据表!BO224)</f>
        <v/>
      </c>
      <c r="AU223" s="88" t="str">
        <f>IF(全车数据表!BP224="","",全车数据表!BP224)</f>
        <v/>
      </c>
      <c r="AV223" s="88" t="str">
        <f>IF(全车数据表!BQ224="","",全车数据表!BQ224)</f>
        <v/>
      </c>
      <c r="AW223" s="88" t="str">
        <f>IF(全车数据表!BR224="","",全车数据表!BR224)</f>
        <v/>
      </c>
      <c r="AX223" s="88" t="str">
        <f>IF(全车数据表!BS224="","",全车数据表!BS224)</f>
        <v/>
      </c>
      <c r="AY223" s="88" t="str">
        <f>IF(全车数据表!BT224="","",全车数据表!BT224)</f>
        <v/>
      </c>
      <c r="AZ223" s="88" t="str">
        <f>IF(全车数据表!BU224="","",全车数据表!BU224)</f>
        <v/>
      </c>
      <c r="BA223" s="88" t="str">
        <f>IF(全车数据表!BV224="","",全车数据表!BV224)</f>
        <v>雷克萨斯</v>
      </c>
      <c r="BB223" s="91" t="str">
        <f>IF(全车数据表!AZ224="","",全车数据表!AZ224)</f>
        <v/>
      </c>
    </row>
    <row r="224" spans="1:54">
      <c r="A224" s="88">
        <f>全车数据表!A225</f>
        <v>223</v>
      </c>
      <c r="B224" s="88" t="str">
        <f>全车数据表!B225</f>
        <v>Mercedes-Benz Merceds-AMG One🔑</v>
      </c>
      <c r="C224" s="89" t="str">
        <f>全车数据表!E225</f>
        <v>amgone</v>
      </c>
      <c r="D224" s="88" t="str">
        <f>IF(全车数据表!D225="","",全车数据表!D225)</f>
        <v>Mercedes-Benz</v>
      </c>
      <c r="E224" s="89" t="str">
        <f>全车数据表!H225</f>
        <v>5.4</v>
      </c>
      <c r="F224" s="89" t="str">
        <f>全车数据表!C225</f>
        <v>AMG One</v>
      </c>
      <c r="G224" s="89" t="str">
        <f>全车数据表!F225</f>
        <v>A</v>
      </c>
      <c r="H224" s="88">
        <f>LEN(全车数据表!G225)</f>
        <v>6</v>
      </c>
      <c r="I224" s="88" t="str">
        <f>VLOOKUP(全车数据表!P225,辅助计算!A:B,2,FALSE)</f>
        <v>epic</v>
      </c>
      <c r="J224" s="88" t="str">
        <f>全车数据表!Q225</f>
        <v>🔑</v>
      </c>
      <c r="K224" s="88">
        <f>全车数据表!R225</f>
        <v>45</v>
      </c>
      <c r="L224" s="88">
        <f>全车数据表!S225</f>
        <v>50</v>
      </c>
      <c r="M224" s="88">
        <f>全车数据表!T225</f>
        <v>56</v>
      </c>
      <c r="N224" s="88">
        <f>全车数据表!U225</f>
        <v>62</v>
      </c>
      <c r="O224" s="88">
        <f>全车数据表!V225</f>
        <v>66</v>
      </c>
      <c r="P224" s="88">
        <f>全车数据表!J225</f>
        <v>4571</v>
      </c>
      <c r="Q224" s="88">
        <f>全车数据表!K225</f>
        <v>375.2</v>
      </c>
      <c r="R224" s="88">
        <f>全车数据表!L225</f>
        <v>81.53</v>
      </c>
      <c r="S224" s="88">
        <f>全车数据表!M225</f>
        <v>78.84</v>
      </c>
      <c r="T224" s="88">
        <f>全车数据表!N225</f>
        <v>60.91</v>
      </c>
      <c r="U224" s="88">
        <f>全车数据表!O225</f>
        <v>0</v>
      </c>
      <c r="V224" s="88">
        <f>全车数据表!AL225</f>
        <v>0</v>
      </c>
      <c r="W224" s="88">
        <f>全车数据表!AM225</f>
        <v>0</v>
      </c>
      <c r="X224" s="88">
        <f>全车数据表!AU225</f>
        <v>0</v>
      </c>
      <c r="Y224" s="88">
        <f>全车数据表!AV225</f>
        <v>0</v>
      </c>
      <c r="Z224" s="88">
        <f>全车数据表!AN225</f>
        <v>0</v>
      </c>
      <c r="AA224" s="88">
        <f>全车数据表!AP225</f>
        <v>0</v>
      </c>
      <c r="AB224" s="88">
        <f>全车数据表!AR225</f>
        <v>0</v>
      </c>
      <c r="AC224" s="88">
        <f>全车数据表!AW225</f>
        <v>0</v>
      </c>
      <c r="AD224" s="88">
        <f>全车数据表!AX225</f>
        <v>0</v>
      </c>
      <c r="AE224" s="88">
        <f>全车数据表!AY225</f>
        <v>0</v>
      </c>
      <c r="AF224" s="88" t="str">
        <f>IF(全车数据表!BA225="","",全车数据表!BA225)</f>
        <v>狂飙寻宝</v>
      </c>
      <c r="AG224" s="88" t="str">
        <f>IF(全车数据表!BB225="","",全车数据表!BB225)</f>
        <v/>
      </c>
      <c r="AH224" s="88" t="str">
        <f>IF(全车数据表!BC225="","",全车数据表!BC225)</f>
        <v/>
      </c>
      <c r="AI224" s="88" t="str">
        <f>IF(全车数据表!BD225="","",全车数据表!BD225)</f>
        <v/>
      </c>
      <c r="AJ224" s="88" t="str">
        <f>IF(全车数据表!BE225="","",全车数据表!BE225)</f>
        <v/>
      </c>
      <c r="AK224" s="88" t="str">
        <f>IF(全车数据表!BF225="","",全车数据表!BF225)</f>
        <v/>
      </c>
      <c r="AL224" s="88" t="str">
        <f>IF(全车数据表!BG225="","",全车数据表!BG225)</f>
        <v/>
      </c>
      <c r="AM224" s="88" t="str">
        <f>IF(全车数据表!BH225="","",全车数据表!BH225)</f>
        <v/>
      </c>
      <c r="AN224" s="88" t="str">
        <f>IF(全车数据表!BI225="","",全车数据表!BI225)</f>
        <v/>
      </c>
      <c r="AO224" s="88" t="str">
        <f>IF(全车数据表!BJ225="","",全车数据表!BJ225)</f>
        <v/>
      </c>
      <c r="AP224" s="88" t="str">
        <f>IF(全车数据表!BK225="","",全车数据表!BK225)</f>
        <v/>
      </c>
      <c r="AQ224" s="88" t="str">
        <f>IF(全车数据表!BL225="","",全车数据表!BL225)</f>
        <v/>
      </c>
      <c r="AR224" s="88" t="str">
        <f>IF(全车数据表!BM225="","",全车数据表!BM225)</f>
        <v/>
      </c>
      <c r="AS224" s="88" t="str">
        <f>IF(全车数据表!BN225="","",全车数据表!BN225)</f>
        <v/>
      </c>
      <c r="AT224" s="88" t="str">
        <f>IF(全车数据表!BO225="","",全车数据表!BO225)</f>
        <v/>
      </c>
      <c r="AU224" s="88" t="str">
        <f>IF(全车数据表!BP225="","",全车数据表!BP225)</f>
        <v/>
      </c>
      <c r="AV224" s="88" t="str">
        <f>IF(全车数据表!BQ225="","",全车数据表!BQ225)</f>
        <v/>
      </c>
      <c r="AW224" s="88" t="str">
        <f>IF(全车数据表!BR225="","",全车数据表!BR225)</f>
        <v/>
      </c>
      <c r="AX224" s="88" t="str">
        <f>IF(全车数据表!BS225="","",全车数据表!BS225)</f>
        <v/>
      </c>
      <c r="AY224" s="88" t="str">
        <f>IF(全车数据表!BT225="","",全车数据表!BT225)</f>
        <v/>
      </c>
      <c r="AZ224" s="88" t="str">
        <f>IF(全车数据表!BU225="","",全车数据表!BU225)</f>
        <v/>
      </c>
      <c r="BA224" s="88" t="str">
        <f>IF(全车数据表!BV225="","",全车数据表!BV225)</f>
        <v/>
      </c>
      <c r="BB224" s="91" t="str">
        <f>IF(全车数据表!AZ225="","",全车数据表!AZ225)</f>
        <v/>
      </c>
    </row>
    <row r="225" spans="1:54">
      <c r="A225" s="88">
        <f>全车数据表!A226</f>
        <v>224</v>
      </c>
      <c r="B225" s="88" t="str">
        <f>全车数据表!B226</f>
        <v>Ferrari 499P Modificata🔑</v>
      </c>
      <c r="C225" s="89" t="str">
        <f>全车数据表!E226</f>
        <v>499p</v>
      </c>
      <c r="D225" s="88" t="str">
        <f>IF(全车数据表!D226="","",全车数据表!D226)</f>
        <v>Ferrari</v>
      </c>
      <c r="E225" s="89" t="str">
        <f>全车数据表!H226</f>
        <v>5.2</v>
      </c>
      <c r="F225" s="89" t="str">
        <f>全车数据表!C226</f>
        <v>499P</v>
      </c>
      <c r="G225" s="89" t="str">
        <f>全车数据表!F226</f>
        <v>A</v>
      </c>
      <c r="H225" s="88">
        <f>LEN(全车数据表!G226)</f>
        <v>6</v>
      </c>
      <c r="I225" s="88" t="str">
        <f>VLOOKUP(全车数据表!P226,辅助计算!A:B,2,FALSE)</f>
        <v>epic</v>
      </c>
      <c r="J225" s="88" t="str">
        <f>全车数据表!Q226</f>
        <v>🔑</v>
      </c>
      <c r="K225" s="88">
        <f>全车数据表!R226</f>
        <v>40</v>
      </c>
      <c r="L225" s="88">
        <f>全车数据表!S226</f>
        <v>45</v>
      </c>
      <c r="M225" s="88">
        <f>全车数据表!T226</f>
        <v>60</v>
      </c>
      <c r="N225" s="88">
        <f>全车数据表!U226</f>
        <v>65</v>
      </c>
      <c r="O225" s="88">
        <f>全车数据表!V226</f>
        <v>70</v>
      </c>
      <c r="P225" s="88">
        <f>全车数据表!J226</f>
        <v>4572</v>
      </c>
      <c r="Q225" s="88">
        <f>全车数据表!K226</f>
        <v>358.6</v>
      </c>
      <c r="R225" s="88">
        <f>全车数据表!L226</f>
        <v>84.54</v>
      </c>
      <c r="S225" s="88">
        <f>全车数据表!M226</f>
        <v>85.32</v>
      </c>
      <c r="T225" s="88">
        <f>全车数据表!N226</f>
        <v>77.849999999999994</v>
      </c>
      <c r="U225" s="88">
        <f>全车数据表!O226</f>
        <v>0</v>
      </c>
      <c r="V225" s="88">
        <f>全车数据表!AL226</f>
        <v>22000000</v>
      </c>
      <c r="W225" s="88">
        <f>全车数据表!AM226</f>
        <v>96000</v>
      </c>
      <c r="X225" s="88">
        <f>全车数据表!AU226</f>
        <v>15360000</v>
      </c>
      <c r="Y225" s="88">
        <f>全车数据表!AV226</f>
        <v>37360000</v>
      </c>
      <c r="Z225" s="88">
        <f>全车数据表!AN226</f>
        <v>6</v>
      </c>
      <c r="AA225" s="88">
        <f>全车数据表!AP226</f>
        <v>5</v>
      </c>
      <c r="AB225" s="88">
        <f>全车数据表!AR226</f>
        <v>4</v>
      </c>
      <c r="AC225" s="88">
        <f>全车数据表!AW226</f>
        <v>373</v>
      </c>
      <c r="AD225" s="88">
        <f>全车数据表!AX226</f>
        <v>0</v>
      </c>
      <c r="AE225" s="88">
        <f>全车数据表!AY226</f>
        <v>493</v>
      </c>
      <c r="AF225" s="88" t="str">
        <f>IF(全车数据表!BA226="","",全车数据表!BA226)</f>
        <v>特殊赛事</v>
      </c>
      <c r="AG225" s="88" t="str">
        <f>IF(全车数据表!BB226="","",全车数据表!BB226)</f>
        <v/>
      </c>
      <c r="AH225" s="88" t="str">
        <f>IF(全车数据表!BC226="","",全车数据表!BC226)</f>
        <v/>
      </c>
      <c r="AI225" s="88" t="str">
        <f>IF(全车数据表!BD226="","",全车数据表!BD226)</f>
        <v/>
      </c>
      <c r="AJ225" s="88" t="str">
        <f>IF(全车数据表!BE226="","",全车数据表!BE226)</f>
        <v/>
      </c>
      <c r="AK225" s="88" t="str">
        <f>IF(全车数据表!BF226="","",全车数据表!BF226)</f>
        <v/>
      </c>
      <c r="AL225" s="88" t="str">
        <f>IF(全车数据表!BG226="","",全车数据表!BG226)</f>
        <v/>
      </c>
      <c r="AM225" s="88" t="str">
        <f>IF(全车数据表!BH226="","",全车数据表!BH226)</f>
        <v/>
      </c>
      <c r="AN225" s="88" t="str">
        <f>IF(全车数据表!BI226="","",全车数据表!BI226)</f>
        <v/>
      </c>
      <c r="AO225" s="88" t="str">
        <f>IF(全车数据表!BJ226="","",全车数据表!BJ226)</f>
        <v/>
      </c>
      <c r="AP225" s="88" t="str">
        <f>IF(全车数据表!BK226="","",全车数据表!BK226)</f>
        <v/>
      </c>
      <c r="AQ225" s="88" t="str">
        <f>IF(全车数据表!BL226="","",全车数据表!BL226)</f>
        <v/>
      </c>
      <c r="AR225" s="88" t="str">
        <f>IF(全车数据表!BM226="","",全车数据表!BM226)</f>
        <v/>
      </c>
      <c r="AS225" s="88" t="str">
        <f>IF(全车数据表!BN226="","",全车数据表!BN226)</f>
        <v/>
      </c>
      <c r="AT225" s="88" t="str">
        <f>IF(全车数据表!BO226="","",全车数据表!BO226)</f>
        <v/>
      </c>
      <c r="AU225" s="88" t="str">
        <f>IF(全车数据表!BP226="","",全车数据表!BP226)</f>
        <v/>
      </c>
      <c r="AV225" s="88" t="str">
        <f>IF(全车数据表!BQ226="","",全车数据表!BQ226)</f>
        <v/>
      </c>
      <c r="AW225" s="88" t="str">
        <f>IF(全车数据表!BR226="","",全车数据表!BR226)</f>
        <v/>
      </c>
      <c r="AX225" s="88" t="str">
        <f>IF(全车数据表!BS226="","",全车数据表!BS226)</f>
        <v/>
      </c>
      <c r="AY225" s="88" t="str">
        <f>IF(全车数据表!BT226="","",全车数据表!BT226)</f>
        <v/>
      </c>
      <c r="AZ225" s="88" t="str">
        <f>IF(全车数据表!BU226="","",全车数据表!BU226)</f>
        <v/>
      </c>
      <c r="BA225" s="88" t="str">
        <f>IF(全车数据表!BV226="","",全车数据表!BV226)</f>
        <v>法拉利</v>
      </c>
      <c r="BB225" s="91" t="str">
        <f>IF(全车数据表!AZ226="","",全车数据表!AZ226)</f>
        <v/>
      </c>
    </row>
    <row r="226" spans="1:54">
      <c r="A226" s="88">
        <f>全车数据表!A227</f>
        <v>225</v>
      </c>
      <c r="B226" s="88" t="str">
        <f>全车数据表!B227</f>
        <v>De Tomaso P72🔑</v>
      </c>
      <c r="C226" s="89" t="str">
        <f>全车数据表!E227</f>
        <v>p72</v>
      </c>
      <c r="D226" s="88" t="str">
        <f>IF(全车数据表!D227="","",全车数据表!D227)</f>
        <v>De Tomaso</v>
      </c>
      <c r="E226" s="89" t="str">
        <f>全车数据表!H227</f>
        <v>4.2</v>
      </c>
      <c r="F226" s="89" t="str">
        <f>全车数据表!C227</f>
        <v>P72</v>
      </c>
      <c r="G226" s="89" t="str">
        <f>全车数据表!F227</f>
        <v>A</v>
      </c>
      <c r="H226" s="88">
        <f>LEN(全车数据表!G227)</f>
        <v>6</v>
      </c>
      <c r="I226" s="88" t="str">
        <f>VLOOKUP(全车数据表!P227,辅助计算!A:B,2,FALSE)</f>
        <v>epic</v>
      </c>
      <c r="J226" s="88" t="str">
        <f>全车数据表!Q227</f>
        <v>🔑</v>
      </c>
      <c r="K226" s="88">
        <f>全车数据表!R227</f>
        <v>45</v>
      </c>
      <c r="L226" s="88">
        <f>全车数据表!S227</f>
        <v>50</v>
      </c>
      <c r="M226" s="88">
        <f>全车数据表!T227</f>
        <v>56</v>
      </c>
      <c r="N226" s="88">
        <f>全车数据表!U227</f>
        <v>62</v>
      </c>
      <c r="O226" s="88">
        <f>全车数据表!V227</f>
        <v>66</v>
      </c>
      <c r="P226" s="88">
        <f>全车数据表!J227</f>
        <v>4586</v>
      </c>
      <c r="Q226" s="88">
        <f>全车数据表!K227</f>
        <v>375.6</v>
      </c>
      <c r="R226" s="88">
        <f>全车数据表!L227</f>
        <v>82.74</v>
      </c>
      <c r="S226" s="88">
        <f>全车数据表!M227</f>
        <v>75.239999999999995</v>
      </c>
      <c r="T226" s="88">
        <f>全车数据表!N227</f>
        <v>71.180000000000007</v>
      </c>
      <c r="U226" s="88">
        <f>全车数据表!O227</f>
        <v>0</v>
      </c>
      <c r="V226" s="88">
        <f>全车数据表!AL227</f>
        <v>22000000</v>
      </c>
      <c r="W226" s="88">
        <f>全车数据表!AM227</f>
        <v>72000</v>
      </c>
      <c r="X226" s="88">
        <f>全车数据表!AU227</f>
        <v>11520000</v>
      </c>
      <c r="Y226" s="88">
        <f>全车数据表!AV227</f>
        <v>33520000</v>
      </c>
      <c r="Z226" s="88">
        <f>全车数据表!AN227</f>
        <v>6</v>
      </c>
      <c r="AA226" s="88">
        <f>全车数据表!AP227</f>
        <v>5</v>
      </c>
      <c r="AB226" s="88">
        <f>全车数据表!AR227</f>
        <v>4</v>
      </c>
      <c r="AC226" s="88">
        <f>全车数据表!AW227</f>
        <v>390</v>
      </c>
      <c r="AD226" s="88">
        <f>全车数据表!AX227</f>
        <v>0</v>
      </c>
      <c r="AE226" s="88">
        <f>全车数据表!AY227</f>
        <v>522</v>
      </c>
      <c r="AF226" s="88" t="str">
        <f>IF(全车数据表!BA227="","",全车数据表!BA227)</f>
        <v>特殊赛事</v>
      </c>
      <c r="AG226" s="88" t="str">
        <f>IF(全车数据表!BB227="","",全车数据表!BB227)</f>
        <v/>
      </c>
      <c r="AH226" s="88" t="str">
        <f>IF(全车数据表!BC227="","",全车数据表!BC227)</f>
        <v/>
      </c>
      <c r="AI226" s="88" t="str">
        <f>IF(全车数据表!BD227="","",全车数据表!BD227)</f>
        <v/>
      </c>
      <c r="AJ226" s="88" t="str">
        <f>IF(全车数据表!BE227="","",全车数据表!BE227)</f>
        <v/>
      </c>
      <c r="AK226" s="88" t="str">
        <f>IF(全车数据表!BF227="","",全车数据表!BF227)</f>
        <v/>
      </c>
      <c r="AL226" s="88" t="str">
        <f>IF(全车数据表!BG227="","",全车数据表!BG227)</f>
        <v/>
      </c>
      <c r="AM226" s="88" t="str">
        <f>IF(全车数据表!BH227="","",全车数据表!BH227)</f>
        <v/>
      </c>
      <c r="AN226" s="88" t="str">
        <f>IF(全车数据表!BI227="","",全车数据表!BI227)</f>
        <v/>
      </c>
      <c r="AO226" s="88" t="str">
        <f>IF(全车数据表!BJ227="","",全车数据表!BJ227)</f>
        <v/>
      </c>
      <c r="AP226" s="88" t="str">
        <f>IF(全车数据表!BK227="","",全车数据表!BK227)</f>
        <v/>
      </c>
      <c r="AQ226" s="88">
        <f>IF(全车数据表!BL227="","",全车数据表!BL227)</f>
        <v>1</v>
      </c>
      <c r="AR226" s="88" t="str">
        <f>IF(全车数据表!BM227="","",全车数据表!BM227)</f>
        <v/>
      </c>
      <c r="AS226" s="88" t="str">
        <f>IF(全车数据表!BN227="","",全车数据表!BN227)</f>
        <v/>
      </c>
      <c r="AT226" s="88">
        <f>IF(全车数据表!BO227="","",全车数据表!BO227)</f>
        <v>1</v>
      </c>
      <c r="AU226" s="88" t="str">
        <f>IF(全车数据表!BP227="","",全车数据表!BP227)</f>
        <v/>
      </c>
      <c r="AV226" s="88" t="str">
        <f>IF(全车数据表!BQ227="","",全车数据表!BQ227)</f>
        <v/>
      </c>
      <c r="AW226" s="88" t="str">
        <f>IF(全车数据表!BR227="","",全车数据表!BR227)</f>
        <v/>
      </c>
      <c r="AX226" s="88" t="str">
        <f>IF(全车数据表!BS227="","",全车数据表!BS227)</f>
        <v/>
      </c>
      <c r="AY226" s="88" t="str">
        <f>IF(全车数据表!BT227="","",全车数据表!BT227)</f>
        <v/>
      </c>
      <c r="AZ226" s="88" t="str">
        <f>IF(全车数据表!BU227="","",全车数据表!BU227)</f>
        <v/>
      </c>
      <c r="BA226" s="88" t="str">
        <f>IF(全车数据表!BV227="","",全车数据表!BV227)</f>
        <v/>
      </c>
      <c r="BB226" s="91" t="str">
        <f>IF(全车数据表!AZ227="","",全车数据表!AZ227)</f>
        <v/>
      </c>
    </row>
    <row r="227" spans="1:54">
      <c r="A227" s="88">
        <f>全车数据表!A228</f>
        <v>226</v>
      </c>
      <c r="B227" s="88" t="str">
        <f>全车数据表!B228</f>
        <v>Mercedes-Benz Vision One-Eleven🔑</v>
      </c>
      <c r="C227" s="89" t="str">
        <f>全车数据表!E228</f>
        <v>vision111</v>
      </c>
      <c r="D227" s="88" t="str">
        <f>IF(全车数据表!D228="","",全车数据表!D228)</f>
        <v>Mercedes-Benz</v>
      </c>
      <c r="E227" s="89" t="str">
        <f>全车数据表!H228</f>
        <v>5.1</v>
      </c>
      <c r="F227" s="89" t="str">
        <f>全车数据表!C228</f>
        <v>Vision 111</v>
      </c>
      <c r="G227" s="89" t="str">
        <f>全车数据表!F228</f>
        <v>A</v>
      </c>
      <c r="H227" s="88">
        <f>LEN(全车数据表!G228)</f>
        <v>6</v>
      </c>
      <c r="I227" s="88" t="str">
        <f>VLOOKUP(全车数据表!P228,辅助计算!A:B,2,FALSE)</f>
        <v>epic</v>
      </c>
      <c r="J227" s="88" t="str">
        <f>全车数据表!Q228</f>
        <v>🔑</v>
      </c>
      <c r="K227" s="88">
        <f>全车数据表!R228</f>
        <v>38</v>
      </c>
      <c r="L227" s="88">
        <f>全车数据表!S228</f>
        <v>48</v>
      </c>
      <c r="M227" s="88">
        <f>全车数据表!T228</f>
        <v>57</v>
      </c>
      <c r="N227" s="88">
        <f>全车数据表!U228</f>
        <v>66</v>
      </c>
      <c r="O227" s="88">
        <f>全车数据表!V228</f>
        <v>72</v>
      </c>
      <c r="P227" s="88">
        <f>全车数据表!J228</f>
        <v>4600</v>
      </c>
      <c r="Q227" s="88">
        <f>全车数据表!K228</f>
        <v>381</v>
      </c>
      <c r="R227" s="88">
        <f>全车数据表!L228</f>
        <v>83.93</v>
      </c>
      <c r="S227" s="88">
        <f>全车数据表!M228</f>
        <v>76.349999999999994</v>
      </c>
      <c r="T227" s="88">
        <f>全车数据表!N228</f>
        <v>57.95</v>
      </c>
      <c r="U227" s="88">
        <f>全车数据表!O228</f>
        <v>0</v>
      </c>
      <c r="V227" s="88">
        <f>全车数据表!AL228</f>
        <v>22000000</v>
      </c>
      <c r="W227" s="88">
        <f>全车数据表!AM228</f>
        <v>128000</v>
      </c>
      <c r="X227" s="88">
        <f>全车数据表!AU228</f>
        <v>20480000</v>
      </c>
      <c r="Y227" s="88">
        <f>全车数据表!AV228</f>
        <v>42480000</v>
      </c>
      <c r="Z227" s="88">
        <f>全车数据表!AN228</f>
        <v>6</v>
      </c>
      <c r="AA227" s="88">
        <f>全车数据表!AP228</f>
        <v>5</v>
      </c>
      <c r="AB227" s="88">
        <f>全车数据表!AR228</f>
        <v>4</v>
      </c>
      <c r="AC227" s="88">
        <f>全车数据表!AW228</f>
        <v>396</v>
      </c>
      <c r="AD227" s="88">
        <f>全车数据表!AX228</f>
        <v>0</v>
      </c>
      <c r="AE227" s="88">
        <f>全车数据表!AY228</f>
        <v>531</v>
      </c>
      <c r="AF227" s="88" t="str">
        <f>IF(全车数据表!BA228="","",全车数据表!BA228)</f>
        <v>特殊赛事</v>
      </c>
      <c r="AG227" s="88" t="str">
        <f>IF(全车数据表!BB228="","",全车数据表!BB228)</f>
        <v/>
      </c>
      <c r="AH227" s="88" t="str">
        <f>IF(全车数据表!BC228="","",全车数据表!BC228)</f>
        <v/>
      </c>
      <c r="AI227" s="88" t="str">
        <f>IF(全车数据表!BD228="","",全车数据表!BD228)</f>
        <v/>
      </c>
      <c r="AJ227" s="88" t="str">
        <f>IF(全车数据表!BE228="","",全车数据表!BE228)</f>
        <v/>
      </c>
      <c r="AK227" s="88" t="str">
        <f>IF(全车数据表!BF228="","",全车数据表!BF228)</f>
        <v/>
      </c>
      <c r="AL227" s="88" t="str">
        <f>IF(全车数据表!BG228="","",全车数据表!BG228)</f>
        <v/>
      </c>
      <c r="AM227" s="88" t="str">
        <f>IF(全车数据表!BH228="","",全车数据表!BH228)</f>
        <v/>
      </c>
      <c r="AN227" s="88" t="str">
        <f>IF(全车数据表!BI228="","",全车数据表!BI228)</f>
        <v/>
      </c>
      <c r="AO227" s="88" t="str">
        <f>IF(全车数据表!BJ228="","",全车数据表!BJ228)</f>
        <v/>
      </c>
      <c r="AP227" s="88" t="str">
        <f>IF(全车数据表!BK228="","",全车数据表!BK228)</f>
        <v/>
      </c>
      <c r="AQ227" s="88" t="str">
        <f>IF(全车数据表!BL228="","",全车数据表!BL228)</f>
        <v/>
      </c>
      <c r="AR227" s="88" t="str">
        <f>IF(全车数据表!BM228="","",全车数据表!BM228)</f>
        <v/>
      </c>
      <c r="AS227" s="88" t="str">
        <f>IF(全车数据表!BN228="","",全车数据表!BN228)</f>
        <v/>
      </c>
      <c r="AT227" s="88" t="str">
        <f>IF(全车数据表!BO228="","",全车数据表!BO228)</f>
        <v/>
      </c>
      <c r="AU227" s="88" t="str">
        <f>IF(全车数据表!BP228="","",全车数据表!BP228)</f>
        <v/>
      </c>
      <c r="AV227" s="88" t="str">
        <f>IF(全车数据表!BQ228="","",全车数据表!BQ228)</f>
        <v/>
      </c>
      <c r="AW227" s="88" t="str">
        <f>IF(全车数据表!BR228="","",全车数据表!BR228)</f>
        <v/>
      </c>
      <c r="AX227" s="88" t="str">
        <f>IF(全车数据表!BS228="","",全车数据表!BS228)</f>
        <v/>
      </c>
      <c r="AY227" s="88" t="str">
        <f>IF(全车数据表!BT228="","",全车数据表!BT228)</f>
        <v/>
      </c>
      <c r="AZ227" s="88" t="str">
        <f>IF(全车数据表!BU228="","",全车数据表!BU228)</f>
        <v/>
      </c>
      <c r="BA227" s="88" t="str">
        <f>IF(全车数据表!BV228="","",全车数据表!BV228)</f>
        <v>梅赛德斯奔驰</v>
      </c>
      <c r="BB227" s="91" t="str">
        <f>IF(全车数据表!AZ228="","",全车数据表!AZ228)</f>
        <v/>
      </c>
    </row>
    <row r="228" spans="1:54">
      <c r="A228" s="88">
        <f>全车数据表!A229</f>
        <v>227</v>
      </c>
      <c r="B228" s="88" t="str">
        <f>全车数据表!B229</f>
        <v>Automobili Pininfarina B95</v>
      </c>
      <c r="C228" s="89" t="str">
        <f>全车数据表!E229</f>
        <v>b95</v>
      </c>
      <c r="D228" s="88" t="str">
        <f>IF(全车数据表!D229="","",全车数据表!D229)</f>
        <v>Automobili Pininfarina</v>
      </c>
      <c r="E228" s="89" t="str">
        <f>全车数据表!H229</f>
        <v>5.6</v>
      </c>
      <c r="F228" s="89" t="str">
        <f>全车数据表!C229</f>
        <v>B95</v>
      </c>
      <c r="G228" s="89" t="str">
        <f>全车数据表!F229</f>
        <v>A</v>
      </c>
      <c r="H228" s="88">
        <f>LEN(全车数据表!G229)</f>
        <v>6</v>
      </c>
      <c r="I228" s="88" t="str">
        <f>VLOOKUP(全车数据表!P229,辅助计算!A:B,2,FALSE)</f>
        <v>epic</v>
      </c>
      <c r="J228" s="88">
        <f>全车数据表!Q229</f>
        <v>60</v>
      </c>
      <c r="K228" s="88">
        <f>全车数据表!R229</f>
        <v>35</v>
      </c>
      <c r="L228" s="88">
        <f>全车数据表!S229</f>
        <v>40</v>
      </c>
      <c r="M228" s="88">
        <f>全车数据表!T229</f>
        <v>45</v>
      </c>
      <c r="N228" s="88">
        <f>全车数据表!U229</f>
        <v>55</v>
      </c>
      <c r="O228" s="88">
        <f>全车数据表!V229</f>
        <v>65</v>
      </c>
      <c r="P228" s="88">
        <f>全车数据表!J229</f>
        <v>4606</v>
      </c>
      <c r="Q228" s="88">
        <f>全车数据表!K229</f>
        <v>395.9</v>
      </c>
      <c r="R228" s="88">
        <f>全车数据表!L229</f>
        <v>86.93</v>
      </c>
      <c r="S228" s="88">
        <f>全车数据表!M229</f>
        <v>60.35</v>
      </c>
      <c r="T228" s="88">
        <f>全车数据表!N229</f>
        <v>45.07</v>
      </c>
      <c r="U228" s="88">
        <f>全车数据表!O229</f>
        <v>0</v>
      </c>
      <c r="V228" s="88">
        <f>全车数据表!AL229</f>
        <v>22000000</v>
      </c>
      <c r="W228" s="88">
        <f>全车数据表!AM229</f>
        <v>96000</v>
      </c>
      <c r="X228" s="88">
        <f>全车数据表!AU229</f>
        <v>15360000</v>
      </c>
      <c r="Y228" s="88">
        <f>全车数据表!AV229</f>
        <v>37360000</v>
      </c>
      <c r="Z228" s="88">
        <f>全车数据表!AN229</f>
        <v>6</v>
      </c>
      <c r="AA228" s="88">
        <f>全车数据表!AP229</f>
        <v>5</v>
      </c>
      <c r="AB228" s="88">
        <f>全车数据表!AR229</f>
        <v>4</v>
      </c>
      <c r="AC228" s="88">
        <f>全车数据表!AW229</f>
        <v>0</v>
      </c>
      <c r="AD228" s="88">
        <f>全车数据表!AX229</f>
        <v>0</v>
      </c>
      <c r="AE228" s="88">
        <f>全车数据表!AY229</f>
        <v>0</v>
      </c>
      <c r="AF228" s="88" t="str">
        <f>IF(全车数据表!BA229="","",全车数据表!BA229)</f>
        <v>特殊赛事</v>
      </c>
      <c r="AG228" s="88" t="str">
        <f>IF(全车数据表!BB229="","",全车数据表!BB229)</f>
        <v/>
      </c>
      <c r="AH228" s="88" t="str">
        <f>IF(全车数据表!BC229="","",全车数据表!BC229)</f>
        <v/>
      </c>
      <c r="AI228" s="88" t="str">
        <f>IF(全车数据表!BD229="","",全车数据表!BD229)</f>
        <v/>
      </c>
      <c r="AJ228" s="88" t="str">
        <f>IF(全车数据表!BE229="","",全车数据表!BE229)</f>
        <v/>
      </c>
      <c r="AK228" s="88" t="str">
        <f>IF(全车数据表!BF229="","",全车数据表!BF229)</f>
        <v/>
      </c>
      <c r="AL228" s="88" t="str">
        <f>IF(全车数据表!BG229="","",全车数据表!BG229)</f>
        <v/>
      </c>
      <c r="AM228" s="88" t="str">
        <f>IF(全车数据表!BH229="","",全车数据表!BH229)</f>
        <v/>
      </c>
      <c r="AN228" s="88" t="str">
        <f>IF(全车数据表!BI229="","",全车数据表!BI229)</f>
        <v/>
      </c>
      <c r="AO228" s="88" t="str">
        <f>IF(全车数据表!BJ229="","",全车数据表!BJ229)</f>
        <v/>
      </c>
      <c r="AP228" s="88" t="str">
        <f>IF(全车数据表!BK229="","",全车数据表!BK229)</f>
        <v/>
      </c>
      <c r="AQ228" s="88" t="str">
        <f>IF(全车数据表!BL229="","",全车数据表!BL229)</f>
        <v/>
      </c>
      <c r="AR228" s="88" t="str">
        <f>IF(全车数据表!BM229="","",全车数据表!BM229)</f>
        <v/>
      </c>
      <c r="AS228" s="88" t="str">
        <f>IF(全车数据表!BN229="","",全车数据表!BN229)</f>
        <v/>
      </c>
      <c r="AT228" s="88" t="str">
        <f>IF(全车数据表!BO229="","",全车数据表!BO229)</f>
        <v/>
      </c>
      <c r="AU228" s="88" t="str">
        <f>IF(全车数据表!BP229="","",全车数据表!BP229)</f>
        <v/>
      </c>
      <c r="AV228" s="88" t="str">
        <f>IF(全车数据表!BQ229="","",全车数据表!BQ229)</f>
        <v/>
      </c>
      <c r="AW228" s="88" t="str">
        <f>IF(全车数据表!BR229="","",全车数据表!BR229)</f>
        <v/>
      </c>
      <c r="AX228" s="88" t="str">
        <f>IF(全车数据表!BS229="","",全车数据表!BS229)</f>
        <v/>
      </c>
      <c r="AY228" s="88" t="str">
        <f>IF(全车数据表!BT229="","",全车数据表!BT229)</f>
        <v/>
      </c>
      <c r="AZ228" s="88" t="str">
        <f>IF(全车数据表!BU229="","",全车数据表!BU229)</f>
        <v/>
      </c>
      <c r="BA228" s="88" t="str">
        <f>IF(全车数据表!BV229="","",全车数据表!BV229)</f>
        <v/>
      </c>
      <c r="BB228" s="91" t="str">
        <f>IF(全车数据表!AZ229="","",全车数据表!AZ229)</f>
        <v/>
      </c>
    </row>
    <row r="229" spans="1:54">
      <c r="A229" s="88">
        <f>全车数据表!A230</f>
        <v>228</v>
      </c>
      <c r="B229" s="88" t="str">
        <f>全车数据表!B230</f>
        <v>Icona Vulcano Titanium</v>
      </c>
      <c r="C229" s="89" t="str">
        <f>全车数据表!E230</f>
        <v>vulcano</v>
      </c>
      <c r="D229" s="88" t="str">
        <f>IF(全车数据表!D230="","",全车数据表!D230)</f>
        <v>Icona</v>
      </c>
      <c r="E229" s="89" t="str">
        <f>全车数据表!H230</f>
        <v>1.3</v>
      </c>
      <c r="F229" s="89" t="str">
        <f>全车数据表!C230</f>
        <v>火山</v>
      </c>
      <c r="G229" s="89" t="str">
        <f>全车数据表!F230</f>
        <v>S</v>
      </c>
      <c r="H229" s="88">
        <f>LEN(全车数据表!G230)</f>
        <v>5</v>
      </c>
      <c r="I229" s="88" t="str">
        <f>VLOOKUP(全车数据表!P230,辅助计算!A:B,2,FALSE)</f>
        <v>epic</v>
      </c>
      <c r="J229" s="88">
        <f>全车数据表!Q230</f>
        <v>40</v>
      </c>
      <c r="K229" s="88">
        <f>全车数据表!R230</f>
        <v>18</v>
      </c>
      <c r="L229" s="88">
        <f>全车数据表!S230</f>
        <v>21</v>
      </c>
      <c r="M229" s="88">
        <f>全车数据表!T230</f>
        <v>25</v>
      </c>
      <c r="N229" s="88">
        <f>全车数据表!U230</f>
        <v>39</v>
      </c>
      <c r="O229" s="88">
        <f>全车数据表!V230</f>
        <v>0</v>
      </c>
      <c r="P229" s="88">
        <f>全车数据表!J230</f>
        <v>3957</v>
      </c>
      <c r="Q229" s="88">
        <f>全车数据表!K230</f>
        <v>381.7</v>
      </c>
      <c r="R229" s="88">
        <f>全车数据表!L230</f>
        <v>81.38</v>
      </c>
      <c r="S229" s="88">
        <f>全车数据表!M230</f>
        <v>43.38</v>
      </c>
      <c r="T229" s="88">
        <f>全车数据表!N230</f>
        <v>65.89</v>
      </c>
      <c r="U229" s="88">
        <f>全车数据表!O230</f>
        <v>6.3</v>
      </c>
      <c r="V229" s="88">
        <f>全车数据表!AL230</f>
        <v>7546400</v>
      </c>
      <c r="W229" s="88">
        <f>全车数据表!AM230</f>
        <v>30000</v>
      </c>
      <c r="X229" s="88">
        <f>全车数据表!AU230</f>
        <v>4200000</v>
      </c>
      <c r="Y229" s="88">
        <f>全车数据表!AV230</f>
        <v>11746400</v>
      </c>
      <c r="Z229" s="88">
        <f>全车数据表!AN230</f>
        <v>7</v>
      </c>
      <c r="AA229" s="88">
        <f>全车数据表!AP230</f>
        <v>5</v>
      </c>
      <c r="AB229" s="88">
        <f>全车数据表!AR230</f>
        <v>3</v>
      </c>
      <c r="AC229" s="88">
        <f>全车数据表!AW230</f>
        <v>397</v>
      </c>
      <c r="AD229" s="88">
        <f>全车数据表!AX230</f>
        <v>0</v>
      </c>
      <c r="AE229" s="88">
        <f>全车数据表!AY230</f>
        <v>533</v>
      </c>
      <c r="AF229" s="88" t="str">
        <f>IF(全车数据表!BA230="","",全车数据表!BA230)</f>
        <v>级别杯</v>
      </c>
      <c r="AG229" s="88">
        <f>IF(全车数据表!BB230="","",全车数据表!BB230)</f>
        <v>1</v>
      </c>
      <c r="AH229" s="88" t="str">
        <f>IF(全车数据表!BC230="","",全车数据表!BC230)</f>
        <v/>
      </c>
      <c r="AI229" s="88">
        <f>IF(全车数据表!BD230="","",全车数据表!BD230)</f>
        <v>1</v>
      </c>
      <c r="AJ229" s="88" t="str">
        <f>IF(全车数据表!BE230="","",全车数据表!BE230)</f>
        <v/>
      </c>
      <c r="AK229" s="88" t="str">
        <f>IF(全车数据表!BF230="","",全车数据表!BF230)</f>
        <v/>
      </c>
      <c r="AL229" s="88" t="str">
        <f>IF(全车数据表!BG230="","",全车数据表!BG230)</f>
        <v/>
      </c>
      <c r="AM229" s="88" t="str">
        <f>IF(全车数据表!BH230="","",全车数据表!BH230)</f>
        <v/>
      </c>
      <c r="AN229" s="88" t="str">
        <f>IF(全车数据表!BI230="","",全车数据表!BI230)</f>
        <v/>
      </c>
      <c r="AO229" s="88" t="str">
        <f>IF(全车数据表!BJ230="","",全车数据表!BJ230)</f>
        <v/>
      </c>
      <c r="AP229" s="88" t="str">
        <f>IF(全车数据表!BK230="","",全车数据表!BK230)</f>
        <v/>
      </c>
      <c r="AQ229" s="88" t="str">
        <f>IF(全车数据表!BL230="","",全车数据表!BL230)</f>
        <v/>
      </c>
      <c r="AR229" s="88" t="str">
        <f>IF(全车数据表!BM230="","",全车数据表!BM230)</f>
        <v/>
      </c>
      <c r="AS229" s="88" t="str">
        <f>IF(全车数据表!BN230="","",全车数据表!BN230)</f>
        <v/>
      </c>
      <c r="AT229" s="88" t="str">
        <f>IF(全车数据表!BO230="","",全车数据表!BO230)</f>
        <v/>
      </c>
      <c r="AU229" s="88" t="str">
        <f>IF(全车数据表!BP230="","",全车数据表!BP230)</f>
        <v/>
      </c>
      <c r="AV229" s="88" t="str">
        <f>IF(全车数据表!BQ230="","",全车数据表!BQ230)</f>
        <v>3款</v>
      </c>
      <c r="AW229" s="88" t="str">
        <f>IF(全车数据表!BR230="","",全车数据表!BR230)</f>
        <v/>
      </c>
      <c r="AX229" s="88" t="str">
        <f>IF(全车数据表!BS230="","",全车数据表!BS230)</f>
        <v/>
      </c>
      <c r="AY229" s="88" t="str">
        <f>IF(全车数据表!BT230="","",全车数据表!BT230)</f>
        <v/>
      </c>
      <c r="AZ229" s="88">
        <f>IF(全车数据表!BU230="","",全车数据表!BU230)</f>
        <v>1</v>
      </c>
      <c r="BA229" s="88" t="str">
        <f>IF(全车数据表!BV230="","",全车数据表!BV230)</f>
        <v>火山</v>
      </c>
      <c r="BB229" s="91">
        <f>IF(全车数据表!AZ230="","",全车数据表!AZ230)</f>
        <v>13</v>
      </c>
    </row>
    <row r="230" spans="1:54">
      <c r="A230" s="88">
        <f>全车数据表!A231</f>
        <v>229</v>
      </c>
      <c r="B230" s="88" t="str">
        <f>全车数据表!B231</f>
        <v>W Motors Lykan HyperSport</v>
      </c>
      <c r="C230" s="89" t="str">
        <f>全车数据表!E231</f>
        <v>lykan</v>
      </c>
      <c r="D230" s="88" t="str">
        <f>IF(全车数据表!D231="","",全车数据表!D231)</f>
        <v>W Motors</v>
      </c>
      <c r="E230" s="89" t="str">
        <f>全车数据表!H231</f>
        <v>1.3</v>
      </c>
      <c r="F230" s="89" t="str">
        <f>全车数据表!C231</f>
        <v>狼崽</v>
      </c>
      <c r="G230" s="89" t="str">
        <f>全车数据表!F231</f>
        <v>S</v>
      </c>
      <c r="H230" s="88">
        <f>LEN(全车数据表!G231)</f>
        <v>5</v>
      </c>
      <c r="I230" s="88" t="str">
        <f>VLOOKUP(全车数据表!P231,辅助计算!A:B,2,FALSE)</f>
        <v>epic</v>
      </c>
      <c r="J230" s="88">
        <f>全车数据表!Q231</f>
        <v>40</v>
      </c>
      <c r="K230" s="88">
        <f>全车数据表!R231</f>
        <v>18</v>
      </c>
      <c r="L230" s="88">
        <f>全车数据表!S231</f>
        <v>21</v>
      </c>
      <c r="M230" s="88">
        <f>全车数据表!T231</f>
        <v>25</v>
      </c>
      <c r="N230" s="88">
        <f>全车数据表!U231</f>
        <v>39</v>
      </c>
      <c r="O230" s="88">
        <f>全车数据表!V231</f>
        <v>0</v>
      </c>
      <c r="P230" s="88">
        <f>全车数据表!J231</f>
        <v>4083</v>
      </c>
      <c r="Q230" s="88">
        <f>全车数据表!K231</f>
        <v>407.6</v>
      </c>
      <c r="R230" s="88">
        <f>全车数据表!L231</f>
        <v>80.48</v>
      </c>
      <c r="S230" s="88">
        <f>全车数据表!M231</f>
        <v>40.97</v>
      </c>
      <c r="T230" s="88">
        <f>全车数据表!N231</f>
        <v>58.26</v>
      </c>
      <c r="U230" s="88">
        <f>全车数据表!O231</f>
        <v>5.25</v>
      </c>
      <c r="V230" s="88">
        <f>全车数据表!AL231</f>
        <v>9752000</v>
      </c>
      <c r="W230" s="88">
        <f>全车数据表!AM231</f>
        <v>35000</v>
      </c>
      <c r="X230" s="88">
        <f>全车数据表!AU231</f>
        <v>4900000</v>
      </c>
      <c r="Y230" s="88">
        <f>全车数据表!AV231</f>
        <v>14652000</v>
      </c>
      <c r="Z230" s="88">
        <f>全车数据表!AN231</f>
        <v>7</v>
      </c>
      <c r="AA230" s="88">
        <f>全车数据表!AP231</f>
        <v>5</v>
      </c>
      <c r="AB230" s="88">
        <f>全车数据表!AR231</f>
        <v>3</v>
      </c>
      <c r="AC230" s="88">
        <f>全车数据表!AW231</f>
        <v>425</v>
      </c>
      <c r="AD230" s="88">
        <f>全车数据表!AX231</f>
        <v>0</v>
      </c>
      <c r="AE230" s="88">
        <f>全车数据表!AY231</f>
        <v>560</v>
      </c>
      <c r="AF230" s="88" t="str">
        <f>IF(全车数据表!BA231="","",全车数据表!BA231)</f>
        <v>级别杯</v>
      </c>
      <c r="AG230" s="88" t="str">
        <f>IF(全车数据表!BB231="","",全车数据表!BB231)</f>
        <v/>
      </c>
      <c r="AH230" s="88" t="str">
        <f>IF(全车数据表!BC231="","",全车数据表!BC231)</f>
        <v/>
      </c>
      <c r="AI230" s="88">
        <f>IF(全车数据表!BD231="","",全车数据表!BD231)</f>
        <v>1</v>
      </c>
      <c r="AJ230" s="88" t="str">
        <f>IF(全车数据表!BE231="","",全车数据表!BE231)</f>
        <v/>
      </c>
      <c r="AK230" s="88" t="str">
        <f>IF(全车数据表!BF231="","",全车数据表!BF231)</f>
        <v/>
      </c>
      <c r="AL230" s="88" t="str">
        <f>IF(全车数据表!BG231="","",全车数据表!BG231)</f>
        <v/>
      </c>
      <c r="AM230" s="88" t="str">
        <f>IF(全车数据表!BH231="","",全车数据表!BH231)</f>
        <v/>
      </c>
      <c r="AN230" s="88" t="str">
        <f>IF(全车数据表!BI231="","",全车数据表!BI231)</f>
        <v/>
      </c>
      <c r="AO230" s="88" t="str">
        <f>IF(全车数据表!BJ231="","",全车数据表!BJ231)</f>
        <v/>
      </c>
      <c r="AP230" s="88" t="str">
        <f>IF(全车数据表!BK231="","",全车数据表!BK231)</f>
        <v/>
      </c>
      <c r="AQ230" s="88" t="str">
        <f>IF(全车数据表!BL231="","",全车数据表!BL231)</f>
        <v/>
      </c>
      <c r="AR230" s="88" t="str">
        <f>IF(全车数据表!BM231="","",全车数据表!BM231)</f>
        <v/>
      </c>
      <c r="AS230" s="88" t="str">
        <f>IF(全车数据表!BN231="","",全车数据表!BN231)</f>
        <v/>
      </c>
      <c r="AT230" s="88" t="str">
        <f>IF(全车数据表!BO231="","",全车数据表!BO231)</f>
        <v/>
      </c>
      <c r="AU230" s="88" t="str">
        <f>IF(全车数据表!BP231="","",全车数据表!BP231)</f>
        <v/>
      </c>
      <c r="AV230" s="88" t="str">
        <f>IF(全车数据表!BQ231="","",全车数据表!BQ231)</f>
        <v>2款</v>
      </c>
      <c r="AW230" s="88" t="str">
        <f>IF(全车数据表!BR231="","",全车数据表!BR231)</f>
        <v/>
      </c>
      <c r="AX230" s="88" t="str">
        <f>IF(全车数据表!BS231="","",全车数据表!BS231)</f>
        <v/>
      </c>
      <c r="AY230" s="88">
        <f>IF(全车数据表!BT231="","",全车数据表!BT231)</f>
        <v>1</v>
      </c>
      <c r="AZ230" s="88">
        <f>IF(全车数据表!BU231="","",全车数据表!BU231)</f>
        <v>1</v>
      </c>
      <c r="BA230" s="88" t="str">
        <f>IF(全车数据表!BV231="","",全车数据表!BV231)</f>
        <v>狼崽 莱肯</v>
      </c>
      <c r="BB230" s="91">
        <f>IF(全车数据表!AZ231="","",全车数据表!AZ231)</f>
        <v>1</v>
      </c>
    </row>
    <row r="231" spans="1:54">
      <c r="A231" s="88">
        <f>全车数据表!A232</f>
        <v>230</v>
      </c>
      <c r="B231" s="88" t="str">
        <f>全车数据表!B232</f>
        <v>Porsche 918 Spyder</v>
      </c>
      <c r="C231" s="89" t="str">
        <f>全车数据表!E232</f>
        <v>918</v>
      </c>
      <c r="D231" s="88" t="str">
        <f>IF(全车数据表!D232="","",全车数据表!D232)</f>
        <v>Porsche</v>
      </c>
      <c r="E231" s="89" t="str">
        <f>全车数据表!H232</f>
        <v>1.4</v>
      </c>
      <c r="F231" s="89" t="str">
        <f>全车数据表!C232</f>
        <v>918</v>
      </c>
      <c r="G231" s="89" t="str">
        <f>全车数据表!F232</f>
        <v>S</v>
      </c>
      <c r="H231" s="88">
        <f>LEN(全车数据表!G232)</f>
        <v>5</v>
      </c>
      <c r="I231" s="88" t="str">
        <f>VLOOKUP(全车数据表!P232,辅助计算!A:B,2,FALSE)</f>
        <v>epic</v>
      </c>
      <c r="J231" s="88">
        <f>全车数据表!Q232</f>
        <v>40</v>
      </c>
      <c r="K231" s="88">
        <f>全车数据表!R232</f>
        <v>18</v>
      </c>
      <c r="L231" s="88">
        <f>全车数据表!S232</f>
        <v>21</v>
      </c>
      <c r="M231" s="88">
        <f>全车数据表!T232</f>
        <v>25</v>
      </c>
      <c r="N231" s="88">
        <f>全车数据表!U232</f>
        <v>39</v>
      </c>
      <c r="O231" s="88">
        <f>全车数据表!V232</f>
        <v>0</v>
      </c>
      <c r="P231" s="88">
        <f>全车数据表!J232</f>
        <v>4114</v>
      </c>
      <c r="Q231" s="88">
        <f>全车数据表!K232</f>
        <v>362.4</v>
      </c>
      <c r="R231" s="88">
        <f>全车数据表!L232</f>
        <v>83.02</v>
      </c>
      <c r="S231" s="88">
        <f>全车数据表!M232</f>
        <v>51.8</v>
      </c>
      <c r="T231" s="88">
        <f>全车数据表!N232</f>
        <v>79.97</v>
      </c>
      <c r="U231" s="88">
        <f>全车数据表!O232</f>
        <v>9.4830000000000005</v>
      </c>
      <c r="V231" s="88">
        <f>全车数据表!AL232</f>
        <v>9752000</v>
      </c>
      <c r="W231" s="88">
        <f>全车数据表!AM232</f>
        <v>35000</v>
      </c>
      <c r="X231" s="88">
        <f>全车数据表!AU232</f>
        <v>4900000</v>
      </c>
      <c r="Y231" s="88">
        <f>全车数据表!AV232</f>
        <v>14652000</v>
      </c>
      <c r="Z231" s="88">
        <f>全车数据表!AN232</f>
        <v>7</v>
      </c>
      <c r="AA231" s="88">
        <f>全车数据表!AP232</f>
        <v>5</v>
      </c>
      <c r="AB231" s="88">
        <f>全车数据表!AR232</f>
        <v>3</v>
      </c>
      <c r="AC231" s="88">
        <f>全车数据表!AW232</f>
        <v>377</v>
      </c>
      <c r="AD231" s="88">
        <f>全车数据表!AX232</f>
        <v>0</v>
      </c>
      <c r="AE231" s="88">
        <f>全车数据表!AY232</f>
        <v>499</v>
      </c>
      <c r="AF231" s="88" t="str">
        <f>IF(全车数据表!BA232="","",全车数据表!BA232)</f>
        <v>旧版会员</v>
      </c>
      <c r="AG231" s="88" t="str">
        <f>IF(全车数据表!BB232="","",全车数据表!BB232)</f>
        <v/>
      </c>
      <c r="AH231" s="88" t="str">
        <f>IF(全车数据表!BC232="","",全车数据表!BC232)</f>
        <v/>
      </c>
      <c r="AI231" s="88">
        <f>IF(全车数据表!BD232="","",全车数据表!BD232)</f>
        <v>1</v>
      </c>
      <c r="AJ231" s="88" t="str">
        <f>IF(全车数据表!BE232="","",全车数据表!BE232)</f>
        <v/>
      </c>
      <c r="AK231" s="88" t="str">
        <f>IF(全车数据表!BF232="","",全车数据表!BF232)</f>
        <v/>
      </c>
      <c r="AL231" s="88" t="str">
        <f>IF(全车数据表!BG232="","",全车数据表!BG232)</f>
        <v/>
      </c>
      <c r="AM231" s="88" t="str">
        <f>IF(全车数据表!BH232="","",全车数据表!BH232)</f>
        <v/>
      </c>
      <c r="AN231" s="88" t="str">
        <f>IF(全车数据表!BI232="","",全车数据表!BI232)</f>
        <v/>
      </c>
      <c r="AO231" s="88" t="str">
        <f>IF(全车数据表!BJ232="","",全车数据表!BJ232)</f>
        <v/>
      </c>
      <c r="AP231" s="88" t="str">
        <f>IF(全车数据表!BK232="","",全车数据表!BK232)</f>
        <v/>
      </c>
      <c r="AQ231" s="88" t="str">
        <f>IF(全车数据表!BL232="","",全车数据表!BL232)</f>
        <v/>
      </c>
      <c r="AR231" s="88" t="str">
        <f>IF(全车数据表!BM232="","",全车数据表!BM232)</f>
        <v/>
      </c>
      <c r="AS231" s="88" t="str">
        <f>IF(全车数据表!BN232="","",全车数据表!BN232)</f>
        <v/>
      </c>
      <c r="AT231" s="88" t="str">
        <f>IF(全车数据表!BO232="","",全车数据表!BO232)</f>
        <v/>
      </c>
      <c r="AU231" s="88" t="str">
        <f>IF(全车数据表!BP232="","",全车数据表!BP232)</f>
        <v/>
      </c>
      <c r="AV231" s="88" t="str">
        <f>IF(全车数据表!BQ232="","",全车数据表!BQ232)</f>
        <v>老虎贴纸</v>
      </c>
      <c r="AW231" s="88">
        <f>IF(全车数据表!BR232="","",全车数据表!BR232)</f>
        <v>1</v>
      </c>
      <c r="AX231" s="88" t="str">
        <f>IF(全车数据表!BS232="","",全车数据表!BS232)</f>
        <v/>
      </c>
      <c r="AY231" s="88" t="str">
        <f>IF(全车数据表!BT232="","",全车数据表!BT232)</f>
        <v/>
      </c>
      <c r="AZ231" s="88">
        <f>IF(全车数据表!BU232="","",全车数据表!BU232)</f>
        <v>1</v>
      </c>
      <c r="BA231" s="88" t="str">
        <f>IF(全车数据表!BV232="","",全车数据表!BV232)</f>
        <v>保时捷</v>
      </c>
      <c r="BB231" s="91">
        <f>IF(全车数据表!AZ232="","",全车数据表!AZ232)</f>
        <v>1</v>
      </c>
    </row>
    <row r="232" spans="1:54">
      <c r="A232" s="88">
        <f>全车数据表!A233</f>
        <v>231</v>
      </c>
      <c r="B232" s="88" t="str">
        <f>全车数据表!B233</f>
        <v>Vanda Electrics Dendrobium</v>
      </c>
      <c r="C232" s="89" t="str">
        <f>全车数据表!E233</f>
        <v>vanda</v>
      </c>
      <c r="D232" s="88" t="str">
        <f>IF(全车数据表!D233="","",全车数据表!D233)</f>
        <v>Vanda Electrics</v>
      </c>
      <c r="E232" s="89" t="str">
        <f>全车数据表!H233</f>
        <v>2.2</v>
      </c>
      <c r="F232" s="89" t="str">
        <f>全车数据表!C233</f>
        <v>万达</v>
      </c>
      <c r="G232" s="89" t="str">
        <f>全车数据表!F233</f>
        <v>S</v>
      </c>
      <c r="H232" s="88">
        <f>LEN(全车数据表!G233)</f>
        <v>6</v>
      </c>
      <c r="I232" s="88" t="str">
        <f>VLOOKUP(全车数据表!P233,辅助计算!A:B,2,FALSE)</f>
        <v>epic</v>
      </c>
      <c r="J232" s="88">
        <f>全车数据表!Q233</f>
        <v>30</v>
      </c>
      <c r="K232" s="88">
        <f>全车数据表!R233</f>
        <v>30</v>
      </c>
      <c r="L232" s="88">
        <f>全车数据表!S233</f>
        <v>30</v>
      </c>
      <c r="M232" s="88">
        <f>全车数据表!T233</f>
        <v>35</v>
      </c>
      <c r="N232" s="88">
        <f>全车数据表!U233</f>
        <v>35</v>
      </c>
      <c r="O232" s="88">
        <f>全车数据表!V233</f>
        <v>40</v>
      </c>
      <c r="P232" s="88">
        <f>全车数据表!J233</f>
        <v>4124</v>
      </c>
      <c r="Q232" s="88">
        <f>全车数据表!K233</f>
        <v>339.9</v>
      </c>
      <c r="R232" s="88">
        <f>全车数据表!L233</f>
        <v>86.24</v>
      </c>
      <c r="S232" s="88">
        <f>全车数据表!M233</f>
        <v>95.92</v>
      </c>
      <c r="T232" s="88">
        <f>全车数据表!N233</f>
        <v>84.9</v>
      </c>
      <c r="U232" s="88">
        <f>全车数据表!O233</f>
        <v>13.23</v>
      </c>
      <c r="V232" s="88">
        <f>全车数据表!AL233</f>
        <v>9752400</v>
      </c>
      <c r="W232" s="88">
        <f>全车数据表!AM233</f>
        <v>35000</v>
      </c>
      <c r="X232" s="88">
        <f>全车数据表!AU233</f>
        <v>5740000</v>
      </c>
      <c r="Y232" s="88">
        <f>全车数据表!AV233</f>
        <v>15492400</v>
      </c>
      <c r="Z232" s="88">
        <f>全车数据表!AN233</f>
        <v>7</v>
      </c>
      <c r="AA232" s="88">
        <f>全车数据表!AP233</f>
        <v>5</v>
      </c>
      <c r="AB232" s="88">
        <f>全车数据表!AR233</f>
        <v>4</v>
      </c>
      <c r="AC232" s="88">
        <f>全车数据表!AW233</f>
        <v>354</v>
      </c>
      <c r="AD232" s="88">
        <f>全车数据表!AX233</f>
        <v>363</v>
      </c>
      <c r="AE232" s="88">
        <f>全车数据表!AY233</f>
        <v>474</v>
      </c>
      <c r="AF232" s="88" t="str">
        <f>IF(全车数据表!BA233="","",全车数据表!BA233)</f>
        <v>旧版挑战</v>
      </c>
      <c r="AG232" s="88" t="str">
        <f>IF(全车数据表!BB233="","",全车数据表!BB233)</f>
        <v/>
      </c>
      <c r="AH232" s="88" t="str">
        <f>IF(全车数据表!BC233="","",全车数据表!BC233)</f>
        <v/>
      </c>
      <c r="AI232" s="88" t="str">
        <f>IF(全车数据表!BD233="","",全车数据表!BD233)</f>
        <v/>
      </c>
      <c r="AJ232" s="88" t="str">
        <f>IF(全车数据表!BE233="","",全车数据表!BE233)</f>
        <v/>
      </c>
      <c r="AK232" s="88" t="str">
        <f>IF(全车数据表!BF233="","",全车数据表!BF233)</f>
        <v/>
      </c>
      <c r="AL232" s="88" t="str">
        <f>IF(全车数据表!BG233="","",全车数据表!BG233)</f>
        <v/>
      </c>
      <c r="AM232" s="88" t="str">
        <f>IF(全车数据表!BH233="","",全车数据表!BH233)</f>
        <v/>
      </c>
      <c r="AN232" s="88" t="str">
        <f>IF(全车数据表!BI233="","",全车数据表!BI233)</f>
        <v/>
      </c>
      <c r="AO232" s="88" t="str">
        <f>IF(全车数据表!BJ233="","",全车数据表!BJ233)</f>
        <v/>
      </c>
      <c r="AP232" s="88" t="str">
        <f>IF(全车数据表!BK233="","",全车数据表!BK233)</f>
        <v/>
      </c>
      <c r="AQ232" s="88" t="str">
        <f>IF(全车数据表!BL233="","",全车数据表!BL233)</f>
        <v/>
      </c>
      <c r="AR232" s="88" t="str">
        <f>IF(全车数据表!BM233="","",全车数据表!BM233)</f>
        <v/>
      </c>
      <c r="AS232" s="88" t="str">
        <f>IF(全车数据表!BN233="","",全车数据表!BN233)</f>
        <v/>
      </c>
      <c r="AT232" s="88" t="str">
        <f>IF(全车数据表!BO233="","",全车数据表!BO233)</f>
        <v/>
      </c>
      <c r="AU232" s="88" t="str">
        <f>IF(全车数据表!BP233="","",全车数据表!BP233)</f>
        <v/>
      </c>
      <c r="AV232" s="88" t="str">
        <f>IF(全车数据表!BQ233="","",全车数据表!BQ233)</f>
        <v>1款</v>
      </c>
      <c r="AW232" s="88" t="str">
        <f>IF(全车数据表!BR233="","",全车数据表!BR233)</f>
        <v/>
      </c>
      <c r="AX232" s="88" t="str">
        <f>IF(全车数据表!BS233="","",全车数据表!BS233)</f>
        <v/>
      </c>
      <c r="AY232" s="88">
        <f>IF(全车数据表!BT233="","",全车数据表!BT233)</f>
        <v>1</v>
      </c>
      <c r="AZ232" s="88" t="str">
        <f>IF(全车数据表!BU233="","",全车数据表!BU233)</f>
        <v/>
      </c>
      <c r="BA232" s="88" t="str">
        <f>IF(全车数据表!BV233="","",全车数据表!BV233)</f>
        <v>万达</v>
      </c>
      <c r="BB232" s="91" t="str">
        <f>IF(全车数据表!AZ233="","",全车数据表!AZ233)</f>
        <v/>
      </c>
    </row>
    <row r="233" spans="1:54">
      <c r="A233" s="88">
        <f>全车数据表!A234</f>
        <v>232</v>
      </c>
      <c r="B233" s="88" t="str">
        <f>全车数据表!B234</f>
        <v>McLaren 570S Spider</v>
      </c>
      <c r="C233" s="89" t="str">
        <f>全车数据表!E234</f>
        <v>570</v>
      </c>
      <c r="D233" s="88" t="str">
        <f>IF(全车数据表!D234="","",全车数据表!D234)</f>
        <v>McLaren</v>
      </c>
      <c r="E233" s="89" t="str">
        <f>全车数据表!H234</f>
        <v>1.5</v>
      </c>
      <c r="F233" s="89" t="str">
        <f>全车数据表!C234</f>
        <v>570</v>
      </c>
      <c r="G233" s="89" t="str">
        <f>全车数据表!F234</f>
        <v>S</v>
      </c>
      <c r="H233" s="88">
        <f>LEN(全车数据表!G234)</f>
        <v>6</v>
      </c>
      <c r="I233" s="88" t="str">
        <f>VLOOKUP(全车数据表!P234,辅助计算!A:B,2,FALSE)</f>
        <v>epic</v>
      </c>
      <c r="J233" s="88">
        <f>全车数据表!Q234</f>
        <v>30</v>
      </c>
      <c r="K233" s="88">
        <f>全车数据表!R234</f>
        <v>30</v>
      </c>
      <c r="L233" s="88">
        <f>全车数据表!S234</f>
        <v>30</v>
      </c>
      <c r="M233" s="88">
        <f>全车数据表!T234</f>
        <v>35</v>
      </c>
      <c r="N233" s="88">
        <f>全车数据表!U234</f>
        <v>35</v>
      </c>
      <c r="O233" s="88">
        <f>全车数据表!V234</f>
        <v>40</v>
      </c>
      <c r="P233" s="88">
        <f>全车数据表!J234</f>
        <v>4135</v>
      </c>
      <c r="Q233" s="88">
        <f>全车数据表!K234</f>
        <v>377.2</v>
      </c>
      <c r="R233" s="88">
        <f>全车数据表!L234</f>
        <v>79.23</v>
      </c>
      <c r="S233" s="88">
        <f>全车数据表!M234</f>
        <v>66.06</v>
      </c>
      <c r="T233" s="88">
        <f>全车数据表!N234</f>
        <v>64.75</v>
      </c>
      <c r="U233" s="88">
        <f>全车数据表!O234</f>
        <v>6.2</v>
      </c>
      <c r="V233" s="88">
        <f>全车数据表!AL234</f>
        <v>9752400</v>
      </c>
      <c r="W233" s="88">
        <f>全车数据表!AM234</f>
        <v>35000</v>
      </c>
      <c r="X233" s="88">
        <f>全车数据表!AU234</f>
        <v>5740000</v>
      </c>
      <c r="Y233" s="88">
        <f>全车数据表!AV234</f>
        <v>15492400</v>
      </c>
      <c r="Z233" s="88">
        <f>全车数据表!AN234</f>
        <v>7</v>
      </c>
      <c r="AA233" s="88">
        <f>全车数据表!AP234</f>
        <v>5</v>
      </c>
      <c r="AB233" s="88">
        <f>全车数据表!AR234</f>
        <v>4</v>
      </c>
      <c r="AC233" s="88">
        <f>全车数据表!AW234</f>
        <v>393</v>
      </c>
      <c r="AD233" s="88">
        <f>全车数据表!AX234</f>
        <v>0</v>
      </c>
      <c r="AE233" s="88">
        <f>全车数据表!AY234</f>
        <v>526</v>
      </c>
      <c r="AF233" s="88" t="str">
        <f>IF(全车数据表!BA234="","",全车数据表!BA234)</f>
        <v>旧版会员</v>
      </c>
      <c r="AG233" s="88" t="str">
        <f>IF(全车数据表!BB234="","",全车数据表!BB234)</f>
        <v/>
      </c>
      <c r="AH233" s="88" t="str">
        <f>IF(全车数据表!BC234="","",全车数据表!BC234)</f>
        <v/>
      </c>
      <c r="AI233" s="88" t="str">
        <f>IF(全车数据表!BD234="","",全车数据表!BD234)</f>
        <v/>
      </c>
      <c r="AJ233" s="88" t="str">
        <f>IF(全车数据表!BE234="","",全车数据表!BE234)</f>
        <v/>
      </c>
      <c r="AK233" s="88" t="str">
        <f>IF(全车数据表!BF234="","",全车数据表!BF234)</f>
        <v/>
      </c>
      <c r="AL233" s="88" t="str">
        <f>IF(全车数据表!BG234="","",全车数据表!BG234)</f>
        <v/>
      </c>
      <c r="AM233" s="88" t="str">
        <f>IF(全车数据表!BH234="","",全车数据表!BH234)</f>
        <v/>
      </c>
      <c r="AN233" s="88" t="str">
        <f>IF(全车数据表!BI234="","",全车数据表!BI234)</f>
        <v/>
      </c>
      <c r="AO233" s="88" t="str">
        <f>IF(全车数据表!BJ234="","",全车数据表!BJ234)</f>
        <v/>
      </c>
      <c r="AP233" s="88" t="str">
        <f>IF(全车数据表!BK234="","",全车数据表!BK234)</f>
        <v/>
      </c>
      <c r="AQ233" s="88" t="str">
        <f>IF(全车数据表!BL234="","",全车数据表!BL234)</f>
        <v/>
      </c>
      <c r="AR233" s="88" t="str">
        <f>IF(全车数据表!BM234="","",全车数据表!BM234)</f>
        <v/>
      </c>
      <c r="AS233" s="88" t="str">
        <f>IF(全车数据表!BN234="","",全车数据表!BN234)</f>
        <v/>
      </c>
      <c r="AT233" s="88" t="str">
        <f>IF(全车数据表!BO234="","",全车数据表!BO234)</f>
        <v/>
      </c>
      <c r="AU233" s="88">
        <f>IF(全车数据表!BP234="","",全车数据表!BP234)</f>
        <v>1</v>
      </c>
      <c r="AV233" s="88" t="str">
        <f>IF(全车数据表!BQ234="","",全车数据表!BQ234)</f>
        <v/>
      </c>
      <c r="AW233" s="88" t="str">
        <f>IF(全车数据表!BR234="","",全车数据表!BR234)</f>
        <v/>
      </c>
      <c r="AX233" s="88" t="str">
        <f>IF(全车数据表!BS234="","",全车数据表!BS234)</f>
        <v>可开合</v>
      </c>
      <c r="AY233" s="88">
        <f>IF(全车数据表!BT234="","",全车数据表!BT234)</f>
        <v>1</v>
      </c>
      <c r="AZ233" s="88">
        <f>IF(全车数据表!BU234="","",全车数据表!BU234)</f>
        <v>1</v>
      </c>
      <c r="BA233" s="88" t="str">
        <f>IF(全车数据表!BV234="","",全车数据表!BV234)</f>
        <v>迈凯伦</v>
      </c>
      <c r="BB233" s="91" t="str">
        <f>IF(全车数据表!AZ234="","",全车数据表!AZ234)</f>
        <v/>
      </c>
    </row>
    <row r="234" spans="1:54">
      <c r="A234" s="88">
        <f>全车数据表!A235</f>
        <v>233</v>
      </c>
      <c r="B234" s="88" t="str">
        <f>全车数据表!B235</f>
        <v>Lamborghini Veneno</v>
      </c>
      <c r="C234" s="89" t="str">
        <f>全车数据表!E235</f>
        <v>veneno</v>
      </c>
      <c r="D234" s="88" t="str">
        <f>IF(全车数据表!D235="","",全车数据表!D235)</f>
        <v>Lamborghini</v>
      </c>
      <c r="E234" s="89" t="str">
        <f>全车数据表!H235</f>
        <v>2.4</v>
      </c>
      <c r="F234" s="89" t="str">
        <f>全车数据表!C235</f>
        <v>毒药</v>
      </c>
      <c r="G234" s="89" t="str">
        <f>全车数据表!F235</f>
        <v>S</v>
      </c>
      <c r="H234" s="88">
        <f>LEN(全车数据表!G235)</f>
        <v>6</v>
      </c>
      <c r="I234" s="88" t="str">
        <f>VLOOKUP(全车数据表!P235,辅助计算!A:B,2,FALSE)</f>
        <v>epic</v>
      </c>
      <c r="J234" s="88">
        <f>全车数据表!Q235</f>
        <v>30</v>
      </c>
      <c r="K234" s="88">
        <f>全车数据表!R235</f>
        <v>30</v>
      </c>
      <c r="L234" s="88">
        <f>全车数据表!S235</f>
        <v>30</v>
      </c>
      <c r="M234" s="88">
        <f>全车数据表!T235</f>
        <v>35</v>
      </c>
      <c r="N234" s="88">
        <f>全车数据表!U235</f>
        <v>35</v>
      </c>
      <c r="O234" s="88">
        <f>全车数据表!V235</f>
        <v>40</v>
      </c>
      <c r="P234" s="88">
        <f>全车数据表!J235</f>
        <v>4142</v>
      </c>
      <c r="Q234" s="88">
        <f>全车数据表!K235</f>
        <v>370</v>
      </c>
      <c r="R234" s="88">
        <f>全车数据表!L235</f>
        <v>81.16</v>
      </c>
      <c r="S234" s="88">
        <f>全车数据表!M235</f>
        <v>62.42</v>
      </c>
      <c r="T234" s="88">
        <f>全车数据表!N235</f>
        <v>78.819999999999993</v>
      </c>
      <c r="U234" s="88">
        <f>全车数据表!O235</f>
        <v>0</v>
      </c>
      <c r="V234" s="88">
        <f>全车数据表!AL235</f>
        <v>9752400</v>
      </c>
      <c r="W234" s="88">
        <f>全车数据表!AM235</f>
        <v>35000</v>
      </c>
      <c r="X234" s="88">
        <f>全车数据表!AU235</f>
        <v>5740000</v>
      </c>
      <c r="Y234" s="88">
        <f>全车数据表!AV235</f>
        <v>15492400</v>
      </c>
      <c r="Z234" s="88">
        <f>全车数据表!AN235</f>
        <v>7</v>
      </c>
      <c r="AA234" s="88">
        <f>全车数据表!AP235</f>
        <v>5</v>
      </c>
      <c r="AB234" s="88">
        <f>全车数据表!AR235</f>
        <v>4</v>
      </c>
      <c r="AC234" s="88">
        <f>全车数据表!AW235</f>
        <v>387</v>
      </c>
      <c r="AD234" s="88">
        <f>全车数据表!AX235</f>
        <v>0</v>
      </c>
      <c r="AE234" s="88">
        <f>全车数据表!AY235</f>
        <v>516</v>
      </c>
      <c r="AF234" s="88" t="str">
        <f>IF(全车数据表!BA235="","",全车数据表!BA235)</f>
        <v>特殊赛事</v>
      </c>
      <c r="AG234" s="88">
        <f>IF(全车数据表!BB235="","",全车数据表!BB235)</f>
        <v>1</v>
      </c>
      <c r="AH234" s="88" t="str">
        <f>IF(全车数据表!BC235="","",全车数据表!BC235)</f>
        <v/>
      </c>
      <c r="AI234" s="88" t="str">
        <f>IF(全车数据表!BD235="","",全车数据表!BD235)</f>
        <v/>
      </c>
      <c r="AJ234" s="88" t="str">
        <f>IF(全车数据表!BE235="","",全车数据表!BE235)</f>
        <v/>
      </c>
      <c r="AK234" s="88" t="str">
        <f>IF(全车数据表!BF235="","",全车数据表!BF235)</f>
        <v/>
      </c>
      <c r="AL234" s="88" t="str">
        <f>IF(全车数据表!BG235="","",全车数据表!BG235)</f>
        <v/>
      </c>
      <c r="AM234" s="88" t="str">
        <f>IF(全车数据表!BH235="","",全车数据表!BH235)</f>
        <v/>
      </c>
      <c r="AN234" s="88" t="str">
        <f>IF(全车数据表!BI235="","",全车数据表!BI235)</f>
        <v/>
      </c>
      <c r="AO234" s="88" t="str">
        <f>IF(全车数据表!BJ235="","",全车数据表!BJ235)</f>
        <v/>
      </c>
      <c r="AP234" s="88" t="str">
        <f>IF(全车数据表!BK235="","",全车数据表!BK235)</f>
        <v/>
      </c>
      <c r="AQ234" s="88">
        <f>IF(全车数据表!BL235="","",全车数据表!BL235)</f>
        <v>1</v>
      </c>
      <c r="AR234" s="88" t="str">
        <f>IF(全车数据表!BM235="","",全车数据表!BM235)</f>
        <v/>
      </c>
      <c r="AS234" s="88" t="str">
        <f>IF(全车数据表!BN235="","",全车数据表!BN235)</f>
        <v/>
      </c>
      <c r="AT234" s="88" t="str">
        <f>IF(全车数据表!BO235="","",全车数据表!BO235)</f>
        <v/>
      </c>
      <c r="AU234" s="88">
        <f>IF(全车数据表!BP235="","",全车数据表!BP235)</f>
        <v>1</v>
      </c>
      <c r="AV234" s="88" t="str">
        <f>IF(全车数据表!BQ235="","",全车数据表!BQ235)</f>
        <v>2款</v>
      </c>
      <c r="AW234" s="88" t="str">
        <f>IF(全车数据表!BR235="","",全车数据表!BR235)</f>
        <v/>
      </c>
      <c r="AX234" s="88" t="str">
        <f>IF(全车数据表!BS235="","",全车数据表!BS235)</f>
        <v/>
      </c>
      <c r="AY234" s="88">
        <f>IF(全车数据表!BT235="","",全车数据表!BT235)</f>
        <v>1</v>
      </c>
      <c r="AZ234" s="88" t="str">
        <f>IF(全车数据表!BU235="","",全车数据表!BU235)</f>
        <v/>
      </c>
      <c r="BA234" s="88" t="str">
        <f>IF(全车数据表!BV235="","",全车数据表!BV235)</f>
        <v>兰博基尼 毒药</v>
      </c>
      <c r="BB234" s="91">
        <f>IF(全车数据表!AZ235="","",全车数据表!AZ235)</f>
        <v>1</v>
      </c>
    </row>
    <row r="235" spans="1:54">
      <c r="A235" s="88">
        <f>全车数据表!A236</f>
        <v>234</v>
      </c>
      <c r="B235" s="88" t="str">
        <f>全车数据表!B236</f>
        <v>ATS Automobili GT</v>
      </c>
      <c r="C235" s="89" t="str">
        <f>全车数据表!E236</f>
        <v>atsgt</v>
      </c>
      <c r="D235" s="88" t="str">
        <f>IF(全车数据表!D236="","",全车数据表!D236)</f>
        <v>ATS Automobili</v>
      </c>
      <c r="E235" s="89" t="str">
        <f>全车数据表!H236</f>
        <v>4.5</v>
      </c>
      <c r="F235" s="89" t="str">
        <f>全车数据表!C236</f>
        <v>ATS GT</v>
      </c>
      <c r="G235" s="89" t="str">
        <f>全车数据表!F236</f>
        <v>S</v>
      </c>
      <c r="H235" s="88">
        <f>LEN(全车数据表!G236)</f>
        <v>6</v>
      </c>
      <c r="I235" s="88" t="str">
        <f>VLOOKUP(全车数据表!P236,辅助计算!A:B,2,FALSE)</f>
        <v>epic</v>
      </c>
      <c r="J235" s="88">
        <f>全车数据表!Q236</f>
        <v>40</v>
      </c>
      <c r="K235" s="88">
        <f>全车数据表!R236</f>
        <v>45</v>
      </c>
      <c r="L235" s="88">
        <f>全车数据表!S236</f>
        <v>55</v>
      </c>
      <c r="M235" s="88">
        <f>全车数据表!T236</f>
        <v>48</v>
      </c>
      <c r="N235" s="88">
        <f>全车数据表!U236</f>
        <v>56</v>
      </c>
      <c r="O235" s="88">
        <f>全车数据表!V236</f>
        <v>56</v>
      </c>
      <c r="P235" s="88">
        <f>全车数据表!J236</f>
        <v>4161</v>
      </c>
      <c r="Q235" s="88">
        <f>全车数据表!K236</f>
        <v>391.1</v>
      </c>
      <c r="R235" s="88">
        <f>全车数据表!L236</f>
        <v>81.47</v>
      </c>
      <c r="S235" s="88">
        <f>全车数据表!M236</f>
        <v>52.12</v>
      </c>
      <c r="T235" s="88">
        <f>全车数据表!N236</f>
        <v>46.85</v>
      </c>
      <c r="U235" s="88">
        <f>全车数据表!O236</f>
        <v>0</v>
      </c>
      <c r="V235" s="88">
        <f>全车数据表!AL236</f>
        <v>12000000</v>
      </c>
      <c r="W235" s="88">
        <f>全车数据表!AM236</f>
        <v>56000</v>
      </c>
      <c r="X235" s="88">
        <f>全车数据表!AU236</f>
        <v>9184000</v>
      </c>
      <c r="Y235" s="88">
        <f>全车数据表!AV236</f>
        <v>21184000</v>
      </c>
      <c r="Z235" s="88">
        <f>全车数据表!AN236</f>
        <v>7</v>
      </c>
      <c r="AA235" s="88">
        <f>全车数据表!AP236</f>
        <v>5</v>
      </c>
      <c r="AB235" s="88">
        <f>全车数据表!AR236</f>
        <v>4</v>
      </c>
      <c r="AC235" s="88">
        <f>全车数据表!AW236</f>
        <v>0</v>
      </c>
      <c r="AD235" s="88">
        <f>全车数据表!AX236</f>
        <v>0</v>
      </c>
      <c r="AE235" s="88">
        <f>全车数据表!AY236</f>
        <v>0</v>
      </c>
      <c r="AF235" s="88" t="str">
        <f>IF(全车数据表!BA236="","",全车数据表!BA236)</f>
        <v>特殊赛事</v>
      </c>
      <c r="AG235" s="88" t="str">
        <f>IF(全车数据表!BB236="","",全车数据表!BB236)</f>
        <v/>
      </c>
      <c r="AH235" s="88" t="str">
        <f>IF(全车数据表!BC236="","",全车数据表!BC236)</f>
        <v/>
      </c>
      <c r="AI235" s="88" t="str">
        <f>IF(全车数据表!BD236="","",全车数据表!BD236)</f>
        <v/>
      </c>
      <c r="AJ235" s="88" t="str">
        <f>IF(全车数据表!BE236="","",全车数据表!BE236)</f>
        <v/>
      </c>
      <c r="AK235" s="88" t="str">
        <f>IF(全车数据表!BF236="","",全车数据表!BF236)</f>
        <v/>
      </c>
      <c r="AL235" s="88" t="str">
        <f>IF(全车数据表!BG236="","",全车数据表!BG236)</f>
        <v/>
      </c>
      <c r="AM235" s="88" t="str">
        <f>IF(全车数据表!BH236="","",全车数据表!BH236)</f>
        <v/>
      </c>
      <c r="AN235" s="88" t="str">
        <f>IF(全车数据表!BI236="","",全车数据表!BI236)</f>
        <v/>
      </c>
      <c r="AO235" s="88" t="str">
        <f>IF(全车数据表!BJ236="","",全车数据表!BJ236)</f>
        <v/>
      </c>
      <c r="AP235" s="88" t="str">
        <f>IF(全车数据表!BK236="","",全车数据表!BK236)</f>
        <v/>
      </c>
      <c r="AQ235" s="88">
        <f>IF(全车数据表!BL236="","",全车数据表!BL236)</f>
        <v>1</v>
      </c>
      <c r="AR235" s="88" t="str">
        <f>IF(全车数据表!BM236="","",全车数据表!BM236)</f>
        <v/>
      </c>
      <c r="AS235" s="88" t="str">
        <f>IF(全车数据表!BN236="","",全车数据表!BN236)</f>
        <v/>
      </c>
      <c r="AT235" s="88" t="str">
        <f>IF(全车数据表!BO236="","",全车数据表!BO236)</f>
        <v/>
      </c>
      <c r="AU235" s="88" t="str">
        <f>IF(全车数据表!BP236="","",全车数据表!BP236)</f>
        <v/>
      </c>
      <c r="AV235" s="88" t="str">
        <f>IF(全车数据表!BQ236="","",全车数据表!BQ236)</f>
        <v/>
      </c>
      <c r="AW235" s="88" t="str">
        <f>IF(全车数据表!BR236="","",全车数据表!BR236)</f>
        <v/>
      </c>
      <c r="AX235" s="88" t="str">
        <f>IF(全车数据表!BS236="","",全车数据表!BS236)</f>
        <v/>
      </c>
      <c r="AY235" s="88" t="str">
        <f>IF(全车数据表!BT236="","",全车数据表!BT236)</f>
        <v/>
      </c>
      <c r="AZ235" s="88" t="str">
        <f>IF(全车数据表!BU236="","",全车数据表!BU236)</f>
        <v/>
      </c>
      <c r="BA235" s="88" t="str">
        <f>IF(全车数据表!BV236="","",全车数据表!BV236)</f>
        <v/>
      </c>
      <c r="BB235" s="91" t="str">
        <f>IF(全车数据表!AZ236="","",全车数据表!AZ236)</f>
        <v/>
      </c>
    </row>
    <row r="236" spans="1:54">
      <c r="A236" s="88">
        <f>全车数据表!A237</f>
        <v>235</v>
      </c>
      <c r="B236" s="88" t="str">
        <f>全车数据表!B237</f>
        <v>Jaguar XJ220 TWR🔑</v>
      </c>
      <c r="C236" s="89" t="str">
        <f>全车数据表!E237</f>
        <v>xj220</v>
      </c>
      <c r="D236" s="88" t="str">
        <f>IF(全车数据表!D237="","",全车数据表!D237)</f>
        <v>Jaguar</v>
      </c>
      <c r="E236" s="89" t="str">
        <f>全车数据表!H237</f>
        <v>3.4</v>
      </c>
      <c r="F236" s="89" t="str">
        <f>全车数据表!C237</f>
        <v>XJ220</v>
      </c>
      <c r="G236" s="89" t="str">
        <f>全车数据表!F237</f>
        <v>S</v>
      </c>
      <c r="H236" s="88">
        <f>LEN(全车数据表!G237)</f>
        <v>6</v>
      </c>
      <c r="I236" s="88" t="str">
        <f>VLOOKUP(全车数据表!P237,辅助计算!A:B,2,FALSE)</f>
        <v>epic</v>
      </c>
      <c r="J236" s="88" t="str">
        <f>全车数据表!Q237</f>
        <v>🔑</v>
      </c>
      <c r="K236" s="88">
        <f>全车数据表!R237</f>
        <v>30</v>
      </c>
      <c r="L236" s="88">
        <f>全车数据表!S237</f>
        <v>35</v>
      </c>
      <c r="M236" s="88">
        <f>全车数据表!T237</f>
        <v>45</v>
      </c>
      <c r="N236" s="88">
        <f>全车数据表!U237</f>
        <v>55</v>
      </c>
      <c r="O236" s="88">
        <f>全车数据表!V237</f>
        <v>85</v>
      </c>
      <c r="P236" s="88">
        <f>全车数据表!J237</f>
        <v>4175</v>
      </c>
      <c r="Q236" s="88">
        <f>全车数据表!K237</f>
        <v>383</v>
      </c>
      <c r="R236" s="88">
        <f>全车数据表!L237</f>
        <v>75.19</v>
      </c>
      <c r="S236" s="88">
        <f>全车数据表!M237</f>
        <v>60.59</v>
      </c>
      <c r="T236" s="88">
        <f>全车数据表!N237</f>
        <v>82.2</v>
      </c>
      <c r="U236" s="88">
        <f>全车数据表!O237</f>
        <v>0</v>
      </c>
      <c r="V236" s="88">
        <f>全车数据表!AL237</f>
        <v>9752400</v>
      </c>
      <c r="W236" s="88">
        <f>全车数据表!AM237</f>
        <v>35000</v>
      </c>
      <c r="X236" s="88">
        <f>全车数据表!AU237</f>
        <v>5740000</v>
      </c>
      <c r="Y236" s="88">
        <f>全车数据表!AV237</f>
        <v>15492400</v>
      </c>
      <c r="Z236" s="88">
        <f>全车数据表!AN237</f>
        <v>7</v>
      </c>
      <c r="AA236" s="88">
        <f>全车数据表!AP237</f>
        <v>5</v>
      </c>
      <c r="AB236" s="88">
        <f>全车数据表!AR237</f>
        <v>4</v>
      </c>
      <c r="AC236" s="88">
        <f>全车数据表!AW237</f>
        <v>398</v>
      </c>
      <c r="AD236" s="88">
        <f>全车数据表!AX237</f>
        <v>0</v>
      </c>
      <c r="AE236" s="88">
        <f>全车数据表!AY237</f>
        <v>535</v>
      </c>
      <c r="AF236" s="88" t="str">
        <f>IF(全车数据表!BA237="","",全车数据表!BA237)</f>
        <v>大奖赛</v>
      </c>
      <c r="AG236" s="88" t="str">
        <f>IF(全车数据表!BB237="","",全车数据表!BB237)</f>
        <v/>
      </c>
      <c r="AH236" s="88" t="str">
        <f>IF(全车数据表!BC237="","",全车数据表!BC237)</f>
        <v/>
      </c>
      <c r="AI236" s="88" t="str">
        <f>IF(全车数据表!BD237="","",全车数据表!BD237)</f>
        <v/>
      </c>
      <c r="AJ236" s="88">
        <f>IF(全车数据表!BE237="","",全车数据表!BE237)</f>
        <v>1</v>
      </c>
      <c r="AK236" s="88" t="str">
        <f>IF(全车数据表!BF237="","",全车数据表!BF237)</f>
        <v/>
      </c>
      <c r="AL236" s="88" t="str">
        <f>IF(全车数据表!BG237="","",全车数据表!BG237)</f>
        <v/>
      </c>
      <c r="AM236" s="88" t="str">
        <f>IF(全车数据表!BH237="","",全车数据表!BH237)</f>
        <v/>
      </c>
      <c r="AN236" s="88" t="str">
        <f>IF(全车数据表!BI237="","",全车数据表!BI237)</f>
        <v/>
      </c>
      <c r="AO236" s="88" t="str">
        <f>IF(全车数据表!BJ237="","",全车数据表!BJ237)</f>
        <v/>
      </c>
      <c r="AP236" s="88" t="str">
        <f>IF(全车数据表!BK237="","",全车数据表!BK237)</f>
        <v/>
      </c>
      <c r="AQ236" s="88" t="str">
        <f>IF(全车数据表!BL237="","",全车数据表!BL237)</f>
        <v/>
      </c>
      <c r="AR236" s="88">
        <f>IF(全车数据表!BM237="","",全车数据表!BM237)</f>
        <v>1</v>
      </c>
      <c r="AS236" s="88" t="str">
        <f>IF(全车数据表!BN237="","",全车数据表!BN237)</f>
        <v/>
      </c>
      <c r="AT236" s="88">
        <f>IF(全车数据表!BO237="","",全车数据表!BO237)</f>
        <v>1</v>
      </c>
      <c r="AU236" s="88">
        <f>IF(全车数据表!BP237="","",全车数据表!BP237)</f>
        <v>1</v>
      </c>
      <c r="AV236" s="88" t="str">
        <f>IF(全车数据表!BQ237="","",全车数据表!BQ237)</f>
        <v/>
      </c>
      <c r="AW236" s="88" t="str">
        <f>IF(全车数据表!BR237="","",全车数据表!BR237)</f>
        <v/>
      </c>
      <c r="AX236" s="88" t="str">
        <f>IF(全车数据表!BS237="","",全车数据表!BS237)</f>
        <v/>
      </c>
      <c r="AY236" s="88" t="str">
        <f>IF(全车数据表!BT237="","",全车数据表!BT237)</f>
        <v/>
      </c>
      <c r="AZ236" s="88">
        <f>IF(全车数据表!BU237="","",全车数据表!BU237)</f>
        <v>1</v>
      </c>
      <c r="BA236" s="88" t="str">
        <f>IF(全车数据表!BV237="","",全车数据表!BV237)</f>
        <v>捷豹</v>
      </c>
      <c r="BB236" s="91">
        <f>IF(全车数据表!AZ237="","",全车数据表!AZ237)</f>
        <v>16</v>
      </c>
    </row>
    <row r="237" spans="1:54">
      <c r="A237" s="88">
        <f>全车数据表!A238</f>
        <v>236</v>
      </c>
      <c r="B237" s="88" t="str">
        <f>全车数据表!B238</f>
        <v>Lamborghini Egoista</v>
      </c>
      <c r="C237" s="89" t="str">
        <f>全车数据表!E238</f>
        <v>egoista</v>
      </c>
      <c r="D237" s="88" t="str">
        <f>IF(全车数据表!D238="","",全车数据表!D238)</f>
        <v>Lamborghini</v>
      </c>
      <c r="E237" s="89" t="str">
        <f>全车数据表!H238</f>
        <v>1.4</v>
      </c>
      <c r="F237" s="89" t="str">
        <f>全车数据表!C238</f>
        <v>自私</v>
      </c>
      <c r="G237" s="89" t="str">
        <f>全车数据表!F238</f>
        <v>S</v>
      </c>
      <c r="H237" s="88">
        <f>LEN(全车数据表!G238)</f>
        <v>6</v>
      </c>
      <c r="I237" s="88" t="str">
        <f>VLOOKUP(全车数据表!P238,辅助计算!A:B,2,FALSE)</f>
        <v>epic</v>
      </c>
      <c r="J237" s="88">
        <f>全车数据表!Q238</f>
        <v>60</v>
      </c>
      <c r="K237" s="88">
        <f>全车数据表!R238</f>
        <v>15</v>
      </c>
      <c r="L237" s="88">
        <f>全车数据表!S238</f>
        <v>18</v>
      </c>
      <c r="M237" s="88">
        <f>全车数据表!T238</f>
        <v>25</v>
      </c>
      <c r="N237" s="88">
        <f>全车数据表!U238</f>
        <v>38</v>
      </c>
      <c r="O237" s="88">
        <f>全车数据表!V238</f>
        <v>48</v>
      </c>
      <c r="P237" s="88">
        <f>全车数据表!J238</f>
        <v>4213</v>
      </c>
      <c r="Q237" s="88">
        <f>全车数据表!K238</f>
        <v>366.1</v>
      </c>
      <c r="R237" s="88">
        <f>全车数据表!L238</f>
        <v>84.48</v>
      </c>
      <c r="S237" s="88">
        <f>全车数据表!M238</f>
        <v>61.54</v>
      </c>
      <c r="T237" s="88">
        <f>全车数据表!N238</f>
        <v>72.02</v>
      </c>
      <c r="U237" s="88">
        <f>全车数据表!O238</f>
        <v>7.516</v>
      </c>
      <c r="V237" s="88">
        <f>全车数据表!AL238</f>
        <v>12248200</v>
      </c>
      <c r="W237" s="88">
        <f>全车数据表!AM238</f>
        <v>45000</v>
      </c>
      <c r="X237" s="88">
        <f>全车数据表!AU238</f>
        <v>7380000</v>
      </c>
      <c r="Y237" s="88">
        <f>全车数据表!AV238</f>
        <v>19628200</v>
      </c>
      <c r="Z237" s="88">
        <f>全车数据表!AN238</f>
        <v>7</v>
      </c>
      <c r="AA237" s="88">
        <f>全车数据表!AP238</f>
        <v>5</v>
      </c>
      <c r="AB237" s="88">
        <f>全车数据表!AR238</f>
        <v>4</v>
      </c>
      <c r="AC237" s="88">
        <f>全车数据表!AW238</f>
        <v>381</v>
      </c>
      <c r="AD237" s="88">
        <f>全车数据表!AX238</f>
        <v>0</v>
      </c>
      <c r="AE237" s="88">
        <f>全车数据表!AY238</f>
        <v>506</v>
      </c>
      <c r="AF237" s="88" t="str">
        <f>IF(全车数据表!BA238="","",全车数据表!BA238)</f>
        <v>旧版会员</v>
      </c>
      <c r="AG237" s="88" t="str">
        <f>IF(全车数据表!BB238="","",全车数据表!BB238)</f>
        <v/>
      </c>
      <c r="AH237" s="88" t="str">
        <f>IF(全车数据表!BC238="","",全车数据表!BC238)</f>
        <v/>
      </c>
      <c r="AI237" s="88" t="str">
        <f>IF(全车数据表!BD238="","",全车数据表!BD238)</f>
        <v/>
      </c>
      <c r="AJ237" s="88">
        <f>IF(全车数据表!BE238="","",全车数据表!BE238)</f>
        <v>1</v>
      </c>
      <c r="AK237" s="88" t="str">
        <f>IF(全车数据表!BF238="","",全车数据表!BF238)</f>
        <v/>
      </c>
      <c r="AL237" s="88" t="str">
        <f>IF(全车数据表!BG238="","",全车数据表!BG238)</f>
        <v/>
      </c>
      <c r="AM237" s="88" t="str">
        <f>IF(全车数据表!BH238="","",全车数据表!BH238)</f>
        <v/>
      </c>
      <c r="AN237" s="88" t="str">
        <f>IF(全车数据表!BI238="","",全车数据表!BI238)</f>
        <v/>
      </c>
      <c r="AO237" s="88" t="str">
        <f>IF(全车数据表!BJ238="","",全车数据表!BJ238)</f>
        <v/>
      </c>
      <c r="AP237" s="88" t="str">
        <f>IF(全车数据表!BK238="","",全车数据表!BK238)</f>
        <v/>
      </c>
      <c r="AQ237" s="88" t="str">
        <f>IF(全车数据表!BL238="","",全车数据表!BL238)</f>
        <v/>
      </c>
      <c r="AR237" s="88" t="str">
        <f>IF(全车数据表!BM238="","",全车数据表!BM238)</f>
        <v/>
      </c>
      <c r="AS237" s="88" t="str">
        <f>IF(全车数据表!BN238="","",全车数据表!BN238)</f>
        <v/>
      </c>
      <c r="AT237" s="88" t="str">
        <f>IF(全车数据表!BO238="","",全车数据表!BO238)</f>
        <v/>
      </c>
      <c r="AU237" s="88">
        <f>IF(全车数据表!BP238="","",全车数据表!BP238)</f>
        <v>1</v>
      </c>
      <c r="AV237" s="88" t="str">
        <f>IF(全车数据表!BQ238="","",全车数据表!BQ238)</f>
        <v/>
      </c>
      <c r="AW237" s="88" t="str">
        <f>IF(全车数据表!BR238="","",全车数据表!BR238)</f>
        <v/>
      </c>
      <c r="AX237" s="88" t="str">
        <f>IF(全车数据表!BS238="","",全车数据表!BS238)</f>
        <v/>
      </c>
      <c r="AY237" s="88" t="str">
        <f>IF(全车数据表!BT238="","",全车数据表!BT238)</f>
        <v/>
      </c>
      <c r="AZ237" s="88">
        <f>IF(全车数据表!BU238="","",全车数据表!BU238)</f>
        <v>1</v>
      </c>
      <c r="BA237" s="88" t="str">
        <f>IF(全车数据表!BV238="","",全车数据表!BV238)</f>
        <v>兰博基尼 自私</v>
      </c>
      <c r="BB237" s="91">
        <f>IF(全车数据表!AZ238="","",全车数据表!AZ238)</f>
        <v>17</v>
      </c>
    </row>
    <row r="238" spans="1:54">
      <c r="A238" s="88">
        <f>全车数据表!A239</f>
        <v>237</v>
      </c>
      <c r="B238" s="88" t="str">
        <f>全车数据表!B239</f>
        <v>Chrysler ME412</v>
      </c>
      <c r="C238" s="89" t="str">
        <f>全车数据表!E239</f>
        <v>me412</v>
      </c>
      <c r="D238" s="88" t="str">
        <f>IF(全车数据表!D239="","",全车数据表!D239)</f>
        <v>Chrysler</v>
      </c>
      <c r="E238" s="89" t="str">
        <f>全车数据表!H239</f>
        <v>3.9</v>
      </c>
      <c r="F238" s="89" t="str">
        <f>全车数据表!C239</f>
        <v>ME412</v>
      </c>
      <c r="G238" s="89" t="str">
        <f>全车数据表!F239</f>
        <v>S</v>
      </c>
      <c r="H238" s="88">
        <f>LEN(全车数据表!G239)</f>
        <v>6</v>
      </c>
      <c r="I238" s="88" t="str">
        <f>VLOOKUP(全车数据表!P239,辅助计算!A:B,2,FALSE)</f>
        <v>epic</v>
      </c>
      <c r="J238" s="88">
        <f>全车数据表!Q239</f>
        <v>40</v>
      </c>
      <c r="K238" s="88">
        <f>全车数据表!R239</f>
        <v>45</v>
      </c>
      <c r="L238" s="88">
        <f>全车数据表!S239</f>
        <v>55</v>
      </c>
      <c r="M238" s="88">
        <f>全车数据表!T239</f>
        <v>48</v>
      </c>
      <c r="N238" s="88">
        <f>全车数据表!U239</f>
        <v>56</v>
      </c>
      <c r="O238" s="88">
        <f>全车数据表!V239</f>
        <v>56</v>
      </c>
      <c r="P238" s="88">
        <f>全车数据表!J239</f>
        <v>4241</v>
      </c>
      <c r="Q238" s="88">
        <f>全车数据表!K239</f>
        <v>399.1</v>
      </c>
      <c r="R238" s="88">
        <f>全车数据表!L239</f>
        <v>74.900000000000006</v>
      </c>
      <c r="S238" s="88">
        <f>全车数据表!M239</f>
        <v>66.52</v>
      </c>
      <c r="T238" s="88">
        <f>全车数据表!N239</f>
        <v>63.39</v>
      </c>
      <c r="U238" s="88">
        <f>全车数据表!O239</f>
        <v>0</v>
      </c>
      <c r="V238" s="88">
        <f>全车数据表!AL239</f>
        <v>12248200</v>
      </c>
      <c r="W238" s="88">
        <f>全车数据表!AM239</f>
        <v>67500</v>
      </c>
      <c r="X238" s="88">
        <f>全车数据表!AU239</f>
        <v>11070000</v>
      </c>
      <c r="Y238" s="88">
        <f>全车数据表!AV239</f>
        <v>23318200</v>
      </c>
      <c r="Z238" s="88">
        <f>全车数据表!AN239</f>
        <v>7</v>
      </c>
      <c r="AA238" s="88">
        <f>全车数据表!AP239</f>
        <v>5</v>
      </c>
      <c r="AB238" s="88">
        <f>全车数据表!AR239</f>
        <v>4</v>
      </c>
      <c r="AC238" s="88">
        <f>全车数据表!AW239</f>
        <v>415</v>
      </c>
      <c r="AD238" s="88">
        <f>全车数据表!AX239</f>
        <v>0</v>
      </c>
      <c r="AE238" s="88">
        <f>全车数据表!AY239</f>
        <v>555</v>
      </c>
      <c r="AF238" s="88" t="str">
        <f>IF(全车数据表!BA239="","",全车数据表!BA239)</f>
        <v>特殊赛事</v>
      </c>
      <c r="AG238" s="88" t="str">
        <f>IF(全车数据表!BB239="","",全车数据表!BB239)</f>
        <v/>
      </c>
      <c r="AH238" s="88" t="str">
        <f>IF(全车数据表!BC239="","",全车数据表!BC239)</f>
        <v/>
      </c>
      <c r="AI238" s="88" t="str">
        <f>IF(全车数据表!BD239="","",全车数据表!BD239)</f>
        <v/>
      </c>
      <c r="AJ238" s="88">
        <f>IF(全车数据表!BE239="","",全车数据表!BE239)</f>
        <v>1</v>
      </c>
      <c r="AK238" s="88" t="str">
        <f>IF(全车数据表!BF239="","",全车数据表!BF239)</f>
        <v/>
      </c>
      <c r="AL238" s="88" t="str">
        <f>IF(全车数据表!BG239="","",全车数据表!BG239)</f>
        <v/>
      </c>
      <c r="AM238" s="88" t="str">
        <f>IF(全车数据表!BH239="","",全车数据表!BH239)</f>
        <v/>
      </c>
      <c r="AN238" s="88" t="str">
        <f>IF(全车数据表!BI239="","",全车数据表!BI239)</f>
        <v/>
      </c>
      <c r="AO238" s="88" t="str">
        <f>IF(全车数据表!BJ239="","",全车数据表!BJ239)</f>
        <v/>
      </c>
      <c r="AP238" s="88" t="str">
        <f>IF(全车数据表!BK239="","",全车数据表!BK239)</f>
        <v/>
      </c>
      <c r="AQ238" s="88">
        <f>IF(全车数据表!BL239="","",全车数据表!BL239)</f>
        <v>1</v>
      </c>
      <c r="AR238" s="88" t="str">
        <f>IF(全车数据表!BM239="","",全车数据表!BM239)</f>
        <v/>
      </c>
      <c r="AS238" s="88" t="str">
        <f>IF(全车数据表!BN239="","",全车数据表!BN239)</f>
        <v/>
      </c>
      <c r="AT238" s="88" t="str">
        <f>IF(全车数据表!BO239="","",全车数据表!BO239)</f>
        <v/>
      </c>
      <c r="AU238" s="88" t="str">
        <f>IF(全车数据表!BP239="","",全车数据表!BP239)</f>
        <v/>
      </c>
      <c r="AV238" s="88" t="str">
        <f>IF(全车数据表!BQ239="","",全车数据表!BQ239)</f>
        <v/>
      </c>
      <c r="AW238" s="88" t="str">
        <f>IF(全车数据表!BR239="","",全车数据表!BR239)</f>
        <v/>
      </c>
      <c r="AX238" s="88" t="str">
        <f>IF(全车数据表!BS239="","",全车数据表!BS239)</f>
        <v/>
      </c>
      <c r="AY238" s="88" t="str">
        <f>IF(全车数据表!BT239="","",全车数据表!BT239)</f>
        <v/>
      </c>
      <c r="AZ238" s="88">
        <f>IF(全车数据表!BU239="","",全车数据表!BU239)</f>
        <v>1</v>
      </c>
      <c r="BA238" s="88" t="str">
        <f>IF(全车数据表!BV239="","",全车数据表!BV239)</f>
        <v>克莱斯勒</v>
      </c>
      <c r="BB238" s="91" t="str">
        <f>IF(全车数据表!AZ239="","",全车数据表!AZ239)</f>
        <v/>
      </c>
    </row>
    <row r="239" spans="1:54">
      <c r="A239" s="88">
        <f>全车数据表!A240</f>
        <v>238</v>
      </c>
      <c r="B239" s="88" t="str">
        <f>全车数据表!B240</f>
        <v>Porsche 911 GT2 RS ClubSport🔑</v>
      </c>
      <c r="C239" s="89" t="str">
        <f>全车数据表!E240</f>
        <v>911gt2</v>
      </c>
      <c r="D239" s="88" t="str">
        <f>IF(全车数据表!D240="","",全车数据表!D240)</f>
        <v>Porsche</v>
      </c>
      <c r="E239" s="89" t="str">
        <f>全车数据表!H240</f>
        <v>2.3</v>
      </c>
      <c r="F239" s="89" t="str">
        <f>全车数据表!C240</f>
        <v>911GT2</v>
      </c>
      <c r="G239" s="89" t="str">
        <f>全车数据表!F240</f>
        <v>S</v>
      </c>
      <c r="H239" s="88">
        <f>LEN(全车数据表!G240)</f>
        <v>6</v>
      </c>
      <c r="I239" s="88" t="str">
        <f>VLOOKUP(全车数据表!P240,辅助计算!A:B,2,FALSE)</f>
        <v>epic</v>
      </c>
      <c r="J239" s="88" t="str">
        <f>全车数据表!Q240</f>
        <v>🔑</v>
      </c>
      <c r="K239" s="88">
        <f>全车数据表!R240</f>
        <v>28</v>
      </c>
      <c r="L239" s="88">
        <f>全车数据表!S240</f>
        <v>32</v>
      </c>
      <c r="M239" s="88">
        <f>全车数据表!T240</f>
        <v>44</v>
      </c>
      <c r="N239" s="88">
        <f>全车数据表!U240</f>
        <v>59</v>
      </c>
      <c r="O239" s="88">
        <f>全车数据表!V240</f>
        <v>86</v>
      </c>
      <c r="P239" s="88">
        <f>全车数据表!J240</f>
        <v>4289</v>
      </c>
      <c r="Q239" s="88">
        <f>全车数据表!K240</f>
        <v>357.2</v>
      </c>
      <c r="R239" s="88">
        <f>全车数据表!L240</f>
        <v>83.75</v>
      </c>
      <c r="S239" s="88">
        <f>全车数据表!M240</f>
        <v>85.71</v>
      </c>
      <c r="T239" s="88">
        <f>全车数据表!N240</f>
        <v>73.930000000000007</v>
      </c>
      <c r="U239" s="88">
        <f>全车数据表!O240</f>
        <v>0</v>
      </c>
      <c r="V239" s="88">
        <f>全车数据表!AL240</f>
        <v>12248200</v>
      </c>
      <c r="W239" s="88">
        <f>全车数据表!AM240</f>
        <v>45000</v>
      </c>
      <c r="X239" s="88">
        <f>全车数据表!AU240</f>
        <v>7380000</v>
      </c>
      <c r="Y239" s="88">
        <f>全车数据表!AV240</f>
        <v>19628200</v>
      </c>
      <c r="Z239" s="88">
        <f>全车数据表!AN240</f>
        <v>7</v>
      </c>
      <c r="AA239" s="88">
        <f>全车数据表!AP240</f>
        <v>5</v>
      </c>
      <c r="AB239" s="88">
        <f>全车数据表!AR240</f>
        <v>4</v>
      </c>
      <c r="AC239" s="88">
        <f>全车数据表!AW240</f>
        <v>373</v>
      </c>
      <c r="AD239" s="88">
        <f>全车数据表!AX240</f>
        <v>0</v>
      </c>
      <c r="AE239" s="88">
        <f>全车数据表!AY240</f>
        <v>493</v>
      </c>
      <c r="AF239" s="88" t="str">
        <f>IF(全车数据表!BA240="","",全车数据表!BA240)</f>
        <v>大奖赛</v>
      </c>
      <c r="AG239" s="88" t="str">
        <f>IF(全车数据表!BB240="","",全车数据表!BB240)</f>
        <v/>
      </c>
      <c r="AH239" s="88" t="str">
        <f>IF(全车数据表!BC240="","",全车数据表!BC240)</f>
        <v/>
      </c>
      <c r="AI239" s="88" t="str">
        <f>IF(全车数据表!BD240="","",全车数据表!BD240)</f>
        <v/>
      </c>
      <c r="AJ239" s="88">
        <f>IF(全车数据表!BE240="","",全车数据表!BE240)</f>
        <v>1</v>
      </c>
      <c r="AK239" s="88" t="str">
        <f>IF(全车数据表!BF240="","",全车数据表!BF240)</f>
        <v/>
      </c>
      <c r="AL239" s="88" t="str">
        <f>IF(全车数据表!BG240="","",全车数据表!BG240)</f>
        <v/>
      </c>
      <c r="AM239" s="88" t="str">
        <f>IF(全车数据表!BH240="","",全车数据表!BH240)</f>
        <v/>
      </c>
      <c r="AN239" s="88" t="str">
        <f>IF(全车数据表!BI240="","",全车数据表!BI240)</f>
        <v/>
      </c>
      <c r="AO239" s="88" t="str">
        <f>IF(全车数据表!BJ240="","",全车数据表!BJ240)</f>
        <v/>
      </c>
      <c r="AP239" s="88" t="str">
        <f>IF(全车数据表!BK240="","",全车数据表!BK240)</f>
        <v/>
      </c>
      <c r="AQ239" s="88" t="str">
        <f>IF(全车数据表!BL240="","",全车数据表!BL240)</f>
        <v/>
      </c>
      <c r="AR239" s="88">
        <f>IF(全车数据表!BM240="","",全车数据表!BM240)</f>
        <v>1</v>
      </c>
      <c r="AS239" s="88" t="str">
        <f>IF(全车数据表!BN240="","",全车数据表!BN240)</f>
        <v/>
      </c>
      <c r="AT239" s="88">
        <f>IF(全车数据表!BO240="","",全车数据表!BO240)</f>
        <v>1</v>
      </c>
      <c r="AU239" s="88">
        <f>IF(全车数据表!BP240="","",全车数据表!BP240)</f>
        <v>1</v>
      </c>
      <c r="AV239" s="88" t="str">
        <f>IF(全车数据表!BQ240="","",全车数据表!BQ240)</f>
        <v/>
      </c>
      <c r="AW239" s="88" t="str">
        <f>IF(全车数据表!BR240="","",全车数据表!BR240)</f>
        <v/>
      </c>
      <c r="AX239" s="88" t="str">
        <f>IF(全车数据表!BS240="","",全车数据表!BS240)</f>
        <v/>
      </c>
      <c r="AY239" s="88">
        <f>IF(全车数据表!BT240="","",全车数据表!BT240)</f>
        <v>1</v>
      </c>
      <c r="AZ239" s="88">
        <f>IF(全车数据表!BU240="","",全车数据表!BU240)</f>
        <v>1</v>
      </c>
      <c r="BA239" s="88" t="str">
        <f>IF(全车数据表!BV240="","",全车数据表!BV240)</f>
        <v>保时捷</v>
      </c>
      <c r="BB239" s="91">
        <f>IF(全车数据表!AZ240="","",全车数据表!AZ240)</f>
        <v>17</v>
      </c>
    </row>
    <row r="240" spans="1:54">
      <c r="A240" s="88">
        <f>全车数据表!A241</f>
        <v>239</v>
      </c>
      <c r="B240" s="88" t="str">
        <f>全车数据表!B241</f>
        <v>Pagani Huayra BC</v>
      </c>
      <c r="C240" s="89" t="str">
        <f>全车数据表!E241</f>
        <v>bc</v>
      </c>
      <c r="D240" s="88" t="str">
        <f>IF(全车数据表!D241="","",全车数据表!D241)</f>
        <v>Pagani</v>
      </c>
      <c r="E240" s="89" t="str">
        <f>全车数据表!H241</f>
        <v>1.4</v>
      </c>
      <c r="F240" s="89" t="str">
        <f>全车数据表!C241</f>
        <v>BC</v>
      </c>
      <c r="G240" s="89" t="str">
        <f>全车数据表!F241</f>
        <v>S</v>
      </c>
      <c r="H240" s="88">
        <f>LEN(全车数据表!G241)</f>
        <v>6</v>
      </c>
      <c r="I240" s="88" t="str">
        <f>VLOOKUP(全车数据表!P241,辅助计算!A:B,2,FALSE)</f>
        <v>epic</v>
      </c>
      <c r="J240" s="88">
        <f>全车数据表!Q241</f>
        <v>60</v>
      </c>
      <c r="K240" s="88">
        <f>全车数据表!R241</f>
        <v>15</v>
      </c>
      <c r="L240" s="88">
        <f>全车数据表!S241</f>
        <v>18</v>
      </c>
      <c r="M240" s="88">
        <f>全车数据表!T241</f>
        <v>25</v>
      </c>
      <c r="N240" s="88">
        <f>全车数据表!U241</f>
        <v>38</v>
      </c>
      <c r="O240" s="88">
        <f>全车数据表!V241</f>
        <v>48</v>
      </c>
      <c r="P240" s="88">
        <f>全车数据表!J241</f>
        <v>4292</v>
      </c>
      <c r="Q240" s="88">
        <f>全车数据表!K241</f>
        <v>365.4</v>
      </c>
      <c r="R240" s="88">
        <f>全车数据表!L241</f>
        <v>80.040000000000006</v>
      </c>
      <c r="S240" s="88">
        <f>全车数据表!M241</f>
        <v>63.11</v>
      </c>
      <c r="T240" s="88">
        <f>全车数据表!N241</f>
        <v>86.75</v>
      </c>
      <c r="U240" s="88">
        <f>全车数据表!O241</f>
        <v>11.832000000000001</v>
      </c>
      <c r="V240" s="88">
        <f>全车数据表!AL241</f>
        <v>12248200</v>
      </c>
      <c r="W240" s="88">
        <f>全车数据表!AM241</f>
        <v>45000</v>
      </c>
      <c r="X240" s="88">
        <f>全车数据表!AU241</f>
        <v>7380000</v>
      </c>
      <c r="Y240" s="88">
        <f>全车数据表!AV241</f>
        <v>19628200</v>
      </c>
      <c r="Z240" s="88">
        <f>全车数据表!AN241</f>
        <v>7</v>
      </c>
      <c r="AA240" s="88">
        <f>全车数据表!AP241</f>
        <v>5</v>
      </c>
      <c r="AB240" s="88">
        <f>全车数据表!AR241</f>
        <v>4</v>
      </c>
      <c r="AC240" s="88">
        <f>全车数据表!AW241</f>
        <v>380</v>
      </c>
      <c r="AD240" s="88">
        <f>全车数据表!AX241</f>
        <v>0</v>
      </c>
      <c r="AE240" s="88">
        <f>全车数据表!AY241</f>
        <v>504</v>
      </c>
      <c r="AF240" s="88" t="str">
        <f>IF(全车数据表!BA241="","",全车数据表!BA241)</f>
        <v>旧版会员</v>
      </c>
      <c r="AG240" s="88" t="str">
        <f>IF(全车数据表!BB241="","",全车数据表!BB241)</f>
        <v/>
      </c>
      <c r="AH240" s="88" t="str">
        <f>IF(全车数据表!BC241="","",全车数据表!BC241)</f>
        <v/>
      </c>
      <c r="AI240" s="88" t="str">
        <f>IF(全车数据表!BD241="","",全车数据表!BD241)</f>
        <v/>
      </c>
      <c r="AJ240" s="88">
        <f>IF(全车数据表!BE241="","",全车数据表!BE241)</f>
        <v>1</v>
      </c>
      <c r="AK240" s="88" t="str">
        <f>IF(全车数据表!BF241="","",全车数据表!BF241)</f>
        <v/>
      </c>
      <c r="AL240" s="88" t="str">
        <f>IF(全车数据表!BG241="","",全车数据表!BG241)</f>
        <v/>
      </c>
      <c r="AM240" s="88" t="str">
        <f>IF(全车数据表!BH241="","",全车数据表!BH241)</f>
        <v/>
      </c>
      <c r="AN240" s="88" t="str">
        <f>IF(全车数据表!BI241="","",全车数据表!BI241)</f>
        <v/>
      </c>
      <c r="AO240" s="88" t="str">
        <f>IF(全车数据表!BJ241="","",全车数据表!BJ241)</f>
        <v/>
      </c>
      <c r="AP240" s="88" t="str">
        <f>IF(全车数据表!BK241="","",全车数据表!BK241)</f>
        <v/>
      </c>
      <c r="AQ240" s="88" t="str">
        <f>IF(全车数据表!BL241="","",全车数据表!BL241)</f>
        <v/>
      </c>
      <c r="AR240" s="88" t="str">
        <f>IF(全车数据表!BM241="","",全车数据表!BM241)</f>
        <v/>
      </c>
      <c r="AS240" s="88" t="str">
        <f>IF(全车数据表!BN241="","",全车数据表!BN241)</f>
        <v/>
      </c>
      <c r="AT240" s="88" t="str">
        <f>IF(全车数据表!BO241="","",全车数据表!BO241)</f>
        <v/>
      </c>
      <c r="AU240" s="88" t="str">
        <f>IF(全车数据表!BP241="","",全车数据表!BP241)</f>
        <v/>
      </c>
      <c r="AV240" s="88" t="str">
        <f>IF(全车数据表!BQ241="","",全车数据表!BQ241)</f>
        <v>1款</v>
      </c>
      <c r="AW240" s="88" t="str">
        <f>IF(全车数据表!BR241="","",全车数据表!BR241)</f>
        <v/>
      </c>
      <c r="AX240" s="88" t="str">
        <f>IF(全车数据表!BS241="","",全车数据表!BS241)</f>
        <v/>
      </c>
      <c r="AY240" s="88" t="str">
        <f>IF(全车数据表!BT241="","",全车数据表!BT241)</f>
        <v/>
      </c>
      <c r="AZ240" s="88">
        <f>IF(全车数据表!BU241="","",全车数据表!BU241)</f>
        <v>1</v>
      </c>
      <c r="BA240" s="88" t="str">
        <f>IF(全车数据表!BV241="","",全车数据表!BV241)</f>
        <v>帕加尼 风神</v>
      </c>
      <c r="BB240" s="91">
        <f>IF(全车数据表!AZ241="","",全车数据表!AZ241)</f>
        <v>18</v>
      </c>
    </row>
    <row r="241" spans="1:54">
      <c r="A241" s="88">
        <f>全车数据表!A242</f>
        <v>240</v>
      </c>
      <c r="B241" s="88" t="str">
        <f>全车数据表!B242</f>
        <v>Ferrari LaFerrari Aperta</v>
      </c>
      <c r="C241" s="89" t="str">
        <f>全车数据表!E242</f>
        <v>aperta</v>
      </c>
      <c r="D241" s="88" t="str">
        <f>IF(全车数据表!D242="","",全车数据表!D242)</f>
        <v>Ferrari</v>
      </c>
      <c r="E241" s="89" t="str">
        <f>全车数据表!H242</f>
        <v>1.7</v>
      </c>
      <c r="F241" s="89" t="str">
        <f>全车数据表!C242</f>
        <v>黑拉法</v>
      </c>
      <c r="G241" s="89" t="str">
        <f>全车数据表!F242</f>
        <v>S</v>
      </c>
      <c r="H241" s="88">
        <f>LEN(全车数据表!G242)</f>
        <v>6</v>
      </c>
      <c r="I241" s="88" t="str">
        <f>VLOOKUP(全车数据表!P242,辅助计算!A:B,2,FALSE)</f>
        <v>epic</v>
      </c>
      <c r="J241" s="88">
        <f>全车数据表!Q242</f>
        <v>30</v>
      </c>
      <c r="K241" s="88">
        <f>全车数据表!R242</f>
        <v>30</v>
      </c>
      <c r="L241" s="88">
        <f>全车数据表!S242</f>
        <v>30</v>
      </c>
      <c r="M241" s="88">
        <f>全车数据表!T242</f>
        <v>35</v>
      </c>
      <c r="N241" s="88">
        <f>全车数据表!U242</f>
        <v>35</v>
      </c>
      <c r="O241" s="88">
        <f>全车数据表!V242</f>
        <v>40</v>
      </c>
      <c r="P241" s="88">
        <f>全车数据表!J242</f>
        <v>4293</v>
      </c>
      <c r="Q241" s="88">
        <f>全车数据表!K242</f>
        <v>366.2</v>
      </c>
      <c r="R241" s="88">
        <f>全车数据表!L242</f>
        <v>81.03</v>
      </c>
      <c r="S241" s="88">
        <f>全车数据表!M242</f>
        <v>82.48</v>
      </c>
      <c r="T241" s="88">
        <f>全车数据表!N242</f>
        <v>70.099999999999994</v>
      </c>
      <c r="U241" s="88">
        <f>全车数据表!O242</f>
        <v>7.2</v>
      </c>
      <c r="V241" s="88">
        <f>全车数据表!AL242</f>
        <v>12248200</v>
      </c>
      <c r="W241" s="88">
        <f>全车数据表!AM242</f>
        <v>45000</v>
      </c>
      <c r="X241" s="88">
        <f>全车数据表!AU242</f>
        <v>7380000</v>
      </c>
      <c r="Y241" s="88">
        <f>全车数据表!AV242</f>
        <v>19628200</v>
      </c>
      <c r="Z241" s="88">
        <f>全车数据表!AN242</f>
        <v>7</v>
      </c>
      <c r="AA241" s="88">
        <f>全车数据表!AP242</f>
        <v>5</v>
      </c>
      <c r="AB241" s="88">
        <f>全车数据表!AR242</f>
        <v>4</v>
      </c>
      <c r="AC241" s="88">
        <f>全车数据表!AW242</f>
        <v>381</v>
      </c>
      <c r="AD241" s="88">
        <f>全车数据表!AX242</f>
        <v>0</v>
      </c>
      <c r="AE241" s="88">
        <f>全车数据表!AY242</f>
        <v>506</v>
      </c>
      <c r="AF241" s="88" t="str">
        <f>IF(全车数据表!BA242="","",全车数据表!BA242)</f>
        <v>旧版会员</v>
      </c>
      <c r="AG241" s="88" t="str">
        <f>IF(全车数据表!BB242="","",全车数据表!BB242)</f>
        <v/>
      </c>
      <c r="AH241" s="88" t="str">
        <f>IF(全车数据表!BC242="","",全车数据表!BC242)</f>
        <v/>
      </c>
      <c r="AI241" s="88" t="str">
        <f>IF(全车数据表!BD242="","",全车数据表!BD242)</f>
        <v/>
      </c>
      <c r="AJ241" s="88">
        <f>IF(全车数据表!BE242="","",全车数据表!BE242)</f>
        <v>1</v>
      </c>
      <c r="AK241" s="88" t="str">
        <f>IF(全车数据表!BF242="","",全车数据表!BF242)</f>
        <v/>
      </c>
      <c r="AL241" s="88" t="str">
        <f>IF(全车数据表!BG242="","",全车数据表!BG242)</f>
        <v/>
      </c>
      <c r="AM241" s="88" t="str">
        <f>IF(全车数据表!BH242="","",全车数据表!BH242)</f>
        <v/>
      </c>
      <c r="AN241" s="88" t="str">
        <f>IF(全车数据表!BI242="","",全车数据表!BI242)</f>
        <v/>
      </c>
      <c r="AO241" s="88" t="str">
        <f>IF(全车数据表!BJ242="","",全车数据表!BJ242)</f>
        <v/>
      </c>
      <c r="AP241" s="88" t="str">
        <f>IF(全车数据表!BK242="","",全车数据表!BK242)</f>
        <v/>
      </c>
      <c r="AQ241" s="88" t="str">
        <f>IF(全车数据表!BL242="","",全车数据表!BL242)</f>
        <v/>
      </c>
      <c r="AR241" s="88" t="str">
        <f>IF(全车数据表!BM242="","",全车数据表!BM242)</f>
        <v/>
      </c>
      <c r="AS241" s="88" t="str">
        <f>IF(全车数据表!BN242="","",全车数据表!BN242)</f>
        <v/>
      </c>
      <c r="AT241" s="88" t="str">
        <f>IF(全车数据表!BO242="","",全车数据表!BO242)</f>
        <v/>
      </c>
      <c r="AU241" s="88">
        <f>IF(全车数据表!BP242="","",全车数据表!BP242)</f>
        <v>1</v>
      </c>
      <c r="AV241" s="88" t="str">
        <f>IF(全车数据表!BQ242="","",全车数据表!BQ242)</f>
        <v/>
      </c>
      <c r="AW241" s="88" t="str">
        <f>IF(全车数据表!BR242="","",全车数据表!BR242)</f>
        <v/>
      </c>
      <c r="AX241" s="88" t="str">
        <f>IF(全车数据表!BS242="","",全车数据表!BS242)</f>
        <v>无顶</v>
      </c>
      <c r="AY241" s="88" t="str">
        <f>IF(全车数据表!BT242="","",全车数据表!BT242)</f>
        <v/>
      </c>
      <c r="AZ241" s="88">
        <f>IF(全车数据表!BU242="","",全车数据表!BU242)</f>
        <v>1</v>
      </c>
      <c r="BA241" s="88" t="str">
        <f>IF(全车数据表!BV242="","",全车数据表!BV242)</f>
        <v>法拉利 敞篷拉法 黑拉法</v>
      </c>
      <c r="BB241" s="91">
        <f>IF(全车数据表!AZ242="","",全车数据表!AZ242)</f>
        <v>18</v>
      </c>
    </row>
    <row r="242" spans="1:54">
      <c r="A242" s="88">
        <f>全车数据表!A243</f>
        <v>241</v>
      </c>
      <c r="B242" s="88" t="str">
        <f>全车数据表!B243</f>
        <v>Zenvo TSR-S🔑</v>
      </c>
      <c r="C242" s="89" t="str">
        <f>全车数据表!E243</f>
        <v>tsr-s</v>
      </c>
      <c r="D242" s="88" t="str">
        <f>IF(全车数据表!D243="","",全车数据表!D243)</f>
        <v>Zenvo</v>
      </c>
      <c r="E242" s="89" t="str">
        <f>全车数据表!H243</f>
        <v>3.0</v>
      </c>
      <c r="F242" s="89" t="str">
        <f>全车数据表!C243</f>
        <v>TSR-S</v>
      </c>
      <c r="G242" s="89" t="str">
        <f>全车数据表!F243</f>
        <v>S</v>
      </c>
      <c r="H242" s="88">
        <f>LEN(全车数据表!G243)</f>
        <v>6</v>
      </c>
      <c r="I242" s="88" t="str">
        <f>VLOOKUP(全车数据表!P243,辅助计算!A:B,2,FALSE)</f>
        <v>epic</v>
      </c>
      <c r="J242" s="88" t="str">
        <f>全车数据表!Q243</f>
        <v>🔑</v>
      </c>
      <c r="K242" s="88">
        <f>全车数据表!R243</f>
        <v>30</v>
      </c>
      <c r="L242" s="88">
        <f>全车数据表!S243</f>
        <v>35</v>
      </c>
      <c r="M242" s="88">
        <f>全车数据表!T243</f>
        <v>45</v>
      </c>
      <c r="N242" s="88">
        <f>全车数据表!U243</f>
        <v>55</v>
      </c>
      <c r="O242" s="88">
        <f>全车数据表!V243</f>
        <v>85</v>
      </c>
      <c r="P242" s="88">
        <f>全车数据表!J243</f>
        <v>4301</v>
      </c>
      <c r="Q242" s="88">
        <f>全车数据表!K243</f>
        <v>353.8</v>
      </c>
      <c r="R242" s="88">
        <f>全车数据表!L243</f>
        <v>85.32</v>
      </c>
      <c r="S242" s="88">
        <f>全车数据表!M243</f>
        <v>74.39</v>
      </c>
      <c r="T242" s="88">
        <f>全车数据表!N243</f>
        <v>69</v>
      </c>
      <c r="U242" s="88">
        <f>全车数据表!O243</f>
        <v>0</v>
      </c>
      <c r="V242" s="88">
        <f>全车数据表!AL243</f>
        <v>12248200</v>
      </c>
      <c r="W242" s="88">
        <f>全车数据表!AM243</f>
        <v>45000</v>
      </c>
      <c r="X242" s="88">
        <f>全车数据表!AU243</f>
        <v>7380000</v>
      </c>
      <c r="Y242" s="88">
        <f>全车数据表!AV243</f>
        <v>19628200</v>
      </c>
      <c r="Z242" s="88">
        <f>全车数据表!AN243</f>
        <v>7</v>
      </c>
      <c r="AA242" s="88">
        <f>全车数据表!AP243</f>
        <v>5</v>
      </c>
      <c r="AB242" s="88">
        <f>全车数据表!AR243</f>
        <v>4</v>
      </c>
      <c r="AC242" s="88">
        <f>全车数据表!AW243</f>
        <v>368</v>
      </c>
      <c r="AD242" s="88">
        <f>全车数据表!AX243</f>
        <v>378</v>
      </c>
      <c r="AE242" s="88">
        <f>全车数据表!AY243</f>
        <v>498</v>
      </c>
      <c r="AF242" s="88" t="str">
        <f>IF(全车数据表!BA243="","",全车数据表!BA243)</f>
        <v>大奖赛</v>
      </c>
      <c r="AG242" s="88" t="str">
        <f>IF(全车数据表!BB243="","",全车数据表!BB243)</f>
        <v/>
      </c>
      <c r="AH242" s="88" t="str">
        <f>IF(全车数据表!BC243="","",全车数据表!BC243)</f>
        <v/>
      </c>
      <c r="AI242" s="88" t="str">
        <f>IF(全车数据表!BD243="","",全车数据表!BD243)</f>
        <v/>
      </c>
      <c r="AJ242" s="88">
        <f>IF(全车数据表!BE243="","",全车数据表!BE243)</f>
        <v>1</v>
      </c>
      <c r="AK242" s="88" t="str">
        <f>IF(全车数据表!BF243="","",全车数据表!BF243)</f>
        <v/>
      </c>
      <c r="AL242" s="88" t="str">
        <f>IF(全车数据表!BG243="","",全车数据表!BG243)</f>
        <v/>
      </c>
      <c r="AM242" s="88" t="str">
        <f>IF(全车数据表!BH243="","",全车数据表!BH243)</f>
        <v/>
      </c>
      <c r="AN242" s="88" t="str">
        <f>IF(全车数据表!BI243="","",全车数据表!BI243)</f>
        <v/>
      </c>
      <c r="AO242" s="88" t="str">
        <f>IF(全车数据表!BJ243="","",全车数据表!BJ243)</f>
        <v/>
      </c>
      <c r="AP242" s="88" t="str">
        <f>IF(全车数据表!BK243="","",全车数据表!BK243)</f>
        <v/>
      </c>
      <c r="AQ242" s="88" t="str">
        <f>IF(全车数据表!BL243="","",全车数据表!BL243)</f>
        <v/>
      </c>
      <c r="AR242" s="88">
        <f>IF(全车数据表!BM243="","",全车数据表!BM243)</f>
        <v>1</v>
      </c>
      <c r="AS242" s="88" t="str">
        <f>IF(全车数据表!BN243="","",全车数据表!BN243)</f>
        <v/>
      </c>
      <c r="AT242" s="88">
        <f>IF(全车数据表!BO243="","",全车数据表!BO243)</f>
        <v>1</v>
      </c>
      <c r="AU242" s="88" t="str">
        <f>IF(全车数据表!BP243="","",全车数据表!BP243)</f>
        <v/>
      </c>
      <c r="AV242" s="88" t="str">
        <f>IF(全车数据表!BQ243="","",全车数据表!BQ243)</f>
        <v>1款</v>
      </c>
      <c r="AW242" s="88" t="str">
        <f>IF(全车数据表!BR243="","",全车数据表!BR243)</f>
        <v/>
      </c>
      <c r="AX242" s="88" t="str">
        <f>IF(全车数据表!BS243="","",全车数据表!BS243)</f>
        <v/>
      </c>
      <c r="AY242" s="88" t="str">
        <f>IF(全车数据表!BT243="","",全车数据表!BT243)</f>
        <v/>
      </c>
      <c r="AZ242" s="88">
        <f>IF(全车数据表!BU243="","",全车数据表!BU243)</f>
        <v>1</v>
      </c>
      <c r="BA242" s="88" t="str">
        <f>IF(全车数据表!BV243="","",全车数据表!BV243)</f>
        <v>小自燃 摇摆</v>
      </c>
      <c r="BB242" s="91">
        <f>IF(全车数据表!AZ243="","",全车数据表!AZ243)</f>
        <v>14</v>
      </c>
    </row>
    <row r="243" spans="1:54">
      <c r="A243" s="88">
        <f>全车数据表!A244</f>
        <v>242</v>
      </c>
      <c r="B243" s="88" t="str">
        <f>全车数据表!B244</f>
        <v>Mclaren F1 LM🔑</v>
      </c>
      <c r="C243" s="89" t="str">
        <f>全车数据表!E244</f>
        <v>f1</v>
      </c>
      <c r="D243" s="88" t="str">
        <f>IF(全车数据表!D244="","",全车数据表!D244)</f>
        <v>McLaren</v>
      </c>
      <c r="E243" s="89" t="str">
        <f>全车数据表!H244</f>
        <v>2.5</v>
      </c>
      <c r="F243" s="89" t="str">
        <f>全车数据表!C244</f>
        <v>F1</v>
      </c>
      <c r="G243" s="89" t="str">
        <f>全车数据表!F244</f>
        <v>S</v>
      </c>
      <c r="H243" s="88">
        <f>LEN(全车数据表!G244)</f>
        <v>6</v>
      </c>
      <c r="I243" s="88" t="str">
        <f>VLOOKUP(全车数据表!P244,辅助计算!A:B,2,FALSE)</f>
        <v>epic</v>
      </c>
      <c r="J243" s="88" t="str">
        <f>全车数据表!Q244</f>
        <v>🔑</v>
      </c>
      <c r="K243" s="88">
        <f>全车数据表!R244</f>
        <v>30</v>
      </c>
      <c r="L243" s="88">
        <f>全车数据表!S244</f>
        <v>35</v>
      </c>
      <c r="M243" s="88">
        <f>全车数据表!T244</f>
        <v>45</v>
      </c>
      <c r="N243" s="88">
        <f>全车数据表!U244</f>
        <v>55</v>
      </c>
      <c r="O243" s="88">
        <f>全车数据表!V244</f>
        <v>85</v>
      </c>
      <c r="P243" s="88">
        <f>全车数据表!J244</f>
        <v>4301</v>
      </c>
      <c r="Q243" s="88">
        <f>全车数据表!K244</f>
        <v>377</v>
      </c>
      <c r="R243" s="88">
        <f>全车数据表!L244</f>
        <v>74.66</v>
      </c>
      <c r="S243" s="88">
        <f>全车数据表!M244</f>
        <v>66.61</v>
      </c>
      <c r="T243" s="88">
        <f>全车数据表!N244</f>
        <v>73.12</v>
      </c>
      <c r="U243" s="88">
        <f>全车数据表!O244</f>
        <v>0</v>
      </c>
      <c r="V243" s="88">
        <f>全车数据表!AL244</f>
        <v>12248200</v>
      </c>
      <c r="W243" s="88">
        <f>全车数据表!AM244</f>
        <v>45000</v>
      </c>
      <c r="X243" s="88">
        <f>全车数据表!AU244</f>
        <v>7380000</v>
      </c>
      <c r="Y243" s="88">
        <f>全车数据表!AV244</f>
        <v>19628200</v>
      </c>
      <c r="Z243" s="88">
        <f>全车数据表!AN244</f>
        <v>7</v>
      </c>
      <c r="AA243" s="88">
        <f>全车数据表!AP244</f>
        <v>5</v>
      </c>
      <c r="AB243" s="88">
        <f>全车数据表!AR244</f>
        <v>4</v>
      </c>
      <c r="AC243" s="88">
        <f>全车数据表!AW244</f>
        <v>392</v>
      </c>
      <c r="AD243" s="88">
        <f>全车数据表!AX244</f>
        <v>0</v>
      </c>
      <c r="AE243" s="88">
        <f>全车数据表!AY244</f>
        <v>525</v>
      </c>
      <c r="AF243" s="88" t="str">
        <f>IF(全车数据表!BA244="","",全车数据表!BA244)</f>
        <v>大奖赛</v>
      </c>
      <c r="AG243" s="88" t="str">
        <f>IF(全车数据表!BB244="","",全车数据表!BB244)</f>
        <v/>
      </c>
      <c r="AH243" s="88" t="str">
        <f>IF(全车数据表!BC244="","",全车数据表!BC244)</f>
        <v/>
      </c>
      <c r="AI243" s="88" t="str">
        <f>IF(全车数据表!BD244="","",全车数据表!BD244)</f>
        <v/>
      </c>
      <c r="AJ243" s="88">
        <f>IF(全车数据表!BE244="","",全车数据表!BE244)</f>
        <v>1</v>
      </c>
      <c r="AK243" s="88" t="str">
        <f>IF(全车数据表!BF244="","",全车数据表!BF244)</f>
        <v/>
      </c>
      <c r="AL243" s="88" t="str">
        <f>IF(全车数据表!BG244="","",全车数据表!BG244)</f>
        <v/>
      </c>
      <c r="AM243" s="88" t="str">
        <f>IF(全车数据表!BH244="","",全车数据表!BH244)</f>
        <v/>
      </c>
      <c r="AN243" s="88" t="str">
        <f>IF(全车数据表!BI244="","",全车数据表!BI244)</f>
        <v/>
      </c>
      <c r="AO243" s="88" t="str">
        <f>IF(全车数据表!BJ244="","",全车数据表!BJ244)</f>
        <v/>
      </c>
      <c r="AP243" s="88" t="str">
        <f>IF(全车数据表!BK244="","",全车数据表!BK244)</f>
        <v/>
      </c>
      <c r="AQ243" s="88" t="str">
        <f>IF(全车数据表!BL244="","",全车数据表!BL244)</f>
        <v/>
      </c>
      <c r="AR243" s="88">
        <f>IF(全车数据表!BM244="","",全车数据表!BM244)</f>
        <v>1</v>
      </c>
      <c r="AS243" s="88" t="str">
        <f>IF(全车数据表!BN244="","",全车数据表!BN244)</f>
        <v/>
      </c>
      <c r="AT243" s="88">
        <f>IF(全车数据表!BO244="","",全车数据表!BO244)</f>
        <v>1</v>
      </c>
      <c r="AU243" s="88">
        <f>IF(全车数据表!BP244="","",全车数据表!BP244)</f>
        <v>1</v>
      </c>
      <c r="AV243" s="88" t="str">
        <f>IF(全车数据表!BQ244="","",全车数据表!BQ244)</f>
        <v>1款</v>
      </c>
      <c r="AW243" s="88" t="str">
        <f>IF(全车数据表!BR244="","",全车数据表!BR244)</f>
        <v/>
      </c>
      <c r="AX243" s="88" t="str">
        <f>IF(全车数据表!BS244="","",全车数据表!BS244)</f>
        <v/>
      </c>
      <c r="AY243" s="88" t="str">
        <f>IF(全车数据表!BT244="","",全车数据表!BT244)</f>
        <v/>
      </c>
      <c r="AZ243" s="88">
        <f>IF(全车数据表!BU244="","",全车数据表!BU244)</f>
        <v>1</v>
      </c>
      <c r="BA243" s="88" t="str">
        <f>IF(全车数据表!BV244="","",全车数据表!BV244)</f>
        <v>迈凯伦</v>
      </c>
      <c r="BB243" s="91">
        <f>IF(全车数据表!AZ244="","",全车数据表!AZ244)</f>
        <v>15</v>
      </c>
    </row>
    <row r="244" spans="1:54">
      <c r="A244" s="88">
        <f>全车数据表!A245</f>
        <v>243</v>
      </c>
      <c r="B244" s="88" t="str">
        <f>全车数据表!B245</f>
        <v>Ferrari F8 Tributo</v>
      </c>
      <c r="C244" s="89" t="str">
        <f>全车数据表!E245</f>
        <v>f8</v>
      </c>
      <c r="D244" s="88" t="str">
        <f>IF(全车数据表!D245="","",全车数据表!D245)</f>
        <v>Ferrari</v>
      </c>
      <c r="E244" s="89" t="str">
        <f>全车数据表!H245</f>
        <v>2.6</v>
      </c>
      <c r="F244" s="89" t="str">
        <f>全车数据表!C245</f>
        <v>F8</v>
      </c>
      <c r="G244" s="89" t="str">
        <f>全车数据表!F245</f>
        <v>S</v>
      </c>
      <c r="H244" s="88">
        <f>LEN(全车数据表!G245)</f>
        <v>6</v>
      </c>
      <c r="I244" s="88" t="str">
        <f>VLOOKUP(全车数据表!P245,辅助计算!A:B,2,FALSE)</f>
        <v>epic</v>
      </c>
      <c r="J244" s="88">
        <f>全车数据表!Q245</f>
        <v>40</v>
      </c>
      <c r="K244" s="88">
        <f>全车数据表!R245</f>
        <v>30</v>
      </c>
      <c r="L244" s="88">
        <f>全车数据表!S245</f>
        <v>35</v>
      </c>
      <c r="M244" s="88">
        <f>全车数据表!T245</f>
        <v>40</v>
      </c>
      <c r="N244" s="88">
        <f>全车数据表!U245</f>
        <v>50</v>
      </c>
      <c r="O244" s="88">
        <f>全车数据表!V245</f>
        <v>55</v>
      </c>
      <c r="P244" s="88">
        <f>全车数据表!J245</f>
        <v>4313</v>
      </c>
      <c r="Q244" s="88">
        <f>全车数据表!K245</f>
        <v>360.8</v>
      </c>
      <c r="R244" s="88">
        <f>全车数据表!L245</f>
        <v>83.23</v>
      </c>
      <c r="S244" s="88">
        <f>全车数据表!M245</f>
        <v>94.48</v>
      </c>
      <c r="T244" s="88">
        <f>全车数据表!N245</f>
        <v>70.069999999999993</v>
      </c>
      <c r="U244" s="88">
        <f>全车数据表!O245</f>
        <v>7.1</v>
      </c>
      <c r="V244" s="88">
        <f>全车数据表!AL245</f>
        <v>12248200</v>
      </c>
      <c r="W244" s="88">
        <f>全车数据表!AM245</f>
        <v>45000</v>
      </c>
      <c r="X244" s="88">
        <f>全车数据表!AU245</f>
        <v>7380000</v>
      </c>
      <c r="Y244" s="88">
        <f>全车数据表!AV245</f>
        <v>19628200</v>
      </c>
      <c r="Z244" s="88">
        <f>全车数据表!AN245</f>
        <v>7</v>
      </c>
      <c r="AA244" s="88">
        <f>全车数据表!AP245</f>
        <v>5</v>
      </c>
      <c r="AB244" s="88">
        <f>全车数据表!AR245</f>
        <v>4</v>
      </c>
      <c r="AC244" s="88">
        <f>全车数据表!AW245</f>
        <v>375</v>
      </c>
      <c r="AD244" s="88">
        <f>全车数据表!AX245</f>
        <v>0</v>
      </c>
      <c r="AE244" s="88">
        <f>全车数据表!AY245</f>
        <v>497</v>
      </c>
      <c r="AF244" s="88" t="str">
        <f>IF(全车数据表!BA245="","",全车数据表!BA245)</f>
        <v>特殊赛事</v>
      </c>
      <c r="AG244" s="88" t="str">
        <f>IF(全车数据表!BB245="","",全车数据表!BB245)</f>
        <v/>
      </c>
      <c r="AH244" s="88" t="str">
        <f>IF(全车数据表!BC245="","",全车数据表!BC245)</f>
        <v/>
      </c>
      <c r="AI244" s="88" t="str">
        <f>IF(全车数据表!BD245="","",全车数据表!BD245)</f>
        <v/>
      </c>
      <c r="AJ244" s="88" t="str">
        <f>IF(全车数据表!BE245="","",全车数据表!BE245)</f>
        <v/>
      </c>
      <c r="AK244" s="88" t="str">
        <f>IF(全车数据表!BF245="","",全车数据表!BF245)</f>
        <v/>
      </c>
      <c r="AL244" s="88" t="str">
        <f>IF(全车数据表!BG245="","",全车数据表!BG245)</f>
        <v/>
      </c>
      <c r="AM244" s="88" t="str">
        <f>IF(全车数据表!BH245="","",全车数据表!BH245)</f>
        <v/>
      </c>
      <c r="AN244" s="88" t="str">
        <f>IF(全车数据表!BI245="","",全车数据表!BI245)</f>
        <v/>
      </c>
      <c r="AO244" s="88" t="str">
        <f>IF(全车数据表!BJ245="","",全车数据表!BJ245)</f>
        <v/>
      </c>
      <c r="AP244" s="88" t="str">
        <f>IF(全车数据表!BK245="","",全车数据表!BK245)</f>
        <v/>
      </c>
      <c r="AQ244" s="88">
        <f>IF(全车数据表!BL245="","",全车数据表!BL245)</f>
        <v>1</v>
      </c>
      <c r="AR244" s="88" t="str">
        <f>IF(全车数据表!BM245="","",全车数据表!BM245)</f>
        <v/>
      </c>
      <c r="AS244" s="88" t="str">
        <f>IF(全车数据表!BN245="","",全车数据表!BN245)</f>
        <v/>
      </c>
      <c r="AT244" s="88" t="str">
        <f>IF(全车数据表!BO245="","",全车数据表!BO245)</f>
        <v/>
      </c>
      <c r="AU244" s="88">
        <f>IF(全车数据表!BP245="","",全车数据表!BP245)</f>
        <v>1</v>
      </c>
      <c r="AV244" s="88" t="str">
        <f>IF(全车数据表!BQ245="","",全车数据表!BQ245)</f>
        <v/>
      </c>
      <c r="AW244" s="88" t="str">
        <f>IF(全车数据表!BR245="","",全车数据表!BR245)</f>
        <v/>
      </c>
      <c r="AX244" s="88" t="str">
        <f>IF(全车数据表!BS245="","",全车数据表!BS245)</f>
        <v/>
      </c>
      <c r="AY244" s="88">
        <f>IF(全车数据表!BT245="","",全车数据表!BT245)</f>
        <v>1</v>
      </c>
      <c r="AZ244" s="88" t="str">
        <f>IF(全车数据表!BU245="","",全车数据表!BU245)</f>
        <v/>
      </c>
      <c r="BA244" s="88" t="str">
        <f>IF(全车数据表!BV245="","",全车数据表!BV245)</f>
        <v>法拉利</v>
      </c>
      <c r="BB244" s="91" t="str">
        <f>IF(全车数据表!AZ245="","",全车数据表!AZ245)</f>
        <v/>
      </c>
    </row>
    <row r="245" spans="1:54">
      <c r="A245" s="88">
        <f>全车数据表!A246</f>
        <v>244</v>
      </c>
      <c r="B245" s="88" t="str">
        <f>全车数据表!B246</f>
        <v>Genty Akylone</v>
      </c>
      <c r="C245" s="89" t="str">
        <f>全车数据表!E246</f>
        <v>akylone</v>
      </c>
      <c r="D245" s="88" t="str">
        <f>IF(全车数据表!D246="","",全车数据表!D246)</f>
        <v>Genty</v>
      </c>
      <c r="E245" s="89" t="str">
        <f>全车数据表!H246</f>
        <v>1.4</v>
      </c>
      <c r="F245" s="89" t="str">
        <f>全车数据表!C246</f>
        <v>阿卡龙</v>
      </c>
      <c r="G245" s="89" t="str">
        <f>全车数据表!F246</f>
        <v>S</v>
      </c>
      <c r="H245" s="88">
        <f>LEN(全车数据表!G246)</f>
        <v>6</v>
      </c>
      <c r="I245" s="88" t="str">
        <f>VLOOKUP(全车数据表!P246,辅助计算!A:B,2,FALSE)</f>
        <v>epic</v>
      </c>
      <c r="J245" s="88">
        <f>全车数据表!Q246</f>
        <v>60</v>
      </c>
      <c r="K245" s="88">
        <f>全车数据表!R246</f>
        <v>15</v>
      </c>
      <c r="L245" s="88">
        <f>全车数据表!S246</f>
        <v>18</v>
      </c>
      <c r="M245" s="88">
        <f>全车数据表!T246</f>
        <v>25</v>
      </c>
      <c r="N245" s="88">
        <f>全车数据表!U246</f>
        <v>38</v>
      </c>
      <c r="O245" s="88">
        <f>全车数据表!V246</f>
        <v>48</v>
      </c>
      <c r="P245" s="88">
        <f>全车数据表!J246</f>
        <v>4323</v>
      </c>
      <c r="Q245" s="88">
        <f>全车数据表!K246</f>
        <v>371.7</v>
      </c>
      <c r="R245" s="88">
        <f>全车数据表!L246</f>
        <v>82.93</v>
      </c>
      <c r="S245" s="88">
        <f>全车数据表!M246</f>
        <v>67.81</v>
      </c>
      <c r="T245" s="88">
        <f>全车数据表!N246</f>
        <v>70.349999999999994</v>
      </c>
      <c r="U245" s="88">
        <f>全车数据表!O246</f>
        <v>7.15</v>
      </c>
      <c r="V245" s="88">
        <f>全车数据表!AL246</f>
        <v>12248200</v>
      </c>
      <c r="W245" s="88">
        <f>全车数据表!AM246</f>
        <v>45000</v>
      </c>
      <c r="X245" s="88">
        <f>全车数据表!AU246</f>
        <v>7380000</v>
      </c>
      <c r="Y245" s="88">
        <f>全车数据表!AV246</f>
        <v>19628200</v>
      </c>
      <c r="Z245" s="88">
        <f>全车数据表!AN246</f>
        <v>7</v>
      </c>
      <c r="AA245" s="88">
        <f>全车数据表!AP246</f>
        <v>5</v>
      </c>
      <c r="AB245" s="88">
        <f>全车数据表!AR246</f>
        <v>4</v>
      </c>
      <c r="AC245" s="88">
        <f>全车数据表!AW246</f>
        <v>386</v>
      </c>
      <c r="AD245" s="88">
        <f>全车数据表!AX246</f>
        <v>0</v>
      </c>
      <c r="AE245" s="88">
        <f>全车数据表!AY246</f>
        <v>515</v>
      </c>
      <c r="AF245" s="88" t="str">
        <f>IF(全车数据表!BA246="","",全车数据表!BA246)</f>
        <v>旧版会员</v>
      </c>
      <c r="AG245" s="88" t="str">
        <f>IF(全车数据表!BB246="","",全车数据表!BB246)</f>
        <v/>
      </c>
      <c r="AH245" s="88" t="str">
        <f>IF(全车数据表!BC246="","",全车数据表!BC246)</f>
        <v/>
      </c>
      <c r="AI245" s="88" t="str">
        <f>IF(全车数据表!BD246="","",全车数据表!BD246)</f>
        <v/>
      </c>
      <c r="AJ245" s="88">
        <f>IF(全车数据表!BE246="","",全车数据表!BE246)</f>
        <v>1</v>
      </c>
      <c r="AK245" s="88" t="str">
        <f>IF(全车数据表!BF246="","",全车数据表!BF246)</f>
        <v/>
      </c>
      <c r="AL245" s="88" t="str">
        <f>IF(全车数据表!BG246="","",全车数据表!BG246)</f>
        <v/>
      </c>
      <c r="AM245" s="88" t="str">
        <f>IF(全车数据表!BH246="","",全车数据表!BH246)</f>
        <v/>
      </c>
      <c r="AN245" s="88" t="str">
        <f>IF(全车数据表!BI246="","",全车数据表!BI246)</f>
        <v/>
      </c>
      <c r="AO245" s="88" t="str">
        <f>IF(全车数据表!BJ246="","",全车数据表!BJ246)</f>
        <v/>
      </c>
      <c r="AP245" s="88" t="str">
        <f>IF(全车数据表!BK246="","",全车数据表!BK246)</f>
        <v/>
      </c>
      <c r="AQ245" s="88" t="str">
        <f>IF(全车数据表!BL246="","",全车数据表!BL246)</f>
        <v/>
      </c>
      <c r="AR245" s="88" t="str">
        <f>IF(全车数据表!BM246="","",全车数据表!BM246)</f>
        <v/>
      </c>
      <c r="AS245" s="88" t="str">
        <f>IF(全车数据表!BN246="","",全车数据表!BN246)</f>
        <v/>
      </c>
      <c r="AT245" s="88" t="str">
        <f>IF(全车数据表!BO246="","",全车数据表!BO246)</f>
        <v/>
      </c>
      <c r="AU245" s="88" t="str">
        <f>IF(全车数据表!BP246="","",全车数据表!BP246)</f>
        <v/>
      </c>
      <c r="AV245" s="88" t="str">
        <f>IF(全车数据表!BQ246="","",全车数据表!BQ246)</f>
        <v/>
      </c>
      <c r="AW245" s="88" t="str">
        <f>IF(全车数据表!BR246="","",全车数据表!BR246)</f>
        <v/>
      </c>
      <c r="AX245" s="88" t="str">
        <f>IF(全车数据表!BS246="","",全车数据表!BS246)</f>
        <v/>
      </c>
      <c r="AY245" s="88" t="str">
        <f>IF(全车数据表!BT246="","",全车数据表!BT246)</f>
        <v/>
      </c>
      <c r="AZ245" s="88">
        <f>IF(全车数据表!BU246="","",全车数据表!BU246)</f>
        <v>1</v>
      </c>
      <c r="BA245" s="88" t="str">
        <f>IF(全车数据表!BV246="","",全车数据表!BV246)</f>
        <v>阿卡龙</v>
      </c>
      <c r="BB245" s="91">
        <f>IF(全车数据表!AZ246="","",全车数据表!AZ246)</f>
        <v>15</v>
      </c>
    </row>
    <row r="246" spans="1:54">
      <c r="A246" s="88">
        <f>全车数据表!A247</f>
        <v>245</v>
      </c>
      <c r="B246" s="88" t="str">
        <f>全车数据表!B247</f>
        <v>Lamborghini SC20🔑</v>
      </c>
      <c r="C246" s="89" t="str">
        <f>全车数据表!E247</f>
        <v>sc20</v>
      </c>
      <c r="D246" s="88" t="str">
        <f>IF(全车数据表!D247="","",全车数据表!D247)</f>
        <v>Lamborghini</v>
      </c>
      <c r="E246" s="89" t="str">
        <f>全车数据表!H247</f>
        <v>3.2</v>
      </c>
      <c r="F246" s="89" t="str">
        <f>全车数据表!C247</f>
        <v>SC20</v>
      </c>
      <c r="G246" s="89" t="str">
        <f>全车数据表!F247</f>
        <v>S</v>
      </c>
      <c r="H246" s="88">
        <f>LEN(全车数据表!G247)</f>
        <v>6</v>
      </c>
      <c r="I246" s="88" t="str">
        <f>VLOOKUP(全车数据表!P247,辅助计算!A:B,2,FALSE)</f>
        <v>epic</v>
      </c>
      <c r="J246" s="88" t="str">
        <f>全车数据表!Q247</f>
        <v>🔑</v>
      </c>
      <c r="K246" s="88">
        <f>全车数据表!R247</f>
        <v>30</v>
      </c>
      <c r="L246" s="88">
        <f>全车数据表!S247</f>
        <v>35</v>
      </c>
      <c r="M246" s="88">
        <f>全车数据表!T247</f>
        <v>45</v>
      </c>
      <c r="N246" s="88">
        <f>全车数据表!U247</f>
        <v>55</v>
      </c>
      <c r="O246" s="88">
        <f>全车数据表!V247</f>
        <v>85</v>
      </c>
      <c r="P246" s="88">
        <f>全车数据表!J247</f>
        <v>4326</v>
      </c>
      <c r="Q246" s="88">
        <f>全车数据表!K247</f>
        <v>371.3</v>
      </c>
      <c r="R246" s="88">
        <f>全车数据表!L247</f>
        <v>82.04</v>
      </c>
      <c r="S246" s="88">
        <f>全车数据表!M247</f>
        <v>72.709999999999994</v>
      </c>
      <c r="T246" s="88">
        <f>全车数据表!N247</f>
        <v>69.2</v>
      </c>
      <c r="U246" s="88">
        <f>全车数据表!O247</f>
        <v>0</v>
      </c>
      <c r="V246" s="88">
        <f>全车数据表!AL247</f>
        <v>0</v>
      </c>
      <c r="W246" s="88">
        <f>全车数据表!AM247</f>
        <v>45000</v>
      </c>
      <c r="X246" s="88">
        <f>全车数据表!AU247</f>
        <v>7380000</v>
      </c>
      <c r="Y246" s="88">
        <f>全车数据表!AV247</f>
        <v>0</v>
      </c>
      <c r="Z246" s="88">
        <f>全车数据表!AN247</f>
        <v>7</v>
      </c>
      <c r="AA246" s="88">
        <f>全车数据表!AP247</f>
        <v>5</v>
      </c>
      <c r="AB246" s="88">
        <f>全车数据表!AR247</f>
        <v>4</v>
      </c>
      <c r="AC246" s="88">
        <f>全车数据表!AW247</f>
        <v>386</v>
      </c>
      <c r="AD246" s="88">
        <f>全车数据表!AX247</f>
        <v>0</v>
      </c>
      <c r="AE246" s="88">
        <f>全车数据表!AY247</f>
        <v>515</v>
      </c>
      <c r="AF246" s="88" t="str">
        <f>IF(全车数据表!BA247="","",全车数据表!BA247)</f>
        <v>大奖赛</v>
      </c>
      <c r="AG246" s="88" t="str">
        <f>IF(全车数据表!BB247="","",全车数据表!BB247)</f>
        <v/>
      </c>
      <c r="AH246" s="88" t="str">
        <f>IF(全车数据表!BC247="","",全车数据表!BC247)</f>
        <v/>
      </c>
      <c r="AI246" s="88" t="str">
        <f>IF(全车数据表!BD247="","",全车数据表!BD247)</f>
        <v/>
      </c>
      <c r="AJ246" s="88" t="str">
        <f>IF(全车数据表!BE247="","",全车数据表!BE247)</f>
        <v/>
      </c>
      <c r="AK246" s="88" t="str">
        <f>IF(全车数据表!BF247="","",全车数据表!BF247)</f>
        <v/>
      </c>
      <c r="AL246" s="88" t="str">
        <f>IF(全车数据表!BG247="","",全车数据表!BG247)</f>
        <v/>
      </c>
      <c r="AM246" s="88" t="str">
        <f>IF(全车数据表!BH247="","",全车数据表!BH247)</f>
        <v/>
      </c>
      <c r="AN246" s="88" t="str">
        <f>IF(全车数据表!BI247="","",全车数据表!BI247)</f>
        <v/>
      </c>
      <c r="AO246" s="88" t="str">
        <f>IF(全车数据表!BJ247="","",全车数据表!BJ247)</f>
        <v/>
      </c>
      <c r="AP246" s="88" t="str">
        <f>IF(全车数据表!BK247="","",全车数据表!BK247)</f>
        <v/>
      </c>
      <c r="AQ246" s="88" t="str">
        <f>IF(全车数据表!BL247="","",全车数据表!BL247)</f>
        <v/>
      </c>
      <c r="AR246" s="88">
        <f>IF(全车数据表!BM247="","",全车数据表!BM247)</f>
        <v>1</v>
      </c>
      <c r="AS246" s="88" t="str">
        <f>IF(全车数据表!BN247="","",全车数据表!BN247)</f>
        <v/>
      </c>
      <c r="AT246" s="88">
        <f>IF(全车数据表!BO247="","",全车数据表!BO247)</f>
        <v>1</v>
      </c>
      <c r="AU246" s="88" t="str">
        <f>IF(全车数据表!BP247="","",全车数据表!BP247)</f>
        <v/>
      </c>
      <c r="AV246" s="88" t="str">
        <f>IF(全车数据表!BQ247="","",全车数据表!BQ247)</f>
        <v/>
      </c>
      <c r="AW246" s="88" t="str">
        <f>IF(全车数据表!BR247="","",全车数据表!BR247)</f>
        <v/>
      </c>
      <c r="AX246" s="88" t="str">
        <f>IF(全车数据表!BS247="","",全车数据表!BS247)</f>
        <v>无顶</v>
      </c>
      <c r="AY246" s="88" t="str">
        <f>IF(全车数据表!BT247="","",全车数据表!BT247)</f>
        <v/>
      </c>
      <c r="AZ246" s="88" t="str">
        <f>IF(全车数据表!BU247="","",全车数据表!BU247)</f>
        <v/>
      </c>
      <c r="BA246" s="88" t="str">
        <f>IF(全车数据表!BV247="","",全车数据表!BV247)</f>
        <v>兰博基尼</v>
      </c>
      <c r="BB246" s="91" t="str">
        <f>IF(全车数据表!AZ247="","",全车数据表!AZ247)</f>
        <v/>
      </c>
    </row>
    <row r="247" spans="1:54">
      <c r="A247" s="88">
        <f>全车数据表!A248</f>
        <v>246</v>
      </c>
      <c r="B247" s="88" t="str">
        <f>全车数据表!B248</f>
        <v>Volkswagen W12 Coupe🔑</v>
      </c>
      <c r="C247" s="89" t="str">
        <f>全车数据表!E248</f>
        <v>w12</v>
      </c>
      <c r="D247" s="88" t="str">
        <f>IF(全车数据表!D248="","",全车数据表!D248)</f>
        <v>Volkswagen</v>
      </c>
      <c r="E247" s="89" t="str">
        <f>全车数据表!H248</f>
        <v>3.0</v>
      </c>
      <c r="F247" s="89" t="str">
        <f>全车数据表!C248</f>
        <v>W12</v>
      </c>
      <c r="G247" s="89" t="str">
        <f>全车数据表!F248</f>
        <v>S</v>
      </c>
      <c r="H247" s="88">
        <f>LEN(全车数据表!G248)</f>
        <v>6</v>
      </c>
      <c r="I247" s="88" t="str">
        <f>VLOOKUP(全车数据表!P248,辅助计算!A:B,2,FALSE)</f>
        <v>epic</v>
      </c>
      <c r="J247" s="88" t="str">
        <f>全车数据表!Q248</f>
        <v>🔑</v>
      </c>
      <c r="K247" s="88">
        <f>全车数据表!R248</f>
        <v>30</v>
      </c>
      <c r="L247" s="88">
        <f>全车数据表!S248</f>
        <v>35</v>
      </c>
      <c r="M247" s="88">
        <f>全车数据表!T248</f>
        <v>45</v>
      </c>
      <c r="N247" s="88">
        <f>全车数据表!U248</f>
        <v>55</v>
      </c>
      <c r="O247" s="88">
        <f>全车数据表!V248</f>
        <v>85</v>
      </c>
      <c r="P247" s="88">
        <f>全车数据表!J248</f>
        <v>4334</v>
      </c>
      <c r="Q247" s="88">
        <f>全车数据表!K248</f>
        <v>370.2</v>
      </c>
      <c r="R247" s="88">
        <f>全车数据表!L248</f>
        <v>79.02</v>
      </c>
      <c r="S247" s="88">
        <f>全车数据表!M248</f>
        <v>84.32</v>
      </c>
      <c r="T247" s="88">
        <f>全车数据表!N248</f>
        <v>54.56</v>
      </c>
      <c r="U247" s="88">
        <f>全车数据表!O248</f>
        <v>0</v>
      </c>
      <c r="V247" s="88">
        <f>全车数据表!AL248</f>
        <v>12248200</v>
      </c>
      <c r="W247" s="88">
        <f>全车数据表!AM248</f>
        <v>45000</v>
      </c>
      <c r="X247" s="88">
        <f>全车数据表!AU248</f>
        <v>7380000</v>
      </c>
      <c r="Y247" s="88">
        <f>全车数据表!AV248</f>
        <v>19628200</v>
      </c>
      <c r="Z247" s="88">
        <f>全车数据表!AN248</f>
        <v>7</v>
      </c>
      <c r="AA247" s="88">
        <f>全车数据表!AP248</f>
        <v>5</v>
      </c>
      <c r="AB247" s="88">
        <f>全车数据表!AR248</f>
        <v>4</v>
      </c>
      <c r="AC247" s="88">
        <f>全车数据表!AW248</f>
        <v>384</v>
      </c>
      <c r="AD247" s="88">
        <f>全车数据表!AX248</f>
        <v>0</v>
      </c>
      <c r="AE247" s="88">
        <f>全车数据表!AY248</f>
        <v>512</v>
      </c>
      <c r="AF247" s="88" t="str">
        <f>IF(全车数据表!BA248="","",全车数据表!BA248)</f>
        <v>特殊赛事</v>
      </c>
      <c r="AG247" s="88" t="str">
        <f>IF(全车数据表!BB248="","",全车数据表!BB248)</f>
        <v/>
      </c>
      <c r="AH247" s="88" t="str">
        <f>IF(全车数据表!BC248="","",全车数据表!BC248)</f>
        <v/>
      </c>
      <c r="AI247" s="88" t="str">
        <f>IF(全车数据表!BD248="","",全车数据表!BD248)</f>
        <v/>
      </c>
      <c r="AJ247" s="88">
        <f>IF(全车数据表!BE248="","",全车数据表!BE248)</f>
        <v>1</v>
      </c>
      <c r="AK247" s="88" t="str">
        <f>IF(全车数据表!BF248="","",全车数据表!BF248)</f>
        <v/>
      </c>
      <c r="AL247" s="88" t="str">
        <f>IF(全车数据表!BG248="","",全车数据表!BG248)</f>
        <v/>
      </c>
      <c r="AM247" s="88" t="str">
        <f>IF(全车数据表!BH248="","",全车数据表!BH248)</f>
        <v/>
      </c>
      <c r="AN247" s="88" t="str">
        <f>IF(全车数据表!BI248="","",全车数据表!BI248)</f>
        <v/>
      </c>
      <c r="AO247" s="88" t="str">
        <f>IF(全车数据表!BJ248="","",全车数据表!BJ248)</f>
        <v/>
      </c>
      <c r="AP247" s="88" t="str">
        <f>IF(全车数据表!BK248="","",全车数据表!BK248)</f>
        <v/>
      </c>
      <c r="AQ247" s="88">
        <f>IF(全车数据表!BL248="","",全车数据表!BL248)</f>
        <v>1</v>
      </c>
      <c r="AR247" s="88" t="str">
        <f>IF(全车数据表!BM248="","",全车数据表!BM248)</f>
        <v/>
      </c>
      <c r="AS247" s="88" t="str">
        <f>IF(全车数据表!BN248="","",全车数据表!BN248)</f>
        <v/>
      </c>
      <c r="AT247" s="88">
        <f>IF(全车数据表!BO248="","",全车数据表!BO248)</f>
        <v>1</v>
      </c>
      <c r="AU247" s="88" t="str">
        <f>IF(全车数据表!BP248="","",全车数据表!BP248)</f>
        <v/>
      </c>
      <c r="AV247" s="88" t="str">
        <f>IF(全车数据表!BQ248="","",全车数据表!BQ248)</f>
        <v>1款</v>
      </c>
      <c r="AW247" s="88" t="str">
        <f>IF(全车数据表!BR248="","",全车数据表!BR248)</f>
        <v/>
      </c>
      <c r="AX247" s="88" t="str">
        <f>IF(全车数据表!BS248="","",全车数据表!BS248)</f>
        <v/>
      </c>
      <c r="AY247" s="88">
        <f>IF(全车数据表!BT248="","",全车数据表!BT248)</f>
        <v>1</v>
      </c>
      <c r="AZ247" s="88" t="str">
        <f>IF(全车数据表!BU248="","",全车数据表!BU248)</f>
        <v/>
      </c>
      <c r="BA247" s="88" t="str">
        <f>IF(全车数据表!BV248="","",全车数据表!BV248)</f>
        <v>大众</v>
      </c>
      <c r="BB247" s="91">
        <f>IF(全车数据表!AZ248="","",全车数据表!AZ248)</f>
        <v>14</v>
      </c>
    </row>
    <row r="248" spans="1:54">
      <c r="A248" s="88">
        <f>全车数据表!A249</f>
        <v>247</v>
      </c>
      <c r="B248" s="88" t="str">
        <f>全车数据表!B249</f>
        <v>Trion Nemesis</v>
      </c>
      <c r="C248" s="89" t="str">
        <f>全车数据表!E249</f>
        <v>nemesis</v>
      </c>
      <c r="D248" s="88" t="str">
        <f>IF(全车数据表!D249="","",全车数据表!D249)</f>
        <v>Trion</v>
      </c>
      <c r="E248" s="89" t="str">
        <f>全车数据表!H249</f>
        <v>1.3</v>
      </c>
      <c r="F248" s="89" t="str">
        <f>全车数据表!C249</f>
        <v>复仇</v>
      </c>
      <c r="G248" s="89" t="str">
        <f>全车数据表!F249</f>
        <v>S</v>
      </c>
      <c r="H248" s="88">
        <f>LEN(全车数据表!G249)</f>
        <v>6</v>
      </c>
      <c r="I248" s="88" t="str">
        <f>VLOOKUP(全车数据表!P249,辅助计算!A:B,2,FALSE)</f>
        <v>epic</v>
      </c>
      <c r="J248" s="88">
        <f>全车数据表!Q249</f>
        <v>60</v>
      </c>
      <c r="K248" s="88">
        <f>全车数据表!R249</f>
        <v>15</v>
      </c>
      <c r="L248" s="88">
        <f>全车数据表!S249</f>
        <v>18</v>
      </c>
      <c r="M248" s="88">
        <f>全车数据表!T249</f>
        <v>25</v>
      </c>
      <c r="N248" s="88">
        <f>全车数据表!U249</f>
        <v>38</v>
      </c>
      <c r="O248" s="88">
        <f>全车数据表!V249</f>
        <v>48</v>
      </c>
      <c r="P248" s="88">
        <f>全车数据表!J249</f>
        <v>4344</v>
      </c>
      <c r="Q248" s="88">
        <f>全车数据表!K249</f>
        <v>450.7</v>
      </c>
      <c r="R248" s="88">
        <f>全车数据表!L249</f>
        <v>79.98</v>
      </c>
      <c r="S248" s="88">
        <f>全车数据表!M249</f>
        <v>48.49</v>
      </c>
      <c r="T248" s="88">
        <f>全车数据表!N249</f>
        <v>44.79</v>
      </c>
      <c r="U248" s="88">
        <f>全车数据表!O249</f>
        <v>4.266</v>
      </c>
      <c r="V248" s="88">
        <f>全车数据表!AL249</f>
        <v>12248200</v>
      </c>
      <c r="W248" s="88">
        <f>全车数据表!AM249</f>
        <v>45000</v>
      </c>
      <c r="X248" s="88">
        <f>全车数据表!AU249</f>
        <v>7380000</v>
      </c>
      <c r="Y248" s="88">
        <f>全车数据表!AV249</f>
        <v>19628200</v>
      </c>
      <c r="Z248" s="88">
        <f>全车数据表!AN249</f>
        <v>7</v>
      </c>
      <c r="AA248" s="88">
        <f>全车数据表!AP249</f>
        <v>5</v>
      </c>
      <c r="AB248" s="88">
        <f>全车数据表!AR249</f>
        <v>4</v>
      </c>
      <c r="AC248" s="88">
        <f>全车数据表!AW249</f>
        <v>475</v>
      </c>
      <c r="AD248" s="88">
        <f>全车数据表!AX249</f>
        <v>0</v>
      </c>
      <c r="AE248" s="88">
        <f>全车数据表!AY249</f>
        <v>582</v>
      </c>
      <c r="AF248" s="88" t="str">
        <f>IF(全车数据表!BA249="","",全车数据表!BA249)</f>
        <v>独家赛事</v>
      </c>
      <c r="AG248" s="88" t="str">
        <f>IF(全车数据表!BB249="","",全车数据表!BB249)</f>
        <v/>
      </c>
      <c r="AH248" s="88" t="str">
        <f>IF(全车数据表!BC249="","",全车数据表!BC249)</f>
        <v/>
      </c>
      <c r="AI248" s="88" t="str">
        <f>IF(全车数据表!BD249="","",全车数据表!BD249)</f>
        <v/>
      </c>
      <c r="AJ248" s="88" t="str">
        <f>IF(全车数据表!BE249="","",全车数据表!BE249)</f>
        <v/>
      </c>
      <c r="AK248" s="88">
        <f>IF(全车数据表!BF249="","",全车数据表!BF249)</f>
        <v>1</v>
      </c>
      <c r="AL248" s="88" t="str">
        <f>IF(全车数据表!BG249="","",全车数据表!BG249)</f>
        <v/>
      </c>
      <c r="AM248" s="88" t="str">
        <f>IF(全车数据表!BH249="","",全车数据表!BH249)</f>
        <v/>
      </c>
      <c r="AN248" s="88" t="str">
        <f>IF(全车数据表!BI249="","",全车数据表!BI249)</f>
        <v/>
      </c>
      <c r="AO248" s="88" t="str">
        <f>IF(全车数据表!BJ249="","",全车数据表!BJ249)</f>
        <v/>
      </c>
      <c r="AP248" s="88" t="str">
        <f>IF(全车数据表!BK249="","",全车数据表!BK249)</f>
        <v/>
      </c>
      <c r="AQ248" s="88" t="str">
        <f>IF(全车数据表!BL249="","",全车数据表!BL249)</f>
        <v/>
      </c>
      <c r="AR248" s="88" t="str">
        <f>IF(全车数据表!BM249="","",全车数据表!BM249)</f>
        <v/>
      </c>
      <c r="AS248" s="88" t="str">
        <f>IF(全车数据表!BN249="","",全车数据表!BN249)</f>
        <v/>
      </c>
      <c r="AT248" s="88" t="str">
        <f>IF(全车数据表!BO249="","",全车数据表!BO249)</f>
        <v/>
      </c>
      <c r="AU248" s="88" t="str">
        <f>IF(全车数据表!BP249="","",全车数据表!BP249)</f>
        <v/>
      </c>
      <c r="AV248" s="88" t="str">
        <f>IF(全车数据表!BQ249="","",全车数据表!BQ249)</f>
        <v>2款</v>
      </c>
      <c r="AW248" s="88" t="str">
        <f>IF(全车数据表!BR249="","",全车数据表!BR249)</f>
        <v/>
      </c>
      <c r="AX248" s="88" t="str">
        <f>IF(全车数据表!BS249="","",全车数据表!BS249)</f>
        <v/>
      </c>
      <c r="AY248" s="88" t="str">
        <f>IF(全车数据表!BT249="","",全车数据表!BT249)</f>
        <v/>
      </c>
      <c r="AZ248" s="88" t="str">
        <f>IF(全车数据表!BU249="","",全车数据表!BU249)</f>
        <v/>
      </c>
      <c r="BA248" s="88" t="str">
        <f>IF(全车数据表!BV249="","",全车数据表!BV249)</f>
        <v>复仇</v>
      </c>
      <c r="BB248" s="91" t="str">
        <f>IF(全车数据表!AZ249="","",全车数据表!AZ249)</f>
        <v/>
      </c>
    </row>
    <row r="249" spans="1:54">
      <c r="A249" s="88">
        <f>全车数据表!A250</f>
        <v>248</v>
      </c>
      <c r="B249" s="88" t="str">
        <f>全车数据表!B250</f>
        <v>Spania GTA 2015 GTA Spano</v>
      </c>
      <c r="C249" s="89" t="str">
        <f>全车数据表!E250</f>
        <v>spano</v>
      </c>
      <c r="D249" s="88" t="str">
        <f>IF(全车数据表!D250="","",全车数据表!D250)</f>
        <v>Spania GTA</v>
      </c>
      <c r="E249" s="89" t="str">
        <f>全车数据表!H250</f>
        <v>4.0</v>
      </c>
      <c r="F249" s="89" t="str">
        <f>全车数据表!C250</f>
        <v>Spano</v>
      </c>
      <c r="G249" s="89" t="str">
        <f>全车数据表!F250</f>
        <v>S</v>
      </c>
      <c r="H249" s="88">
        <f>LEN(全车数据表!G250)</f>
        <v>6</v>
      </c>
      <c r="I249" s="88" t="str">
        <f>VLOOKUP(全车数据表!P250,辅助计算!A:B,2,FALSE)</f>
        <v>epic</v>
      </c>
      <c r="J249" s="88">
        <f>全车数据表!Q250</f>
        <v>40</v>
      </c>
      <c r="K249" s="88">
        <f>全车数据表!R250</f>
        <v>45</v>
      </c>
      <c r="L249" s="88">
        <f>全车数据表!S250</f>
        <v>55</v>
      </c>
      <c r="M249" s="88">
        <f>全车数据表!T250</f>
        <v>48</v>
      </c>
      <c r="N249" s="88">
        <f>全车数据表!U250</f>
        <v>56</v>
      </c>
      <c r="O249" s="88">
        <f>全车数据表!V250</f>
        <v>56</v>
      </c>
      <c r="P249" s="88">
        <f>全车数据表!J250</f>
        <v>4385</v>
      </c>
      <c r="Q249" s="88">
        <f>全车数据表!K250</f>
        <v>383.7</v>
      </c>
      <c r="R249" s="88">
        <f>全车数据表!L250</f>
        <v>81.2</v>
      </c>
      <c r="S249" s="88">
        <f>全车数据表!M250</f>
        <v>59.72</v>
      </c>
      <c r="T249" s="88">
        <f>全车数据表!N250</f>
        <v>69.97</v>
      </c>
      <c r="U249" s="88">
        <f>全车数据表!O250</f>
        <v>6.6</v>
      </c>
      <c r="V249" s="88">
        <f>全车数据表!AL250</f>
        <v>4480000</v>
      </c>
      <c r="W249" s="88">
        <f>全车数据表!AM250</f>
        <v>90000</v>
      </c>
      <c r="X249" s="88">
        <f>全车数据表!AU250</f>
        <v>14760000</v>
      </c>
      <c r="Y249" s="88">
        <f>全车数据表!AV250</f>
        <v>0</v>
      </c>
      <c r="Z249" s="88">
        <f>全车数据表!AN250</f>
        <v>7</v>
      </c>
      <c r="AA249" s="88">
        <f>全车数据表!AP250</f>
        <v>5</v>
      </c>
      <c r="AB249" s="88">
        <f>全车数据表!AR250</f>
        <v>4</v>
      </c>
      <c r="AC249" s="88">
        <f>全车数据表!AW250</f>
        <v>399</v>
      </c>
      <c r="AD249" s="88">
        <f>全车数据表!AX250</f>
        <v>0</v>
      </c>
      <c r="AE249" s="88">
        <f>全车数据表!AY250</f>
        <v>536</v>
      </c>
      <c r="AF249" s="88" t="str">
        <f>IF(全车数据表!BA250="","",全车数据表!BA250)</f>
        <v>特殊赛事</v>
      </c>
      <c r="AG249" s="88" t="str">
        <f>IF(全车数据表!BB250="","",全车数据表!BB250)</f>
        <v/>
      </c>
      <c r="AH249" s="88" t="str">
        <f>IF(全车数据表!BC250="","",全车数据表!BC250)</f>
        <v/>
      </c>
      <c r="AI249" s="88" t="str">
        <f>IF(全车数据表!BD250="","",全车数据表!BD250)</f>
        <v/>
      </c>
      <c r="AJ249" s="88" t="str">
        <f>IF(全车数据表!BE250="","",全车数据表!BE250)</f>
        <v/>
      </c>
      <c r="AK249" s="88" t="str">
        <f>IF(全车数据表!BF250="","",全车数据表!BF250)</f>
        <v/>
      </c>
      <c r="AL249" s="88" t="str">
        <f>IF(全车数据表!BG250="","",全车数据表!BG250)</f>
        <v/>
      </c>
      <c r="AM249" s="88" t="str">
        <f>IF(全车数据表!BH250="","",全车数据表!BH250)</f>
        <v/>
      </c>
      <c r="AN249" s="88" t="str">
        <f>IF(全车数据表!BI250="","",全车数据表!BI250)</f>
        <v/>
      </c>
      <c r="AO249" s="88" t="str">
        <f>IF(全车数据表!BJ250="","",全车数据表!BJ250)</f>
        <v/>
      </c>
      <c r="AP249" s="88" t="str">
        <f>IF(全车数据表!BK250="","",全车数据表!BK250)</f>
        <v/>
      </c>
      <c r="AQ249" s="88">
        <f>IF(全车数据表!BL250="","",全车数据表!BL250)</f>
        <v>1</v>
      </c>
      <c r="AR249" s="88" t="str">
        <f>IF(全车数据表!BM250="","",全车数据表!BM250)</f>
        <v/>
      </c>
      <c r="AS249" s="88" t="str">
        <f>IF(全车数据表!BN250="","",全车数据表!BN250)</f>
        <v/>
      </c>
      <c r="AT249" s="88" t="str">
        <f>IF(全车数据表!BO250="","",全车数据表!BO250)</f>
        <v/>
      </c>
      <c r="AU249" s="88" t="str">
        <f>IF(全车数据表!BP250="","",全车数据表!BP250)</f>
        <v/>
      </c>
      <c r="AV249" s="88" t="str">
        <f>IF(全车数据表!BQ250="","",全车数据表!BQ250)</f>
        <v/>
      </c>
      <c r="AW249" s="88" t="str">
        <f>IF(全车数据表!BR250="","",全车数据表!BR250)</f>
        <v/>
      </c>
      <c r="AX249" s="88" t="str">
        <f>IF(全车数据表!BS250="","",全车数据表!BS250)</f>
        <v/>
      </c>
      <c r="AY249" s="88" t="str">
        <f>IF(全车数据表!BT250="","",全车数据表!BT250)</f>
        <v/>
      </c>
      <c r="AZ249" s="88" t="str">
        <f>IF(全车数据表!BU250="","",全车数据表!BU250)</f>
        <v/>
      </c>
      <c r="BA249" s="88" t="str">
        <f>IF(全车数据表!BV250="","",全车数据表!BV250)</f>
        <v/>
      </c>
      <c r="BB249" s="91" t="str">
        <f>IF(全车数据表!AZ250="","",全车数据表!AZ250)</f>
        <v/>
      </c>
    </row>
    <row r="250" spans="1:54">
      <c r="A250" s="88">
        <f>全车数据表!A251</f>
        <v>249</v>
      </c>
      <c r="B250" s="88" t="str">
        <f>全车数据表!B251</f>
        <v>FV Frangivento Sorpasso GT3🔑</v>
      </c>
      <c r="C250" s="89" t="str">
        <f>全车数据表!E251</f>
        <v>sorpasso</v>
      </c>
      <c r="D250" s="88" t="str">
        <f>IF(全车数据表!D251="","",全车数据表!D251)</f>
        <v>FV Frangivento</v>
      </c>
      <c r="E250" s="89" t="str">
        <f>全车数据表!H251</f>
        <v>4.1</v>
      </c>
      <c r="F250" s="89" t="str">
        <f>全车数据表!C251</f>
        <v>FV</v>
      </c>
      <c r="G250" s="89" t="str">
        <f>全车数据表!F251</f>
        <v>S</v>
      </c>
      <c r="H250" s="88">
        <f>LEN(全车数据表!G251)</f>
        <v>6</v>
      </c>
      <c r="I250" s="88" t="str">
        <f>VLOOKUP(全车数据表!P251,辅助计算!A:B,2,FALSE)</f>
        <v>epic</v>
      </c>
      <c r="J250" s="88" t="str">
        <f>全车数据表!Q251</f>
        <v>🔑</v>
      </c>
      <c r="K250" s="88">
        <f>全车数据表!R251</f>
        <v>45</v>
      </c>
      <c r="L250" s="88">
        <f>全车数据表!S251</f>
        <v>56</v>
      </c>
      <c r="M250" s="88">
        <f>全车数据表!T251</f>
        <v>65</v>
      </c>
      <c r="N250" s="88">
        <f>全车数据表!U251</f>
        <v>66</v>
      </c>
      <c r="O250" s="88">
        <f>全车数据表!V251</f>
        <v>68</v>
      </c>
      <c r="P250" s="88">
        <f>全车数据表!J251</f>
        <v>4398</v>
      </c>
      <c r="Q250" s="88">
        <f>全车数据表!K251</f>
        <v>391.3</v>
      </c>
      <c r="R250" s="88">
        <f>全车数据表!L251</f>
        <v>85.7</v>
      </c>
      <c r="S250" s="88">
        <f>全车数据表!M251</f>
        <v>56.68</v>
      </c>
      <c r="T250" s="88">
        <f>全车数据表!N251</f>
        <v>47.35</v>
      </c>
      <c r="U250" s="88">
        <f>全车数据表!O251</f>
        <v>0</v>
      </c>
      <c r="V250" s="88">
        <f>全车数据表!AL251</f>
        <v>0</v>
      </c>
      <c r="W250" s="88">
        <f>全车数据表!AM251</f>
        <v>67500</v>
      </c>
      <c r="X250" s="88">
        <f>全车数据表!AU251</f>
        <v>0</v>
      </c>
      <c r="Y250" s="88">
        <f>全车数据表!AV251</f>
        <v>0</v>
      </c>
      <c r="Z250" s="88">
        <f>全车数据表!AN251</f>
        <v>7</v>
      </c>
      <c r="AA250" s="88">
        <f>全车数据表!AP251</f>
        <v>5</v>
      </c>
      <c r="AB250" s="88">
        <f>全车数据表!AR251</f>
        <v>4</v>
      </c>
      <c r="AC250" s="88">
        <f>全车数据表!AW251</f>
        <v>407</v>
      </c>
      <c r="AD250" s="88">
        <f>全车数据表!AX251</f>
        <v>0</v>
      </c>
      <c r="AE250" s="88">
        <f>全车数据表!AY251</f>
        <v>549</v>
      </c>
      <c r="AF250" s="88" t="str">
        <f>IF(全车数据表!BA251="","",全车数据表!BA251)</f>
        <v>大奖赛</v>
      </c>
      <c r="AG250" s="88" t="str">
        <f>IF(全车数据表!BB251="","",全车数据表!BB251)</f>
        <v/>
      </c>
      <c r="AH250" s="88" t="str">
        <f>IF(全车数据表!BC251="","",全车数据表!BC251)</f>
        <v/>
      </c>
      <c r="AI250" s="88" t="str">
        <f>IF(全车数据表!BD251="","",全车数据表!BD251)</f>
        <v/>
      </c>
      <c r="AJ250" s="88" t="str">
        <f>IF(全车数据表!BE251="","",全车数据表!BE251)</f>
        <v/>
      </c>
      <c r="AK250" s="88" t="str">
        <f>IF(全车数据表!BF251="","",全车数据表!BF251)</f>
        <v/>
      </c>
      <c r="AL250" s="88" t="str">
        <f>IF(全车数据表!BG251="","",全车数据表!BG251)</f>
        <v/>
      </c>
      <c r="AM250" s="88" t="str">
        <f>IF(全车数据表!BH251="","",全车数据表!BH251)</f>
        <v/>
      </c>
      <c r="AN250" s="88" t="str">
        <f>IF(全车数据表!BI251="","",全车数据表!BI251)</f>
        <v/>
      </c>
      <c r="AO250" s="88" t="str">
        <f>IF(全车数据表!BJ251="","",全车数据表!BJ251)</f>
        <v/>
      </c>
      <c r="AP250" s="88" t="str">
        <f>IF(全车数据表!BK251="","",全车数据表!BK251)</f>
        <v/>
      </c>
      <c r="AQ250" s="88" t="str">
        <f>IF(全车数据表!BL251="","",全车数据表!BL251)</f>
        <v/>
      </c>
      <c r="AR250" s="88">
        <f>IF(全车数据表!BM251="","",全车数据表!BM251)</f>
        <v>1</v>
      </c>
      <c r="AS250" s="88" t="str">
        <f>IF(全车数据表!BN251="","",全车数据表!BN251)</f>
        <v/>
      </c>
      <c r="AT250" s="88">
        <f>IF(全车数据表!BO251="","",全车数据表!BO251)</f>
        <v>1</v>
      </c>
      <c r="AU250" s="88" t="str">
        <f>IF(全车数据表!BP251="","",全车数据表!BP251)</f>
        <v/>
      </c>
      <c r="AV250" s="88" t="str">
        <f>IF(全车数据表!BQ251="","",全车数据表!BQ251)</f>
        <v/>
      </c>
      <c r="AW250" s="88" t="str">
        <f>IF(全车数据表!BR251="","",全车数据表!BR251)</f>
        <v/>
      </c>
      <c r="AX250" s="88" t="str">
        <f>IF(全车数据表!BS251="","",全车数据表!BS251)</f>
        <v/>
      </c>
      <c r="AY250" s="88" t="str">
        <f>IF(全车数据表!BT251="","",全车数据表!BT251)</f>
        <v/>
      </c>
      <c r="AZ250" s="88" t="str">
        <f>IF(全车数据表!BU251="","",全车数据表!BU251)</f>
        <v/>
      </c>
      <c r="BA250" s="88" t="str">
        <f>IF(全车数据表!BV251="","",全车数据表!BV251)</f>
        <v>废物</v>
      </c>
      <c r="BB250" s="91" t="str">
        <f>IF(全车数据表!AZ251="","",全车数据表!AZ251)</f>
        <v/>
      </c>
    </row>
    <row r="251" spans="1:54">
      <c r="A251" s="88">
        <f>全车数据表!A252</f>
        <v>250</v>
      </c>
      <c r="B251" s="88" t="str">
        <f>全车数据表!B252</f>
        <v>Lamborghini Terzo Millennio</v>
      </c>
      <c r="C251" s="89" t="str">
        <f>全车数据表!E252</f>
        <v>terzo</v>
      </c>
      <c r="D251" s="88" t="str">
        <f>IF(全车数据表!D252="","",全车数据表!D252)</f>
        <v>Lamborghini</v>
      </c>
      <c r="E251" s="89" t="str">
        <f>全车数据表!H252</f>
        <v>1.4</v>
      </c>
      <c r="F251" s="89" t="str">
        <f>全车数据表!C252</f>
        <v>电牛</v>
      </c>
      <c r="G251" s="89" t="str">
        <f>全车数据表!F252</f>
        <v>S</v>
      </c>
      <c r="H251" s="88">
        <f>LEN(全车数据表!G252)</f>
        <v>6</v>
      </c>
      <c r="I251" s="88" t="str">
        <f>VLOOKUP(全车数据表!P252,辅助计算!A:B,2,FALSE)</f>
        <v>epic</v>
      </c>
      <c r="J251" s="88">
        <f>全车数据表!Q252</f>
        <v>60</v>
      </c>
      <c r="K251" s="88">
        <f>全车数据表!R252</f>
        <v>15</v>
      </c>
      <c r="L251" s="88">
        <f>全车数据表!S252</f>
        <v>18</v>
      </c>
      <c r="M251" s="88">
        <f>全车数据表!T252</f>
        <v>25</v>
      </c>
      <c r="N251" s="88">
        <f>全车数据表!U252</f>
        <v>38</v>
      </c>
      <c r="O251" s="88">
        <f>全车数据表!V252</f>
        <v>48</v>
      </c>
      <c r="P251" s="88">
        <f>全车数据表!J252</f>
        <v>4400</v>
      </c>
      <c r="Q251" s="88">
        <f>全车数据表!K252</f>
        <v>394.3</v>
      </c>
      <c r="R251" s="88">
        <f>全车数据表!L252</f>
        <v>82.77</v>
      </c>
      <c r="S251" s="88">
        <f>全车数据表!M252</f>
        <v>52.84</v>
      </c>
      <c r="T251" s="88">
        <f>全车数据表!N252</f>
        <v>69.290000000000006</v>
      </c>
      <c r="U251" s="88">
        <f>全车数据表!O252</f>
        <v>6.55</v>
      </c>
      <c r="V251" s="88">
        <f>全车数据表!AL252</f>
        <v>0</v>
      </c>
      <c r="W251" s="88">
        <f>全车数据表!AM252</f>
        <v>60000</v>
      </c>
      <c r="X251" s="88">
        <f>全车数据表!AU252</f>
        <v>9840000</v>
      </c>
      <c r="Y251" s="88">
        <f>全车数据表!AV252</f>
        <v>0</v>
      </c>
      <c r="Z251" s="88">
        <f>全车数据表!AN252</f>
        <v>7</v>
      </c>
      <c r="AA251" s="88">
        <f>全车数据表!AP252</f>
        <v>5</v>
      </c>
      <c r="AB251" s="88">
        <f>全车数据表!AR252</f>
        <v>4</v>
      </c>
      <c r="AC251" s="88">
        <f>全车数据表!AW252</f>
        <v>410</v>
      </c>
      <c r="AD251" s="88">
        <f>全车数据表!AX252</f>
        <v>0</v>
      </c>
      <c r="AE251" s="88">
        <f>全车数据表!AY252</f>
        <v>551</v>
      </c>
      <c r="AF251" s="88" t="str">
        <f>IF(全车数据表!BA252="","",全车数据表!BA252)</f>
        <v>旧版会员</v>
      </c>
      <c r="AG251" s="88" t="str">
        <f>IF(全车数据表!BB252="","",全车数据表!BB252)</f>
        <v/>
      </c>
      <c r="AH251" s="88" t="str">
        <f>IF(全车数据表!BC252="","",全车数据表!BC252)</f>
        <v/>
      </c>
      <c r="AI251" s="88" t="str">
        <f>IF(全车数据表!BD252="","",全车数据表!BD252)</f>
        <v/>
      </c>
      <c r="AJ251" s="88">
        <f>IF(全车数据表!BE252="","",全车数据表!BE252)</f>
        <v>1</v>
      </c>
      <c r="AK251" s="88" t="str">
        <f>IF(全车数据表!BF252="","",全车数据表!BF252)</f>
        <v/>
      </c>
      <c r="AL251" s="88">
        <f>IF(全车数据表!BG252="","",全车数据表!BG252)</f>
        <v>1</v>
      </c>
      <c r="AM251" s="88" t="str">
        <f>IF(全车数据表!BH252="","",全车数据表!BH252)</f>
        <v/>
      </c>
      <c r="AN251" s="88" t="str">
        <f>IF(全车数据表!BI252="","",全车数据表!BI252)</f>
        <v/>
      </c>
      <c r="AO251" s="88" t="str">
        <f>IF(全车数据表!BJ252="","",全车数据表!BJ252)</f>
        <v/>
      </c>
      <c r="AP251" s="88" t="str">
        <f>IF(全车数据表!BK252="","",全车数据表!BK252)</f>
        <v/>
      </c>
      <c r="AQ251" s="88" t="str">
        <f>IF(全车数据表!BL252="","",全车数据表!BL252)</f>
        <v/>
      </c>
      <c r="AR251" s="88" t="str">
        <f>IF(全车数据表!BM252="","",全车数据表!BM252)</f>
        <v/>
      </c>
      <c r="AS251" s="88" t="str">
        <f>IF(全车数据表!BN252="","",全车数据表!BN252)</f>
        <v/>
      </c>
      <c r="AT251" s="88" t="str">
        <f>IF(全车数据表!BO252="","",全车数据表!BO252)</f>
        <v/>
      </c>
      <c r="AU251" s="88">
        <f>IF(全车数据表!BP252="","",全车数据表!BP252)</f>
        <v>1</v>
      </c>
      <c r="AV251" s="88" t="str">
        <f>IF(全车数据表!BQ252="","",全车数据表!BQ252)</f>
        <v>3周年</v>
      </c>
      <c r="AW251" s="88" t="str">
        <f>IF(全车数据表!BR252="","",全车数据表!BR252)</f>
        <v/>
      </c>
      <c r="AX251" s="88" t="str">
        <f>IF(全车数据表!BS252="","",全车数据表!BS252)</f>
        <v/>
      </c>
      <c r="AY251" s="88" t="str">
        <f>IF(全车数据表!BT252="","",全车数据表!BT252)</f>
        <v/>
      </c>
      <c r="AZ251" s="88">
        <f>IF(全车数据表!BU252="","",全车数据表!BU252)</f>
        <v>1</v>
      </c>
      <c r="BA251" s="88" t="str">
        <f>IF(全车数据表!BV252="","",全车数据表!BV252)</f>
        <v>电牛 兰博基尼 千年牛</v>
      </c>
      <c r="BB251" s="91">
        <f>IF(全车数据表!AZ252="","",全车数据表!AZ252)</f>
        <v>19</v>
      </c>
    </row>
    <row r="252" spans="1:54">
      <c r="A252" s="88">
        <f>全车数据表!A253</f>
        <v>251</v>
      </c>
      <c r="B252" s="88" t="str">
        <f>全车数据表!B253</f>
        <v>McLaren Senna</v>
      </c>
      <c r="C252" s="89" t="str">
        <f>全车数据表!E253</f>
        <v>senna</v>
      </c>
      <c r="D252" s="88" t="str">
        <f>IF(全车数据表!D253="","",全车数据表!D253)</f>
        <v>McLaren</v>
      </c>
      <c r="E252" s="89" t="str">
        <f>全车数据表!H253</f>
        <v>1.7</v>
      </c>
      <c r="F252" s="89" t="str">
        <f>全车数据表!C253</f>
        <v>塞纳</v>
      </c>
      <c r="G252" s="89" t="str">
        <f>全车数据表!F253</f>
        <v>S</v>
      </c>
      <c r="H252" s="88">
        <f>LEN(全车数据表!G253)</f>
        <v>6</v>
      </c>
      <c r="I252" s="88" t="str">
        <f>VLOOKUP(全车数据表!P253,辅助计算!A:B,2,FALSE)</f>
        <v>epic</v>
      </c>
      <c r="J252" s="88">
        <f>全车数据表!Q253</f>
        <v>30</v>
      </c>
      <c r="K252" s="88">
        <f>全车数据表!R253</f>
        <v>30</v>
      </c>
      <c r="L252" s="88">
        <f>全车数据表!S253</f>
        <v>30</v>
      </c>
      <c r="M252" s="88">
        <f>全车数据表!T253</f>
        <v>35</v>
      </c>
      <c r="N252" s="88">
        <f>全车数据表!U253</f>
        <v>35</v>
      </c>
      <c r="O252" s="88">
        <f>全车数据表!V253</f>
        <v>40</v>
      </c>
      <c r="P252" s="88">
        <f>全车数据表!J253</f>
        <v>4407</v>
      </c>
      <c r="Q252" s="88">
        <f>全车数据表!K253</f>
        <v>358.3</v>
      </c>
      <c r="R252" s="88">
        <f>全车数据表!L253</f>
        <v>82.91</v>
      </c>
      <c r="S252" s="88">
        <f>全车数据表!M253</f>
        <v>101.81</v>
      </c>
      <c r="T252" s="88">
        <f>全车数据表!N253</f>
        <v>78.25</v>
      </c>
      <c r="U252" s="88">
        <f>全车数据表!O253</f>
        <v>9.1489999999999991</v>
      </c>
      <c r="V252" s="88">
        <f>全车数据表!AL253</f>
        <v>15496000</v>
      </c>
      <c r="W252" s="88">
        <f>全车数据表!AM253</f>
        <v>60000</v>
      </c>
      <c r="X252" s="88">
        <f>全车数据表!AU253</f>
        <v>9840000</v>
      </c>
      <c r="Y252" s="88">
        <f>全车数据表!AV253</f>
        <v>25336000</v>
      </c>
      <c r="Z252" s="88">
        <f>全车数据表!AN253</f>
        <v>7</v>
      </c>
      <c r="AA252" s="88">
        <f>全车数据表!AP253</f>
        <v>5</v>
      </c>
      <c r="AB252" s="88">
        <f>全车数据表!AR253</f>
        <v>4</v>
      </c>
      <c r="AC252" s="88">
        <f>全车数据表!AW253</f>
        <v>373</v>
      </c>
      <c r="AD252" s="88">
        <f>全车数据表!AX253</f>
        <v>0</v>
      </c>
      <c r="AE252" s="88">
        <f>全车数据表!AY253</f>
        <v>492</v>
      </c>
      <c r="AF252" s="88" t="str">
        <f>IF(全车数据表!BA253="","",全车数据表!BA253)</f>
        <v>旧版会员</v>
      </c>
      <c r="AG252" s="88" t="str">
        <f>IF(全车数据表!BB253="","",全车数据表!BB253)</f>
        <v/>
      </c>
      <c r="AH252" s="88" t="str">
        <f>IF(全车数据表!BC253="","",全车数据表!BC253)</f>
        <v/>
      </c>
      <c r="AI252" s="88" t="str">
        <f>IF(全车数据表!BD253="","",全车数据表!BD253)</f>
        <v/>
      </c>
      <c r="AJ252" s="88" t="str">
        <f>IF(全车数据表!BE253="","",全车数据表!BE253)</f>
        <v/>
      </c>
      <c r="AK252" s="88" t="str">
        <f>IF(全车数据表!BF253="","",全车数据表!BF253)</f>
        <v/>
      </c>
      <c r="AL252" s="88" t="str">
        <f>IF(全车数据表!BG253="","",全车数据表!BG253)</f>
        <v/>
      </c>
      <c r="AM252" s="88" t="str">
        <f>IF(全车数据表!BH253="","",全车数据表!BH253)</f>
        <v/>
      </c>
      <c r="AN252" s="88" t="str">
        <f>IF(全车数据表!BI253="","",全车数据表!BI253)</f>
        <v/>
      </c>
      <c r="AO252" s="88" t="str">
        <f>IF(全车数据表!BJ253="","",全车数据表!BJ253)</f>
        <v/>
      </c>
      <c r="AP252" s="88" t="str">
        <f>IF(全车数据表!BK253="","",全车数据表!BK253)</f>
        <v/>
      </c>
      <c r="AQ252" s="88" t="str">
        <f>IF(全车数据表!BL253="","",全车数据表!BL253)</f>
        <v/>
      </c>
      <c r="AR252" s="88" t="str">
        <f>IF(全车数据表!BM253="","",全车数据表!BM253)</f>
        <v/>
      </c>
      <c r="AS252" s="88" t="str">
        <f>IF(全车数据表!BN253="","",全车数据表!BN253)</f>
        <v/>
      </c>
      <c r="AT252" s="88" t="str">
        <f>IF(全车数据表!BO253="","",全车数据表!BO253)</f>
        <v/>
      </c>
      <c r="AU252" s="88">
        <f>IF(全车数据表!BP253="","",全车数据表!BP253)</f>
        <v>1</v>
      </c>
      <c r="AV252" s="88" t="str">
        <f>IF(全车数据表!BQ253="","",全车数据表!BQ253)</f>
        <v>2款</v>
      </c>
      <c r="AW252" s="88" t="str">
        <f>IF(全车数据表!BR253="","",全车数据表!BR253)</f>
        <v/>
      </c>
      <c r="AX252" s="88" t="str">
        <f>IF(全车数据表!BS253="","",全车数据表!BS253)</f>
        <v/>
      </c>
      <c r="AY252" s="88" t="str">
        <f>IF(全车数据表!BT253="","",全车数据表!BT253)</f>
        <v/>
      </c>
      <c r="AZ252" s="88" t="str">
        <f>IF(全车数据表!BU253="","",全车数据表!BU253)</f>
        <v/>
      </c>
      <c r="BA252" s="88" t="str">
        <f>IF(全车数据表!BV253="","",全车数据表!BV253)</f>
        <v>迈凯伦 塞纳</v>
      </c>
      <c r="BB252" s="91" t="str">
        <f>IF(全车数据表!AZ253="","",全车数据表!AZ253)</f>
        <v/>
      </c>
    </row>
    <row r="253" spans="1:54">
      <c r="A253" s="88">
        <f>全车数据表!A254</f>
        <v>252</v>
      </c>
      <c r="B253" s="88" t="str">
        <f>全车数据表!B254</f>
        <v>Bugatti Veyron 16.4 Grand Sport Vitesse</v>
      </c>
      <c r="C253" s="89" t="str">
        <f>全车数据表!E254</f>
        <v>veyron</v>
      </c>
      <c r="D253" s="88" t="str">
        <f>IF(全车数据表!D254="","",全车数据表!D254)</f>
        <v>Bugatti</v>
      </c>
      <c r="E253" s="89" t="str">
        <f>全车数据表!H254</f>
        <v>3.2</v>
      </c>
      <c r="F253" s="89" t="str">
        <f>全车数据表!C254</f>
        <v>威龙</v>
      </c>
      <c r="G253" s="89" t="str">
        <f>全车数据表!F254</f>
        <v>S</v>
      </c>
      <c r="H253" s="88">
        <f>LEN(全车数据表!G254)</f>
        <v>6</v>
      </c>
      <c r="I253" s="88" t="str">
        <f>VLOOKUP(全车数据表!P254,辅助计算!A:B,2,FALSE)</f>
        <v>epic</v>
      </c>
      <c r="J253" s="88">
        <f>全车数据表!Q254</f>
        <v>85</v>
      </c>
      <c r="K253" s="88">
        <f>全车数据表!R254</f>
        <v>25</v>
      </c>
      <c r="L253" s="88">
        <f>全车数据表!S254</f>
        <v>29</v>
      </c>
      <c r="M253" s="88">
        <f>全车数据表!T254</f>
        <v>38</v>
      </c>
      <c r="N253" s="88">
        <f>全车数据表!U254</f>
        <v>54</v>
      </c>
      <c r="O253" s="88">
        <f>全车数据表!V254</f>
        <v>69</v>
      </c>
      <c r="P253" s="88">
        <f>全车数据表!J254</f>
        <v>4411</v>
      </c>
      <c r="Q253" s="88">
        <f>全车数据表!K254</f>
        <v>419.1</v>
      </c>
      <c r="R253" s="88">
        <f>全车数据表!L254</f>
        <v>81.08</v>
      </c>
      <c r="S253" s="88">
        <f>全车数据表!M254</f>
        <v>49.17</v>
      </c>
      <c r="T253" s="88">
        <f>全车数据表!N254</f>
        <v>50.7</v>
      </c>
      <c r="U253" s="88">
        <f>全车数据表!O254</f>
        <v>0</v>
      </c>
      <c r="V253" s="88">
        <f>全车数据表!AL254</f>
        <v>15496000</v>
      </c>
      <c r="W253" s="88">
        <f>全车数据表!AM254</f>
        <v>60000</v>
      </c>
      <c r="X253" s="88">
        <f>全车数据表!AU254</f>
        <v>9840000</v>
      </c>
      <c r="Y253" s="88">
        <f>全车数据表!AV254</f>
        <v>25336000</v>
      </c>
      <c r="Z253" s="88">
        <f>全车数据表!AN254</f>
        <v>7</v>
      </c>
      <c r="AA253" s="88">
        <f>全车数据表!AP254</f>
        <v>5</v>
      </c>
      <c r="AB253" s="88">
        <f>全车数据表!AR254</f>
        <v>4</v>
      </c>
      <c r="AC253" s="88">
        <f>全车数据表!AW254</f>
        <v>442</v>
      </c>
      <c r="AD253" s="88">
        <f>全车数据表!AX254</f>
        <v>0</v>
      </c>
      <c r="AE253" s="88">
        <f>全车数据表!AY254</f>
        <v>568</v>
      </c>
      <c r="AF253" s="88" t="str">
        <f>IF(全车数据表!BA254="","",全车数据表!BA254)</f>
        <v>特殊赛事</v>
      </c>
      <c r="AG253" s="88" t="str">
        <f>IF(全车数据表!BB254="","",全车数据表!BB254)</f>
        <v/>
      </c>
      <c r="AH253" s="88" t="str">
        <f>IF(全车数据表!BC254="","",全车数据表!BC254)</f>
        <v/>
      </c>
      <c r="AI253" s="88" t="str">
        <f>IF(全车数据表!BD254="","",全车数据表!BD254)</f>
        <v/>
      </c>
      <c r="AJ253" s="88" t="str">
        <f>IF(全车数据表!BE254="","",全车数据表!BE254)</f>
        <v/>
      </c>
      <c r="AK253" s="88" t="str">
        <f>IF(全车数据表!BF254="","",全车数据表!BF254)</f>
        <v/>
      </c>
      <c r="AL253" s="88" t="str">
        <f>IF(全车数据表!BG254="","",全车数据表!BG254)</f>
        <v/>
      </c>
      <c r="AM253" s="88" t="str">
        <f>IF(全车数据表!BH254="","",全车数据表!BH254)</f>
        <v/>
      </c>
      <c r="AN253" s="88" t="str">
        <f>IF(全车数据表!BI254="","",全车数据表!BI254)</f>
        <v/>
      </c>
      <c r="AO253" s="88" t="str">
        <f>IF(全车数据表!BJ254="","",全车数据表!BJ254)</f>
        <v/>
      </c>
      <c r="AP253" s="88" t="str">
        <f>IF(全车数据表!BK254="","",全车数据表!BK254)</f>
        <v/>
      </c>
      <c r="AQ253" s="88">
        <f>IF(全车数据表!BL254="","",全车数据表!BL254)</f>
        <v>1</v>
      </c>
      <c r="AR253" s="88" t="str">
        <f>IF(全车数据表!BM254="","",全车数据表!BM254)</f>
        <v/>
      </c>
      <c r="AS253" s="88" t="str">
        <f>IF(全车数据表!BN254="","",全车数据表!BN254)</f>
        <v/>
      </c>
      <c r="AT253" s="88" t="str">
        <f>IF(全车数据表!BO254="","",全车数据表!BO254)</f>
        <v/>
      </c>
      <c r="AU253" s="88" t="str">
        <f>IF(全车数据表!BP254="","",全车数据表!BP254)</f>
        <v/>
      </c>
      <c r="AV253" s="88" t="str">
        <f>IF(全车数据表!BQ254="","",全车数据表!BQ254)</f>
        <v>1款</v>
      </c>
      <c r="AW253" s="88" t="str">
        <f>IF(全车数据表!BR254="","",全车数据表!BR254)</f>
        <v/>
      </c>
      <c r="AX253" s="88" t="str">
        <f>IF(全车数据表!BS254="","",全车数据表!BS254)</f>
        <v>无顶</v>
      </c>
      <c r="AY253" s="88">
        <f>IF(全车数据表!BT254="","",全车数据表!BT254)</f>
        <v>1</v>
      </c>
      <c r="AZ253" s="88" t="str">
        <f>IF(全车数据表!BU254="","",全车数据表!BU254)</f>
        <v/>
      </c>
      <c r="BA253" s="88" t="str">
        <f>IF(全车数据表!BV254="","",全车数据表!BV254)</f>
        <v>布加迪 威航</v>
      </c>
      <c r="BB253" s="91" t="str">
        <f>IF(全车数据表!AZ254="","",全车数据表!AZ254)</f>
        <v/>
      </c>
    </row>
    <row r="254" spans="1:54">
      <c r="A254" s="88">
        <f>全车数据表!A255</f>
        <v>253</v>
      </c>
      <c r="B254" s="88" t="str">
        <f>全车数据表!B255</f>
        <v>Lotus Evija</v>
      </c>
      <c r="C254" s="89" t="str">
        <f>全车数据表!E255</f>
        <v>evija</v>
      </c>
      <c r="D254" s="88" t="str">
        <f>IF(全车数据表!D255="","",全车数据表!D255)</f>
        <v>Lotus</v>
      </c>
      <c r="E254" s="89" t="str">
        <f>全车数据表!H255</f>
        <v>2.0</v>
      </c>
      <c r="F254" s="89" t="str">
        <f>全车数据表!C255</f>
        <v>电莲</v>
      </c>
      <c r="G254" s="89" t="str">
        <f>全车数据表!F255</f>
        <v>S</v>
      </c>
      <c r="H254" s="88">
        <f>LEN(全车数据表!G255)</f>
        <v>6</v>
      </c>
      <c r="I254" s="88" t="str">
        <f>VLOOKUP(全车数据表!P255,辅助计算!A:B,2,FALSE)</f>
        <v>epic</v>
      </c>
      <c r="J254" s="88">
        <f>全车数据表!Q255</f>
        <v>30</v>
      </c>
      <c r="K254" s="88">
        <f>全车数据表!R255</f>
        <v>30</v>
      </c>
      <c r="L254" s="88">
        <f>全车数据表!S255</f>
        <v>30</v>
      </c>
      <c r="M254" s="88">
        <f>全车数据表!T255</f>
        <v>35</v>
      </c>
      <c r="N254" s="88">
        <f>全车数据表!U255</f>
        <v>35</v>
      </c>
      <c r="O254" s="88">
        <f>全车数据表!V255</f>
        <v>40</v>
      </c>
      <c r="P254" s="88">
        <f>全车数据表!J255</f>
        <v>4432</v>
      </c>
      <c r="Q254" s="88">
        <f>全车数据表!K255</f>
        <v>368.1</v>
      </c>
      <c r="R254" s="88">
        <f>全车数据表!L255</f>
        <v>81.14</v>
      </c>
      <c r="S254" s="88">
        <f>全车数据表!M255</f>
        <v>65.02</v>
      </c>
      <c r="T254" s="88">
        <f>全车数据表!N255</f>
        <v>63.31</v>
      </c>
      <c r="U254" s="88">
        <f>全车数据表!O255</f>
        <v>6.22</v>
      </c>
      <c r="V254" s="88">
        <f>全车数据表!AL255</f>
        <v>15496000</v>
      </c>
      <c r="W254" s="88">
        <f>全车数据表!AM255</f>
        <v>60000</v>
      </c>
      <c r="X254" s="88">
        <f>全车数据表!AU255</f>
        <v>9840000</v>
      </c>
      <c r="Y254" s="88">
        <f>全车数据表!AV255</f>
        <v>25336000</v>
      </c>
      <c r="Z254" s="88">
        <f>全车数据表!AN255</f>
        <v>7</v>
      </c>
      <c r="AA254" s="88">
        <f>全车数据表!AP255</f>
        <v>5</v>
      </c>
      <c r="AB254" s="88">
        <f>全车数据表!AR255</f>
        <v>4</v>
      </c>
      <c r="AC254" s="88">
        <f>全车数据表!AW255</f>
        <v>383</v>
      </c>
      <c r="AD254" s="88">
        <f>全车数据表!AX255</f>
        <v>0</v>
      </c>
      <c r="AE254" s="88">
        <f>全车数据表!AY255</f>
        <v>509</v>
      </c>
      <c r="AF254" s="88" t="str">
        <f>IF(全车数据表!BA255="","",全车数据表!BA255)</f>
        <v>特殊赛事</v>
      </c>
      <c r="AG254" s="88" t="str">
        <f>IF(全车数据表!BB255="","",全车数据表!BB255)</f>
        <v/>
      </c>
      <c r="AH254" s="88" t="str">
        <f>IF(全车数据表!BC255="","",全车数据表!BC255)</f>
        <v/>
      </c>
      <c r="AI254" s="88">
        <f>IF(全车数据表!BD255="","",全车数据表!BD255)</f>
        <v>1</v>
      </c>
      <c r="AJ254" s="88" t="str">
        <f>IF(全车数据表!BE255="","",全车数据表!BE255)</f>
        <v/>
      </c>
      <c r="AK254" s="88" t="str">
        <f>IF(全车数据表!BF255="","",全车数据表!BF255)</f>
        <v/>
      </c>
      <c r="AL254" s="88" t="str">
        <f>IF(全车数据表!BG255="","",全车数据表!BG255)</f>
        <v/>
      </c>
      <c r="AM254" s="88" t="str">
        <f>IF(全车数据表!BH255="","",全车数据表!BH255)</f>
        <v/>
      </c>
      <c r="AN254" s="88" t="str">
        <f>IF(全车数据表!BI255="","",全车数据表!BI255)</f>
        <v/>
      </c>
      <c r="AO254" s="88" t="str">
        <f>IF(全车数据表!BJ255="","",全车数据表!BJ255)</f>
        <v/>
      </c>
      <c r="AP254" s="88" t="str">
        <f>IF(全车数据表!BK255="","",全车数据表!BK255)</f>
        <v/>
      </c>
      <c r="AQ254" s="88">
        <f>IF(全车数据表!BL255="","",全车数据表!BL255)</f>
        <v>1</v>
      </c>
      <c r="AR254" s="88" t="str">
        <f>IF(全车数据表!BM255="","",全车数据表!BM255)</f>
        <v/>
      </c>
      <c r="AS254" s="88" t="str">
        <f>IF(全车数据表!BN255="","",全车数据表!BN255)</f>
        <v/>
      </c>
      <c r="AT254" s="88" t="str">
        <f>IF(全车数据表!BO255="","",全车数据表!BO255)</f>
        <v/>
      </c>
      <c r="AU254" s="88">
        <f>IF(全车数据表!BP255="","",全车数据表!BP255)</f>
        <v>1</v>
      </c>
      <c r="AV254" s="88" t="str">
        <f>IF(全车数据表!BQ255="","",全车数据表!BQ255)</f>
        <v>2款</v>
      </c>
      <c r="AW254" s="88" t="str">
        <f>IF(全车数据表!BR255="","",全车数据表!BR255)</f>
        <v/>
      </c>
      <c r="AX254" s="88" t="str">
        <f>IF(全车数据表!BS255="","",全车数据表!BS255)</f>
        <v/>
      </c>
      <c r="AY254" s="88">
        <f>IF(全车数据表!BT255="","",全车数据表!BT255)</f>
        <v>1</v>
      </c>
      <c r="AZ254" s="88" t="str">
        <f>IF(全车数据表!BU255="","",全车数据表!BU255)</f>
        <v/>
      </c>
      <c r="BA254" s="88" t="str">
        <f>IF(全车数据表!BV255="","",全车数据表!BV255)</f>
        <v>电莲花 路特斯</v>
      </c>
      <c r="BB254" s="91">
        <f>IF(全车数据表!AZ255="","",全车数据表!AZ255)</f>
        <v>13</v>
      </c>
    </row>
    <row r="255" spans="1:54">
      <c r="A255" s="88">
        <f>全车数据表!A256</f>
        <v>254</v>
      </c>
      <c r="B255" s="88" t="str">
        <f>全车数据表!B256</f>
        <v>Vision 1789</v>
      </c>
      <c r="C255" s="89" t="str">
        <f>全车数据表!E256</f>
        <v>1789</v>
      </c>
      <c r="D255" s="88" t="str">
        <f>IF(全车数据表!D256="","",全车数据表!D256)</f>
        <v>Vision</v>
      </c>
      <c r="E255" s="89" t="str">
        <f>全车数据表!H256</f>
        <v>3.5</v>
      </c>
      <c r="F255" s="89" t="str">
        <f>全车数据表!C256</f>
        <v>1789</v>
      </c>
      <c r="G255" s="89" t="str">
        <f>全车数据表!F256</f>
        <v>S</v>
      </c>
      <c r="H255" s="88">
        <f>LEN(全车数据表!G256)</f>
        <v>6</v>
      </c>
      <c r="I255" s="88" t="str">
        <f>VLOOKUP(全车数据表!P256,辅助计算!A:B,2,FALSE)</f>
        <v>epic</v>
      </c>
      <c r="J255" s="88">
        <f>全车数据表!Q256</f>
        <v>40</v>
      </c>
      <c r="K255" s="88">
        <f>全车数据表!R256</f>
        <v>45</v>
      </c>
      <c r="L255" s="88">
        <f>全车数据表!S256</f>
        <v>55</v>
      </c>
      <c r="M255" s="88">
        <f>全车数据表!T256</f>
        <v>48</v>
      </c>
      <c r="N255" s="88">
        <f>全车数据表!U256</f>
        <v>56</v>
      </c>
      <c r="O255" s="88">
        <f>全车数据表!V256</f>
        <v>56</v>
      </c>
      <c r="P255" s="88">
        <f>全车数据表!J256</f>
        <v>4442</v>
      </c>
      <c r="Q255" s="88">
        <f>全车数据表!K256</f>
        <v>389.9</v>
      </c>
      <c r="R255" s="88">
        <f>全车数据表!L256</f>
        <v>81.28</v>
      </c>
      <c r="S255" s="88">
        <f>全车数据表!M256</f>
        <v>59.91</v>
      </c>
      <c r="T255" s="88">
        <f>全车数据表!N256</f>
        <v>72.19</v>
      </c>
      <c r="U255" s="88">
        <f>全车数据表!O256</f>
        <v>0</v>
      </c>
      <c r="V255" s="88">
        <f>全车数据表!AL256</f>
        <v>0</v>
      </c>
      <c r="W255" s="88">
        <f>全车数据表!AM256</f>
        <v>60000</v>
      </c>
      <c r="X255" s="88">
        <f>全车数据表!AU256</f>
        <v>0</v>
      </c>
      <c r="Y255" s="88">
        <f>全车数据表!AV256</f>
        <v>0</v>
      </c>
      <c r="Z255" s="88">
        <f>全车数据表!AN256</f>
        <v>7</v>
      </c>
      <c r="AA255" s="88">
        <f>全车数据表!AP256</f>
        <v>5</v>
      </c>
      <c r="AB255" s="88">
        <f>全车数据表!AR256</f>
        <v>4</v>
      </c>
      <c r="AC255" s="88">
        <f>全车数据表!AW256</f>
        <v>405</v>
      </c>
      <c r="AD255" s="88">
        <f>全车数据表!AX256</f>
        <v>0</v>
      </c>
      <c r="AE255" s="88">
        <f>全车数据表!AY256</f>
        <v>547</v>
      </c>
      <c r="AF255" s="88" t="str">
        <f>IF(全车数据表!BA256="","",全车数据表!BA256)</f>
        <v>特殊赛事</v>
      </c>
      <c r="AG255" s="88" t="str">
        <f>IF(全车数据表!BB256="","",全车数据表!BB256)</f>
        <v/>
      </c>
      <c r="AH255" s="88" t="str">
        <f>IF(全车数据表!BC256="","",全车数据表!BC256)</f>
        <v/>
      </c>
      <c r="AI255" s="88" t="str">
        <f>IF(全车数据表!BD256="","",全车数据表!BD256)</f>
        <v/>
      </c>
      <c r="AJ255" s="88" t="str">
        <f>IF(全车数据表!BE256="","",全车数据表!BE256)</f>
        <v/>
      </c>
      <c r="AK255" s="88" t="str">
        <f>IF(全车数据表!BF256="","",全车数据表!BF256)</f>
        <v/>
      </c>
      <c r="AL255" s="88" t="str">
        <f>IF(全车数据表!BG256="","",全车数据表!BG256)</f>
        <v/>
      </c>
      <c r="AM255" s="88" t="str">
        <f>IF(全车数据表!BH256="","",全车数据表!BH256)</f>
        <v/>
      </c>
      <c r="AN255" s="88" t="str">
        <f>IF(全车数据表!BI256="","",全车数据表!BI256)</f>
        <v/>
      </c>
      <c r="AO255" s="88" t="str">
        <f>IF(全车数据表!BJ256="","",全车数据表!BJ256)</f>
        <v/>
      </c>
      <c r="AP255" s="88" t="str">
        <f>IF(全车数据表!BK256="","",全车数据表!BK256)</f>
        <v/>
      </c>
      <c r="AQ255" s="88">
        <f>IF(全车数据表!BL256="","",全车数据表!BL256)</f>
        <v>1</v>
      </c>
      <c r="AR255" s="88" t="str">
        <f>IF(全车数据表!BM256="","",全车数据表!BM256)</f>
        <v/>
      </c>
      <c r="AS255" s="88" t="str">
        <f>IF(全车数据表!BN256="","",全车数据表!BN256)</f>
        <v/>
      </c>
      <c r="AT255" s="88" t="str">
        <f>IF(全车数据表!BO256="","",全车数据表!BO256)</f>
        <v/>
      </c>
      <c r="AU255" s="88" t="str">
        <f>IF(全车数据表!BP256="","",全车数据表!BP256)</f>
        <v/>
      </c>
      <c r="AV255" s="88" t="str">
        <f>IF(全车数据表!BQ256="","",全车数据表!BQ256)</f>
        <v>1款</v>
      </c>
      <c r="AW255" s="88" t="str">
        <f>IF(全车数据表!BR256="","",全车数据表!BR256)</f>
        <v/>
      </c>
      <c r="AX255" s="88" t="str">
        <f>IF(全车数据表!BS256="","",全车数据表!BS256)</f>
        <v/>
      </c>
      <c r="AY255" s="88">
        <f>IF(全车数据表!BT256="","",全车数据表!BT256)</f>
        <v>1</v>
      </c>
      <c r="AZ255" s="88" t="str">
        <f>IF(全车数据表!BU256="","",全车数据表!BU256)</f>
        <v/>
      </c>
      <c r="BA255" s="88" t="str">
        <f>IF(全车数据表!BV256="","",全车数据表!BV256)</f>
        <v/>
      </c>
      <c r="BB255" s="91" t="str">
        <f>IF(全车数据表!AZ256="","",全车数据表!AZ256)</f>
        <v/>
      </c>
    </row>
    <row r="256" spans="1:54">
      <c r="A256" s="88">
        <f>全车数据表!A257</f>
        <v>255</v>
      </c>
      <c r="B256" s="88" t="str">
        <f>全车数据表!B257</f>
        <v>Pininfarina Teorema</v>
      </c>
      <c r="C256" s="89" t="str">
        <f>全车数据表!E257</f>
        <v>teorema</v>
      </c>
      <c r="D256" s="88" t="str">
        <f>IF(全车数据表!D257="","",全车数据表!D257)</f>
        <v>Pininfarina</v>
      </c>
      <c r="E256" s="89" t="str">
        <f>全车数据表!H257</f>
        <v>5.3</v>
      </c>
      <c r="F256" s="89" t="str">
        <f>全车数据表!C257</f>
        <v>Teorema</v>
      </c>
      <c r="G256" s="89" t="str">
        <f>全车数据表!F257</f>
        <v>S</v>
      </c>
      <c r="H256" s="88">
        <f>LEN(全车数据表!G257)</f>
        <v>6</v>
      </c>
      <c r="I256" s="88" t="str">
        <f>VLOOKUP(全车数据表!P257,辅助计算!A:B,2,FALSE)</f>
        <v>epic</v>
      </c>
      <c r="J256" s="88">
        <f>全车数据表!Q257</f>
        <v>35</v>
      </c>
      <c r="K256" s="88">
        <f>全车数据表!R257</f>
        <v>40</v>
      </c>
      <c r="L256" s="88">
        <f>全车数据表!S257</f>
        <v>45</v>
      </c>
      <c r="M256" s="88">
        <f>全车数据表!T257</f>
        <v>50</v>
      </c>
      <c r="N256" s="88">
        <f>全车数据表!U257</f>
        <v>60</v>
      </c>
      <c r="O256" s="88">
        <f>全车数据表!V257</f>
        <v>70</v>
      </c>
      <c r="P256" s="88">
        <f>全车数据表!J257</f>
        <v>4473</v>
      </c>
      <c r="Q256" s="88">
        <f>全车数据表!K257</f>
        <v>422.9</v>
      </c>
      <c r="R256" s="88">
        <f>全车数据表!L257</f>
        <v>77.14</v>
      </c>
      <c r="S256" s="88">
        <f>全车数据表!M257</f>
        <v>55.74</v>
      </c>
      <c r="T256" s="88">
        <f>全车数据表!N257</f>
        <v>51.7</v>
      </c>
      <c r="U256" s="88">
        <f>全车数据表!O257</f>
        <v>0</v>
      </c>
      <c r="V256" s="88">
        <f>全车数据表!AL257</f>
        <v>0</v>
      </c>
      <c r="W256" s="88">
        <f>全车数据表!AM257</f>
        <v>66000</v>
      </c>
      <c r="X256" s="88">
        <f>全车数据表!AU257</f>
        <v>0</v>
      </c>
      <c r="Y256" s="88">
        <f>全车数据表!AV257</f>
        <v>0</v>
      </c>
      <c r="Z256" s="88">
        <f>全车数据表!AN257</f>
        <v>7</v>
      </c>
      <c r="AA256" s="88">
        <f>全车数据表!AP257</f>
        <v>5</v>
      </c>
      <c r="AB256" s="88">
        <f>全车数据表!AR257</f>
        <v>4</v>
      </c>
      <c r="AC256" s="88">
        <f>全车数据表!AW257</f>
        <v>0</v>
      </c>
      <c r="AD256" s="88">
        <f>全车数据表!AX257</f>
        <v>0</v>
      </c>
      <c r="AE256" s="88">
        <f>全车数据表!AY257</f>
        <v>0</v>
      </c>
      <c r="AF256" s="88" t="str">
        <f>IF(全车数据表!BA257="","",全车数据表!BA257)</f>
        <v>通行证</v>
      </c>
      <c r="AG256" s="88" t="str">
        <f>IF(全车数据表!BB257="","",全车数据表!BB257)</f>
        <v/>
      </c>
      <c r="AH256" s="88" t="str">
        <f>IF(全车数据表!BC257="","",全车数据表!BC257)</f>
        <v/>
      </c>
      <c r="AI256" s="88" t="str">
        <f>IF(全车数据表!BD257="","",全车数据表!BD257)</f>
        <v/>
      </c>
      <c r="AJ256" s="88" t="str">
        <f>IF(全车数据表!BE257="","",全车数据表!BE257)</f>
        <v/>
      </c>
      <c r="AK256" s="88" t="str">
        <f>IF(全车数据表!BF257="","",全车数据表!BF257)</f>
        <v/>
      </c>
      <c r="AL256" s="88" t="str">
        <f>IF(全车数据表!BG257="","",全车数据表!BG257)</f>
        <v/>
      </c>
      <c r="AM256" s="88" t="str">
        <f>IF(全车数据表!BH257="","",全车数据表!BH257)</f>
        <v/>
      </c>
      <c r="AN256" s="88" t="str">
        <f>IF(全车数据表!BI257="","",全车数据表!BI257)</f>
        <v/>
      </c>
      <c r="AO256" s="88" t="str">
        <f>IF(全车数据表!BJ257="","",全车数据表!BJ257)</f>
        <v/>
      </c>
      <c r="AP256" s="88" t="str">
        <f>IF(全车数据表!BK257="","",全车数据表!BK257)</f>
        <v/>
      </c>
      <c r="AQ256" s="88" t="str">
        <f>IF(全车数据表!BL257="","",全车数据表!BL257)</f>
        <v/>
      </c>
      <c r="AR256" s="88" t="str">
        <f>IF(全车数据表!BM257="","",全车数据表!BM257)</f>
        <v/>
      </c>
      <c r="AS256" s="88" t="str">
        <f>IF(全车数据表!BN257="","",全车数据表!BN257)</f>
        <v/>
      </c>
      <c r="AT256" s="88" t="str">
        <f>IF(全车数据表!BO257="","",全车数据表!BO257)</f>
        <v/>
      </c>
      <c r="AU256" s="88" t="str">
        <f>IF(全车数据表!BP257="","",全车数据表!BP257)</f>
        <v/>
      </c>
      <c r="AV256" s="88" t="str">
        <f>IF(全车数据表!BQ257="","",全车数据表!BQ257)</f>
        <v/>
      </c>
      <c r="AW256" s="88" t="str">
        <f>IF(全车数据表!BR257="","",全车数据表!BR257)</f>
        <v/>
      </c>
      <c r="AX256" s="88" t="str">
        <f>IF(全车数据表!BS257="","",全车数据表!BS257)</f>
        <v/>
      </c>
      <c r="AY256" s="88" t="str">
        <f>IF(全车数据表!BT257="","",全车数据表!BT257)</f>
        <v/>
      </c>
      <c r="AZ256" s="88" t="str">
        <f>IF(全车数据表!BU257="","",全车数据表!BU257)</f>
        <v/>
      </c>
      <c r="BA256" s="88" t="str">
        <f>IF(全车数据表!BV257="","",全车数据表!BV257)</f>
        <v/>
      </c>
      <c r="BB256" s="91" t="str">
        <f>IF(全车数据表!AZ257="","",全车数据表!AZ257)</f>
        <v/>
      </c>
    </row>
    <row r="257" spans="1:54">
      <c r="A257" s="88">
        <f>全车数据表!A258</f>
        <v>256</v>
      </c>
      <c r="B257" s="88" t="str">
        <f>全车数据表!B258</f>
        <v>W Motors Fenyr SuperSport</v>
      </c>
      <c r="C257" s="89" t="str">
        <f>全车数据表!E258</f>
        <v>fenyr</v>
      </c>
      <c r="D257" s="88" t="str">
        <f>IF(全车数据表!D258="","",全车数据表!D258)</f>
        <v>W Motors</v>
      </c>
      <c r="E257" s="89" t="str">
        <f>全车数据表!H258</f>
        <v>1.3</v>
      </c>
      <c r="F257" s="89" t="str">
        <f>全车数据表!C258</f>
        <v>狼王</v>
      </c>
      <c r="G257" s="89" t="str">
        <f>全车数据表!F258</f>
        <v>S</v>
      </c>
      <c r="H257" s="88">
        <f>LEN(全车数据表!G258)</f>
        <v>6</v>
      </c>
      <c r="I257" s="88" t="str">
        <f>VLOOKUP(全车数据表!P258,辅助计算!A:B,2,FALSE)</f>
        <v>epic</v>
      </c>
      <c r="J257" s="88">
        <f>全车数据表!Q258</f>
        <v>60</v>
      </c>
      <c r="K257" s="88">
        <f>全车数据表!R258</f>
        <v>15</v>
      </c>
      <c r="L257" s="88">
        <f>全车数据表!S258</f>
        <v>18</v>
      </c>
      <c r="M257" s="88">
        <f>全车数据表!T258</f>
        <v>25</v>
      </c>
      <c r="N257" s="88">
        <f>全车数据表!U258</f>
        <v>38</v>
      </c>
      <c r="O257" s="88">
        <f>全车数据表!V258</f>
        <v>48</v>
      </c>
      <c r="P257" s="88">
        <f>全车数据表!J258</f>
        <v>4479</v>
      </c>
      <c r="Q257" s="88">
        <f>全车数据表!K258</f>
        <v>416.9</v>
      </c>
      <c r="R257" s="88">
        <f>全车数据表!L258</f>
        <v>82.19</v>
      </c>
      <c r="S257" s="88">
        <f>全车数据表!M258</f>
        <v>43.24</v>
      </c>
      <c r="T257" s="88">
        <f>全车数据表!N258</f>
        <v>68.599999999999994</v>
      </c>
      <c r="U257" s="88">
        <f>全车数据表!O258</f>
        <v>6.1</v>
      </c>
      <c r="V257" s="88">
        <f>全车数据表!AL258</f>
        <v>15496000</v>
      </c>
      <c r="W257" s="88">
        <f>全车数据表!AM258</f>
        <v>60000</v>
      </c>
      <c r="X257" s="88">
        <f>全车数据表!AU258</f>
        <v>9840000</v>
      </c>
      <c r="Y257" s="88">
        <f>全车数据表!AV258</f>
        <v>25336000</v>
      </c>
      <c r="Z257" s="88">
        <f>全车数据表!AN258</f>
        <v>7</v>
      </c>
      <c r="AA257" s="88">
        <f>全车数据表!AP258</f>
        <v>5</v>
      </c>
      <c r="AB257" s="88">
        <f>全车数据表!AR258</f>
        <v>4</v>
      </c>
      <c r="AC257" s="88">
        <f>全车数据表!AW258</f>
        <v>438</v>
      </c>
      <c r="AD257" s="88">
        <f>全车数据表!AX258</f>
        <v>0</v>
      </c>
      <c r="AE257" s="88">
        <f>全车数据表!AY258</f>
        <v>566</v>
      </c>
      <c r="AF257" s="88" t="str">
        <f>IF(全车数据表!BA258="","",全车数据表!BA258)</f>
        <v>旧版多人</v>
      </c>
      <c r="AG257" s="88" t="str">
        <f>IF(全车数据表!BB258="","",全车数据表!BB258)</f>
        <v/>
      </c>
      <c r="AH257" s="88" t="str">
        <f>IF(全车数据表!BC258="","",全车数据表!BC258)</f>
        <v/>
      </c>
      <c r="AI257" s="88" t="str">
        <f>IF(全车数据表!BD258="","",全车数据表!BD258)</f>
        <v/>
      </c>
      <c r="AJ257" s="88" t="str">
        <f>IF(全车数据表!BE258="","",全车数据表!BE258)</f>
        <v/>
      </c>
      <c r="AK257" s="88" t="str">
        <f>IF(全车数据表!BF258="","",全车数据表!BF258)</f>
        <v/>
      </c>
      <c r="AL257" s="88" t="str">
        <f>IF(全车数据表!BG258="","",全车数据表!BG258)</f>
        <v/>
      </c>
      <c r="AM257" s="88" t="str">
        <f>IF(全车数据表!BH258="","",全车数据表!BH258)</f>
        <v/>
      </c>
      <c r="AN257" s="88" t="str">
        <f>IF(全车数据表!BI258="","",全车数据表!BI258)</f>
        <v/>
      </c>
      <c r="AO257" s="88">
        <f>IF(全车数据表!BJ258="","",全车数据表!BJ258)</f>
        <v>1</v>
      </c>
      <c r="AP257" s="88" t="str">
        <f>IF(全车数据表!BK258="","",全车数据表!BK258)</f>
        <v/>
      </c>
      <c r="AQ257" s="88" t="str">
        <f>IF(全车数据表!BL258="","",全车数据表!BL258)</f>
        <v/>
      </c>
      <c r="AR257" s="88" t="str">
        <f>IF(全车数据表!BM258="","",全车数据表!BM258)</f>
        <v/>
      </c>
      <c r="AS257" s="88" t="str">
        <f>IF(全车数据表!BN258="","",全车数据表!BN258)</f>
        <v/>
      </c>
      <c r="AT257" s="88" t="str">
        <f>IF(全车数据表!BO258="","",全车数据表!BO258)</f>
        <v/>
      </c>
      <c r="AU257" s="88" t="str">
        <f>IF(全车数据表!BP258="","",全车数据表!BP258)</f>
        <v/>
      </c>
      <c r="AV257" s="88" t="str">
        <f>IF(全车数据表!BQ258="","",全车数据表!BQ258)</f>
        <v>3款</v>
      </c>
      <c r="AW257" s="88" t="str">
        <f>IF(全车数据表!BR258="","",全车数据表!BR258)</f>
        <v/>
      </c>
      <c r="AX257" s="88" t="str">
        <f>IF(全车数据表!BS258="","",全车数据表!BS258)</f>
        <v/>
      </c>
      <c r="AY257" s="88" t="str">
        <f>IF(全车数据表!BT258="","",全车数据表!BT258)</f>
        <v/>
      </c>
      <c r="AZ257" s="88" t="str">
        <f>IF(全车数据表!BU258="","",全车数据表!BU258)</f>
        <v/>
      </c>
      <c r="BA257" s="88" t="str">
        <f>IF(全车数据表!BV258="","",全车数据表!BV258)</f>
        <v>狼王 芬尼尔</v>
      </c>
      <c r="BB257" s="91" t="str">
        <f>IF(全车数据表!AZ258="","",全车数据表!AZ258)</f>
        <v/>
      </c>
    </row>
    <row r="258" spans="1:54">
      <c r="A258" s="88">
        <f>全车数据表!A259</f>
        <v>257</v>
      </c>
      <c r="B258" s="88" t="str">
        <f>全车数据表!B259</f>
        <v>Aston Martin Valkyrie</v>
      </c>
      <c r="C258" s="89" t="str">
        <f>全车数据表!E259</f>
        <v>valkyrie</v>
      </c>
      <c r="D258" s="88" t="str">
        <f>IF(全车数据表!D259="","",全车数据表!D259)</f>
        <v>Aston Martin</v>
      </c>
      <c r="E258" s="89" t="str">
        <f>全车数据表!H259</f>
        <v>3.0</v>
      </c>
      <c r="F258" s="89" t="str">
        <f>全车数据表!C259</f>
        <v>女武神</v>
      </c>
      <c r="G258" s="89" t="str">
        <f>全车数据表!F259</f>
        <v>S</v>
      </c>
      <c r="H258" s="88">
        <f>LEN(全车数据表!G259)</f>
        <v>6</v>
      </c>
      <c r="I258" s="88" t="str">
        <f>VLOOKUP(全车数据表!P259,辅助计算!A:B,2,FALSE)</f>
        <v>epic</v>
      </c>
      <c r="J258" s="88">
        <f>全车数据表!Q259</f>
        <v>40</v>
      </c>
      <c r="K258" s="88">
        <f>全车数据表!R259</f>
        <v>45</v>
      </c>
      <c r="L258" s="88">
        <f>全车数据表!S259</f>
        <v>55</v>
      </c>
      <c r="M258" s="88">
        <f>全车数据表!T259</f>
        <v>48</v>
      </c>
      <c r="N258" s="88">
        <f>全车数据表!U259</f>
        <v>56</v>
      </c>
      <c r="O258" s="88">
        <f>全车数据表!V259</f>
        <v>56</v>
      </c>
      <c r="P258" s="88">
        <f>全车数据表!J259</f>
        <v>4487</v>
      </c>
      <c r="Q258" s="88">
        <f>全车数据表!K259</f>
        <v>378.1</v>
      </c>
      <c r="R258" s="88">
        <f>全车数据表!L259</f>
        <v>80.260000000000005</v>
      </c>
      <c r="S258" s="88">
        <f>全车数据表!M259</f>
        <v>77.87</v>
      </c>
      <c r="T258" s="88">
        <f>全车数据表!N259</f>
        <v>76.72</v>
      </c>
      <c r="U258" s="88">
        <f>全车数据表!O259</f>
        <v>0</v>
      </c>
      <c r="V258" s="88">
        <f>全车数据表!AL259</f>
        <v>15496000</v>
      </c>
      <c r="W258" s="88">
        <f>全车数据表!AM259</f>
        <v>60000</v>
      </c>
      <c r="X258" s="88">
        <f>全车数据表!AU259</f>
        <v>9840000</v>
      </c>
      <c r="Y258" s="88">
        <f>全车数据表!AV259</f>
        <v>25336000</v>
      </c>
      <c r="Z258" s="88">
        <f>全车数据表!AN259</f>
        <v>7</v>
      </c>
      <c r="AA258" s="88">
        <f>全车数据表!AP259</f>
        <v>5</v>
      </c>
      <c r="AB258" s="88">
        <f>全车数据表!AR259</f>
        <v>4</v>
      </c>
      <c r="AC258" s="88">
        <f>全车数据表!AW259</f>
        <v>393</v>
      </c>
      <c r="AD258" s="88">
        <f>全车数据表!AX259</f>
        <v>0</v>
      </c>
      <c r="AE258" s="88">
        <f>全车数据表!AY259</f>
        <v>527</v>
      </c>
      <c r="AF258" s="88" t="str">
        <f>IF(全车数据表!BA259="","",全车数据表!BA259)</f>
        <v>特殊赛事</v>
      </c>
      <c r="AG258" s="88" t="str">
        <f>IF(全车数据表!BB259="","",全车数据表!BB259)</f>
        <v/>
      </c>
      <c r="AH258" s="88" t="str">
        <f>IF(全车数据表!BC259="","",全车数据表!BC259)</f>
        <v/>
      </c>
      <c r="AI258" s="88" t="str">
        <f>IF(全车数据表!BD259="","",全车数据表!BD259)</f>
        <v/>
      </c>
      <c r="AJ258" s="88" t="str">
        <f>IF(全车数据表!BE259="","",全车数据表!BE259)</f>
        <v/>
      </c>
      <c r="AK258" s="88" t="str">
        <f>IF(全车数据表!BF259="","",全车数据表!BF259)</f>
        <v/>
      </c>
      <c r="AL258" s="88" t="str">
        <f>IF(全车数据表!BG259="","",全车数据表!BG259)</f>
        <v/>
      </c>
      <c r="AM258" s="88" t="str">
        <f>IF(全车数据表!BH259="","",全车数据表!BH259)</f>
        <v/>
      </c>
      <c r="AN258" s="88" t="str">
        <f>IF(全车数据表!BI259="","",全车数据表!BI259)</f>
        <v/>
      </c>
      <c r="AO258" s="88">
        <f>IF(全车数据表!BJ259="","",全车数据表!BJ259)</f>
        <v>1</v>
      </c>
      <c r="AP258" s="88" t="str">
        <f>IF(全车数据表!BK259="","",全车数据表!BK259)</f>
        <v/>
      </c>
      <c r="AQ258" s="88">
        <f>IF(全车数据表!BL259="","",全车数据表!BL259)</f>
        <v>1</v>
      </c>
      <c r="AR258" s="88" t="str">
        <f>IF(全车数据表!BM259="","",全车数据表!BM259)</f>
        <v/>
      </c>
      <c r="AS258" s="88" t="str">
        <f>IF(全车数据表!BN259="","",全车数据表!BN259)</f>
        <v/>
      </c>
      <c r="AT258" s="88" t="str">
        <f>IF(全车数据表!BO259="","",全车数据表!BO259)</f>
        <v/>
      </c>
      <c r="AU258" s="88" t="str">
        <f>IF(全车数据表!BP259="","",全车数据表!BP259)</f>
        <v/>
      </c>
      <c r="AV258" s="88" t="str">
        <f>IF(全车数据表!BQ259="","",全车数据表!BQ259)</f>
        <v>2款</v>
      </c>
      <c r="AW258" s="88" t="str">
        <f>IF(全车数据表!BR259="","",全车数据表!BR259)</f>
        <v/>
      </c>
      <c r="AX258" s="88" t="str">
        <f>IF(全车数据表!BS259="","",全车数据表!BS259)</f>
        <v/>
      </c>
      <c r="AY258" s="88">
        <f>IF(全车数据表!BT259="","",全车数据表!BT259)</f>
        <v>1</v>
      </c>
      <c r="AZ258" s="88" t="str">
        <f>IF(全车数据表!BU259="","",全车数据表!BU259)</f>
        <v/>
      </c>
      <c r="BA258" s="88" t="str">
        <f>IF(全车数据表!BV259="","",全车数据表!BV259)</f>
        <v>阿斯顿马丁</v>
      </c>
      <c r="BB258" s="91" t="str">
        <f>IF(全车数据表!AZ259="","",全车数据表!AZ259)</f>
        <v/>
      </c>
    </row>
    <row r="259" spans="1:54">
      <c r="A259" s="88">
        <f>全车数据表!A260</f>
        <v>258</v>
      </c>
      <c r="B259" s="88" t="str">
        <f>全车数据表!B260</f>
        <v>Rimac Concept_One</v>
      </c>
      <c r="C259" s="89" t="str">
        <f>全车数据表!E260</f>
        <v>c1</v>
      </c>
      <c r="D259" s="88" t="str">
        <f>IF(全车数据表!D260="","",全车数据表!D260)</f>
        <v>Rimac</v>
      </c>
      <c r="E259" s="89" t="str">
        <f>全车数据表!H260</f>
        <v>3.1</v>
      </c>
      <c r="F259" s="89" t="str">
        <f>全车数据表!C260</f>
        <v>C_One</v>
      </c>
      <c r="G259" s="89" t="str">
        <f>全车数据表!F260</f>
        <v>S</v>
      </c>
      <c r="H259" s="88">
        <f>LEN(全车数据表!G260)</f>
        <v>6</v>
      </c>
      <c r="I259" s="88" t="str">
        <f>VLOOKUP(全车数据表!P260,辅助计算!A:B,2,FALSE)</f>
        <v>epic</v>
      </c>
      <c r="J259" s="88">
        <f>全车数据表!Q260</f>
        <v>40</v>
      </c>
      <c r="K259" s="88">
        <f>全车数据表!R260</f>
        <v>45</v>
      </c>
      <c r="L259" s="88">
        <f>全车数据表!S260</f>
        <v>55</v>
      </c>
      <c r="M259" s="88">
        <f>全车数据表!T260</f>
        <v>48</v>
      </c>
      <c r="N259" s="88">
        <f>全车数据表!U260</f>
        <v>56</v>
      </c>
      <c r="O259" s="88">
        <f>全车数据表!V260</f>
        <v>56</v>
      </c>
      <c r="P259" s="88">
        <f>全车数据表!J260</f>
        <v>4490</v>
      </c>
      <c r="Q259" s="88">
        <f>全车数据表!K260</f>
        <v>368.7</v>
      </c>
      <c r="R259" s="88">
        <f>全车数据表!L260</f>
        <v>86.45</v>
      </c>
      <c r="S259" s="88">
        <f>全车数据表!M260</f>
        <v>84.35</v>
      </c>
      <c r="T259" s="88">
        <f>全车数据表!N260</f>
        <v>54.75</v>
      </c>
      <c r="U259" s="88">
        <f>全车数据表!O260</f>
        <v>0</v>
      </c>
      <c r="V259" s="88">
        <f>全车数据表!AL260</f>
        <v>15496000</v>
      </c>
      <c r="W259" s="88">
        <f>全车数据表!AM260</f>
        <v>60000</v>
      </c>
      <c r="X259" s="88">
        <f>全车数据表!AU260</f>
        <v>9840000</v>
      </c>
      <c r="Y259" s="88">
        <f>全车数据表!AV260</f>
        <v>25336000</v>
      </c>
      <c r="Z259" s="88">
        <f>全车数据表!AN260</f>
        <v>7</v>
      </c>
      <c r="AA259" s="88">
        <f>全车数据表!AP260</f>
        <v>5</v>
      </c>
      <c r="AB259" s="88">
        <f>全车数据表!AR260</f>
        <v>4</v>
      </c>
      <c r="AC259" s="88">
        <f>全车数据表!AW260</f>
        <v>383</v>
      </c>
      <c r="AD259" s="88">
        <f>全车数据表!AX260</f>
        <v>0</v>
      </c>
      <c r="AE259" s="88">
        <f>全车数据表!AY260</f>
        <v>510</v>
      </c>
      <c r="AF259" s="88" t="str">
        <f>IF(全车数据表!BA260="","",全车数据表!BA260)</f>
        <v>特殊赛事</v>
      </c>
      <c r="AG259" s="88" t="str">
        <f>IF(全车数据表!BB260="","",全车数据表!BB260)</f>
        <v/>
      </c>
      <c r="AH259" s="88" t="str">
        <f>IF(全车数据表!BC260="","",全车数据表!BC260)</f>
        <v/>
      </c>
      <c r="AI259" s="88" t="str">
        <f>IF(全车数据表!BD260="","",全车数据表!BD260)</f>
        <v/>
      </c>
      <c r="AJ259" s="88" t="str">
        <f>IF(全车数据表!BE260="","",全车数据表!BE260)</f>
        <v/>
      </c>
      <c r="AK259" s="88" t="str">
        <f>IF(全车数据表!BF260="","",全车数据表!BF260)</f>
        <v/>
      </c>
      <c r="AL259" s="88" t="str">
        <f>IF(全车数据表!BG260="","",全车数据表!BG260)</f>
        <v/>
      </c>
      <c r="AM259" s="88" t="str">
        <f>IF(全车数据表!BH260="","",全车数据表!BH260)</f>
        <v/>
      </c>
      <c r="AN259" s="88" t="str">
        <f>IF(全车数据表!BI260="","",全车数据表!BI260)</f>
        <v/>
      </c>
      <c r="AO259" s="88" t="str">
        <f>IF(全车数据表!BJ260="","",全车数据表!BJ260)</f>
        <v/>
      </c>
      <c r="AP259" s="88" t="str">
        <f>IF(全车数据表!BK260="","",全车数据表!BK260)</f>
        <v/>
      </c>
      <c r="AQ259" s="88">
        <f>IF(全车数据表!BL260="","",全车数据表!BL260)</f>
        <v>1</v>
      </c>
      <c r="AR259" s="88" t="str">
        <f>IF(全车数据表!BM260="","",全车数据表!BM260)</f>
        <v/>
      </c>
      <c r="AS259" s="88" t="str">
        <f>IF(全车数据表!BN260="","",全车数据表!BN260)</f>
        <v/>
      </c>
      <c r="AT259" s="88" t="str">
        <f>IF(全车数据表!BO260="","",全车数据表!BO260)</f>
        <v/>
      </c>
      <c r="AU259" s="88" t="str">
        <f>IF(全车数据表!BP260="","",全车数据表!BP260)</f>
        <v/>
      </c>
      <c r="AV259" s="88" t="str">
        <f>IF(全车数据表!BQ260="","",全车数据表!BQ260)</f>
        <v>1款</v>
      </c>
      <c r="AW259" s="88" t="str">
        <f>IF(全车数据表!BR260="","",全车数据表!BR260)</f>
        <v/>
      </c>
      <c r="AX259" s="88" t="str">
        <f>IF(全车数据表!BS260="","",全车数据表!BS260)</f>
        <v/>
      </c>
      <c r="AY259" s="88">
        <f>IF(全车数据表!BT260="","",全车数据表!BT260)</f>
        <v>1</v>
      </c>
      <c r="AZ259" s="88" t="str">
        <f>IF(全车数据表!BU260="","",全车数据表!BU260)</f>
        <v/>
      </c>
      <c r="BA259" s="88" t="str">
        <f>IF(全车数据表!BV260="","",全车数据表!BV260)</f>
        <v/>
      </c>
      <c r="BB259" s="91" t="str">
        <f>IF(全车数据表!AZ260="","",全车数据表!AZ260)</f>
        <v/>
      </c>
    </row>
    <row r="260" spans="1:54">
      <c r="A260" s="88">
        <f>全车数据表!A261</f>
        <v>259</v>
      </c>
      <c r="B260" s="88" t="str">
        <f>全车数据表!B261</f>
        <v>Zenvo TS1 GT Anniversary</v>
      </c>
      <c r="C260" s="89" t="str">
        <f>全车数据表!E261</f>
        <v>ts1</v>
      </c>
      <c r="D260" s="88" t="str">
        <f>IF(全车数据表!D261="","",全车数据表!D261)</f>
        <v>Zenvo</v>
      </c>
      <c r="E260" s="89" t="str">
        <f>全车数据表!H261</f>
        <v>1.9</v>
      </c>
      <c r="F260" s="89" t="str">
        <f>全车数据表!C261</f>
        <v>自燃车</v>
      </c>
      <c r="G260" s="89" t="str">
        <f>全车数据表!F261</f>
        <v>S</v>
      </c>
      <c r="H260" s="88">
        <f>LEN(全车数据表!G261)</f>
        <v>6</v>
      </c>
      <c r="I260" s="88" t="str">
        <f>VLOOKUP(全车数据表!P261,辅助计算!A:B,2,FALSE)</f>
        <v>epic</v>
      </c>
      <c r="J260" s="88">
        <f>全车数据表!Q261</f>
        <v>30</v>
      </c>
      <c r="K260" s="88">
        <f>全车数据表!R261</f>
        <v>13</v>
      </c>
      <c r="L260" s="88">
        <f>全车数据表!S261</f>
        <v>21</v>
      </c>
      <c r="M260" s="88">
        <f>全车数据表!T261</f>
        <v>32</v>
      </c>
      <c r="N260" s="88">
        <f>全车数据表!U261</f>
        <v>46</v>
      </c>
      <c r="O260" s="88">
        <f>全车数据表!V261</f>
        <v>58</v>
      </c>
      <c r="P260" s="88">
        <f>全车数据表!J261</f>
        <v>4521</v>
      </c>
      <c r="Q260" s="88">
        <f>全车数据表!K261</f>
        <v>418.2</v>
      </c>
      <c r="R260" s="88">
        <f>全车数据表!L261</f>
        <v>81.290000000000006</v>
      </c>
      <c r="S260" s="88">
        <f>全车数据表!M261</f>
        <v>46.66</v>
      </c>
      <c r="T260" s="88">
        <f>全车数据表!N261</f>
        <v>63.43</v>
      </c>
      <c r="U260" s="88">
        <f>全车数据表!O261</f>
        <v>5.5670000000000002</v>
      </c>
      <c r="V260" s="88">
        <f>全车数据表!AL261</f>
        <v>15496000</v>
      </c>
      <c r="W260" s="88">
        <f>全车数据表!AM261</f>
        <v>60000</v>
      </c>
      <c r="X260" s="88">
        <f>全车数据表!AU261</f>
        <v>9840000</v>
      </c>
      <c r="Y260" s="88">
        <f>全车数据表!AV261</f>
        <v>25336000</v>
      </c>
      <c r="Z260" s="88">
        <f>全车数据表!AN261</f>
        <v>7</v>
      </c>
      <c r="AA260" s="88">
        <f>全车数据表!AP261</f>
        <v>5</v>
      </c>
      <c r="AB260" s="88">
        <f>全车数据表!AR261</f>
        <v>4</v>
      </c>
      <c r="AC260" s="88">
        <f>全车数据表!AW261</f>
        <v>443</v>
      </c>
      <c r="AD260" s="88">
        <f>全车数据表!AX261</f>
        <v>0</v>
      </c>
      <c r="AE260" s="88">
        <f>全车数据表!AY261</f>
        <v>568</v>
      </c>
      <c r="AF260" s="88" t="str">
        <f>IF(全车数据表!BA261="","",全车数据表!BA261)</f>
        <v>特殊赛事</v>
      </c>
      <c r="AG260" s="88" t="str">
        <f>IF(全车数据表!BB261="","",全车数据表!BB261)</f>
        <v/>
      </c>
      <c r="AH260" s="88" t="str">
        <f>IF(全车数据表!BC261="","",全车数据表!BC261)</f>
        <v/>
      </c>
      <c r="AI260" s="88" t="str">
        <f>IF(全车数据表!BD261="","",全车数据表!BD261)</f>
        <v/>
      </c>
      <c r="AJ260" s="88" t="str">
        <f>IF(全车数据表!BE261="","",全车数据表!BE261)</f>
        <v/>
      </c>
      <c r="AK260" s="88" t="str">
        <f>IF(全车数据表!BF261="","",全车数据表!BF261)</f>
        <v/>
      </c>
      <c r="AL260" s="88" t="str">
        <f>IF(全车数据表!BG261="","",全车数据表!BG261)</f>
        <v/>
      </c>
      <c r="AM260" s="88" t="str">
        <f>IF(全车数据表!BH261="","",全车数据表!BH261)</f>
        <v/>
      </c>
      <c r="AN260" s="88" t="str">
        <f>IF(全车数据表!BI261="","",全车数据表!BI261)</f>
        <v/>
      </c>
      <c r="AO260" s="88">
        <f>IF(全车数据表!BJ261="","",全车数据表!BJ261)</f>
        <v>1</v>
      </c>
      <c r="AP260" s="88" t="str">
        <f>IF(全车数据表!BK261="","",全车数据表!BK261)</f>
        <v/>
      </c>
      <c r="AQ260" s="88">
        <f>IF(全车数据表!BL261="","",全车数据表!BL261)</f>
        <v>1</v>
      </c>
      <c r="AR260" s="88" t="str">
        <f>IF(全车数据表!BM261="","",全车数据表!BM261)</f>
        <v/>
      </c>
      <c r="AS260" s="88" t="str">
        <f>IF(全车数据表!BN261="","",全车数据表!BN261)</f>
        <v/>
      </c>
      <c r="AT260" s="88" t="str">
        <f>IF(全车数据表!BO261="","",全车数据表!BO261)</f>
        <v/>
      </c>
      <c r="AU260" s="88" t="str">
        <f>IF(全车数据表!BP261="","",全车数据表!BP261)</f>
        <v/>
      </c>
      <c r="AV260" s="88" t="str">
        <f>IF(全车数据表!BQ261="","",全车数据表!BQ261)</f>
        <v>2021春节</v>
      </c>
      <c r="AW260" s="88" t="str">
        <f>IF(全车数据表!BR261="","",全车数据表!BR261)</f>
        <v/>
      </c>
      <c r="AX260" s="88" t="str">
        <f>IF(全车数据表!BS261="","",全车数据表!BS261)</f>
        <v/>
      </c>
      <c r="AY260" s="88" t="str">
        <f>IF(全车数据表!BT261="","",全车数据表!BT261)</f>
        <v/>
      </c>
      <c r="AZ260" s="88" t="str">
        <f>IF(全车数据表!BU261="","",全车数据表!BU261)</f>
        <v/>
      </c>
      <c r="BA260" s="88" t="str">
        <f>IF(全车数据表!BV261="","",全车数据表!BV261)</f>
        <v>自燃</v>
      </c>
      <c r="BB260" s="91" t="str">
        <f>IF(全车数据表!AZ261="","",全车数据表!AZ261)</f>
        <v/>
      </c>
    </row>
    <row r="261" spans="1:54">
      <c r="A261" s="88">
        <f>全车数据表!A262</f>
        <v>260</v>
      </c>
      <c r="B261" s="88" t="str">
        <f>全车数据表!B262</f>
        <v>Rimac Concept S</v>
      </c>
      <c r="C261" s="89" t="str">
        <f>全车数据表!E262</f>
        <v>cs</v>
      </c>
      <c r="D261" s="88" t="str">
        <f>IF(全车数据表!D262="","",全车数据表!D262)</f>
        <v>Rimac</v>
      </c>
      <c r="E261" s="89" t="str">
        <f>全车数据表!H262</f>
        <v>4.4</v>
      </c>
      <c r="F261" s="89" t="str">
        <f>全车数据表!C262</f>
        <v>CS</v>
      </c>
      <c r="G261" s="89" t="str">
        <f>全车数据表!F262</f>
        <v>S</v>
      </c>
      <c r="H261" s="88">
        <f>LEN(全车数据表!G262)</f>
        <v>6</v>
      </c>
      <c r="I261" s="88" t="str">
        <f>VLOOKUP(全车数据表!P262,辅助计算!A:B,2,FALSE)</f>
        <v>epic</v>
      </c>
      <c r="J261" s="88">
        <f>全车数据表!Q262</f>
        <v>40</v>
      </c>
      <c r="K261" s="88">
        <f>全车数据表!R262</f>
        <v>45</v>
      </c>
      <c r="L261" s="88">
        <f>全车数据表!S262</f>
        <v>55</v>
      </c>
      <c r="M261" s="88">
        <f>全车数据表!T262</f>
        <v>48</v>
      </c>
      <c r="N261" s="88">
        <f>全车数据表!U262</f>
        <v>56</v>
      </c>
      <c r="O261" s="88">
        <f>全车数据表!V262</f>
        <v>56</v>
      </c>
      <c r="P261" s="88">
        <f>全车数据表!J262</f>
        <v>4528</v>
      </c>
      <c r="Q261" s="88">
        <f>全车数据表!K262</f>
        <v>376.3</v>
      </c>
      <c r="R261" s="88">
        <f>全车数据表!L262</f>
        <v>84.53</v>
      </c>
      <c r="S261" s="88">
        <f>全车数据表!M262</f>
        <v>79.09</v>
      </c>
      <c r="T261" s="88">
        <f>全车数据表!N262</f>
        <v>69.86</v>
      </c>
      <c r="U261" s="88">
        <f>全车数据表!O262</f>
        <v>0</v>
      </c>
      <c r="V261" s="88">
        <f>全车数据表!AL262</f>
        <v>22000000</v>
      </c>
      <c r="W261" s="88">
        <f>全车数据表!AM262</f>
        <v>90000</v>
      </c>
      <c r="X261" s="88">
        <f>全车数据表!AU262</f>
        <v>14760000</v>
      </c>
      <c r="Y261" s="88">
        <f>全车数据表!AV262</f>
        <v>36760000</v>
      </c>
      <c r="Z261" s="88">
        <f>全车数据表!AN262</f>
        <v>7</v>
      </c>
      <c r="AA261" s="88">
        <f>全车数据表!AP262</f>
        <v>5</v>
      </c>
      <c r="AB261" s="88">
        <f>全车数据表!AR262</f>
        <v>4</v>
      </c>
      <c r="AC261" s="88">
        <f>全车数据表!AW262</f>
        <v>391</v>
      </c>
      <c r="AD261" s="88">
        <f>全车数据表!AX262</f>
        <v>0</v>
      </c>
      <c r="AE261" s="88">
        <f>全车数据表!AY262</f>
        <v>523</v>
      </c>
      <c r="AF261" s="88" t="str">
        <f>IF(全车数据表!BA262="","",全车数据表!BA262)</f>
        <v>特殊赛事</v>
      </c>
      <c r="AG261" s="88" t="str">
        <f>IF(全车数据表!BB262="","",全车数据表!BB262)</f>
        <v/>
      </c>
      <c r="AH261" s="88" t="str">
        <f>IF(全车数据表!BC262="","",全车数据表!BC262)</f>
        <v/>
      </c>
      <c r="AI261" s="88" t="str">
        <f>IF(全车数据表!BD262="","",全车数据表!BD262)</f>
        <v/>
      </c>
      <c r="AJ261" s="88" t="str">
        <f>IF(全车数据表!BE262="","",全车数据表!BE262)</f>
        <v/>
      </c>
      <c r="AK261" s="88" t="str">
        <f>IF(全车数据表!BF262="","",全车数据表!BF262)</f>
        <v/>
      </c>
      <c r="AL261" s="88" t="str">
        <f>IF(全车数据表!BG262="","",全车数据表!BG262)</f>
        <v/>
      </c>
      <c r="AM261" s="88" t="str">
        <f>IF(全车数据表!BH262="","",全车数据表!BH262)</f>
        <v/>
      </c>
      <c r="AN261" s="88" t="str">
        <f>IF(全车数据表!BI262="","",全车数据表!BI262)</f>
        <v/>
      </c>
      <c r="AO261" s="88" t="str">
        <f>IF(全车数据表!BJ262="","",全车数据表!BJ262)</f>
        <v/>
      </c>
      <c r="AP261" s="88" t="str">
        <f>IF(全车数据表!BK262="","",全车数据表!BK262)</f>
        <v/>
      </c>
      <c r="AQ261" s="88">
        <f>IF(全车数据表!BL262="","",全车数据表!BL262)</f>
        <v>1</v>
      </c>
      <c r="AR261" s="88" t="str">
        <f>IF(全车数据表!BM262="","",全车数据表!BM262)</f>
        <v/>
      </c>
      <c r="AS261" s="88" t="str">
        <f>IF(全车数据表!BN262="","",全车数据表!BN262)</f>
        <v/>
      </c>
      <c r="AT261" s="88" t="str">
        <f>IF(全车数据表!BO262="","",全车数据表!BO262)</f>
        <v/>
      </c>
      <c r="AU261" s="88" t="str">
        <f>IF(全车数据表!BP262="","",全车数据表!BP262)</f>
        <v/>
      </c>
      <c r="AV261" s="88" t="str">
        <f>IF(全车数据表!BQ262="","",全车数据表!BQ262)</f>
        <v/>
      </c>
      <c r="AW261" s="88" t="str">
        <f>IF(全车数据表!BR262="","",全车数据表!BR262)</f>
        <v/>
      </c>
      <c r="AX261" s="88" t="str">
        <f>IF(全车数据表!BS262="","",全车数据表!BS262)</f>
        <v/>
      </c>
      <c r="AY261" s="88" t="str">
        <f>IF(全车数据表!BT262="","",全车数据表!BT262)</f>
        <v/>
      </c>
      <c r="AZ261" s="88" t="str">
        <f>IF(全车数据表!BU262="","",全车数据表!BU262)</f>
        <v/>
      </c>
      <c r="BA261" s="88" t="str">
        <f>IF(全车数据表!BV262="","",全车数据表!BV262)</f>
        <v/>
      </c>
      <c r="BB261" s="91" t="str">
        <f>IF(全车数据表!AZ262="","",全车数据表!AZ262)</f>
        <v/>
      </c>
    </row>
    <row r="262" spans="1:54">
      <c r="A262" s="88">
        <f>全车数据表!A263</f>
        <v>261</v>
      </c>
      <c r="B262" s="88" t="str">
        <f>全车数据表!B263</f>
        <v>Ferrari SF90 Stradale</v>
      </c>
      <c r="C262" s="89" t="str">
        <f>全车数据表!E263</f>
        <v>sf90</v>
      </c>
      <c r="D262" s="88" t="str">
        <f>IF(全车数据表!D263="","",全车数据表!D263)</f>
        <v>Ferrari</v>
      </c>
      <c r="E262" s="89" t="str">
        <f>全车数据表!H263</f>
        <v>2.6</v>
      </c>
      <c r="F262" s="89" t="str">
        <f>全车数据表!C263</f>
        <v>SF90</v>
      </c>
      <c r="G262" s="89" t="str">
        <f>全车数据表!F263</f>
        <v>S</v>
      </c>
      <c r="H262" s="88">
        <f>LEN(全车数据表!G263)</f>
        <v>6</v>
      </c>
      <c r="I262" s="88" t="str">
        <f>VLOOKUP(全车数据表!P263,辅助计算!A:B,2,FALSE)</f>
        <v>epic</v>
      </c>
      <c r="J262" s="88">
        <f>全车数据表!Q263</f>
        <v>40</v>
      </c>
      <c r="K262" s="88">
        <f>全车数据表!R263</f>
        <v>45</v>
      </c>
      <c r="L262" s="88">
        <f>全车数据表!S263</f>
        <v>55</v>
      </c>
      <c r="M262" s="88">
        <f>全车数据表!T263</f>
        <v>48</v>
      </c>
      <c r="N262" s="88">
        <f>全车数据表!U263</f>
        <v>56</v>
      </c>
      <c r="O262" s="88">
        <f>全车数据表!V263</f>
        <v>56</v>
      </c>
      <c r="P262" s="88">
        <f>全车数据表!J263</f>
        <v>4550</v>
      </c>
      <c r="Q262" s="88">
        <f>全车数据表!K263</f>
        <v>360.1</v>
      </c>
      <c r="R262" s="88">
        <f>全车数据表!L263</f>
        <v>86.83</v>
      </c>
      <c r="S262" s="88">
        <f>全车数据表!M263</f>
        <v>93.5</v>
      </c>
      <c r="T262" s="88">
        <f>全车数据表!N263</f>
        <v>69.88</v>
      </c>
      <c r="U262" s="88">
        <f>全车数据表!O263</f>
        <v>7.73</v>
      </c>
      <c r="V262" s="88">
        <f>全车数据表!AL263</f>
        <v>15496000</v>
      </c>
      <c r="W262" s="88">
        <f>全车数据表!AM263</f>
        <v>60000</v>
      </c>
      <c r="X262" s="88">
        <f>全车数据表!AU263</f>
        <v>9840000</v>
      </c>
      <c r="Y262" s="88">
        <f>全车数据表!AV263</f>
        <v>25336000</v>
      </c>
      <c r="Z262" s="88">
        <f>全车数据表!AN263</f>
        <v>7</v>
      </c>
      <c r="AA262" s="88">
        <f>全车数据表!AP263</f>
        <v>5</v>
      </c>
      <c r="AB262" s="88">
        <f>全车数据表!AR263</f>
        <v>4</v>
      </c>
      <c r="AC262" s="88">
        <f>全车数据表!AW263</f>
        <v>374</v>
      </c>
      <c r="AD262" s="88">
        <f>全车数据表!AX263</f>
        <v>384</v>
      </c>
      <c r="AE262" s="88">
        <f>全车数据表!AY263</f>
        <v>509</v>
      </c>
      <c r="AF262" s="88" t="str">
        <f>IF(全车数据表!BA263="","",全车数据表!BA263)</f>
        <v>特殊赛事</v>
      </c>
      <c r="AG262" s="88" t="str">
        <f>IF(全车数据表!BB263="","",全车数据表!BB263)</f>
        <v/>
      </c>
      <c r="AH262" s="88" t="str">
        <f>IF(全车数据表!BC263="","",全车数据表!BC263)</f>
        <v/>
      </c>
      <c r="AI262" s="88" t="str">
        <f>IF(全车数据表!BD263="","",全车数据表!BD263)</f>
        <v/>
      </c>
      <c r="AJ262" s="88" t="str">
        <f>IF(全车数据表!BE263="","",全车数据表!BE263)</f>
        <v/>
      </c>
      <c r="AK262" s="88" t="str">
        <f>IF(全车数据表!BF263="","",全车数据表!BF263)</f>
        <v/>
      </c>
      <c r="AL262" s="88" t="str">
        <f>IF(全车数据表!BG263="","",全车数据表!BG263)</f>
        <v/>
      </c>
      <c r="AM262" s="88" t="str">
        <f>IF(全车数据表!BH263="","",全车数据表!BH263)</f>
        <v/>
      </c>
      <c r="AN262" s="88" t="str">
        <f>IF(全车数据表!BI263="","",全车数据表!BI263)</f>
        <v/>
      </c>
      <c r="AO262" s="88">
        <f>IF(全车数据表!BJ263="","",全车数据表!BJ263)</f>
        <v>1</v>
      </c>
      <c r="AP262" s="88" t="str">
        <f>IF(全车数据表!BK263="","",全车数据表!BK263)</f>
        <v/>
      </c>
      <c r="AQ262" s="88">
        <f>IF(全车数据表!BL263="","",全车数据表!BL263)</f>
        <v>1</v>
      </c>
      <c r="AR262" s="88" t="str">
        <f>IF(全车数据表!BM263="","",全车数据表!BM263)</f>
        <v/>
      </c>
      <c r="AS262" s="88" t="str">
        <f>IF(全车数据表!BN263="","",全车数据表!BN263)</f>
        <v/>
      </c>
      <c r="AT262" s="88" t="str">
        <f>IF(全车数据表!BO263="","",全车数据表!BO263)</f>
        <v/>
      </c>
      <c r="AU262" s="88">
        <f>IF(全车数据表!BP263="","",全车数据表!BP263)</f>
        <v>1</v>
      </c>
      <c r="AV262" s="88" t="str">
        <f>IF(全车数据表!BQ263="","",全车数据表!BQ263)</f>
        <v>2款</v>
      </c>
      <c r="AW262" s="88" t="str">
        <f>IF(全车数据表!BR263="","",全车数据表!BR263)</f>
        <v/>
      </c>
      <c r="AX262" s="88" t="str">
        <f>IF(全车数据表!BS263="","",全车数据表!BS263)</f>
        <v/>
      </c>
      <c r="AY262" s="88">
        <f>IF(全车数据表!BT263="","",全车数据表!BT263)</f>
        <v>1</v>
      </c>
      <c r="AZ262" s="88" t="str">
        <f>IF(全车数据表!BU263="","",全车数据表!BU263)</f>
        <v/>
      </c>
      <c r="BA262" s="88" t="str">
        <f>IF(全车数据表!BV263="","",全车数据表!BV263)</f>
        <v>法拉利 顺丰</v>
      </c>
      <c r="BB262" s="91" t="str">
        <f>IF(全车数据表!AZ263="","",全车数据表!AZ263)</f>
        <v/>
      </c>
    </row>
    <row r="263" spans="1:54">
      <c r="A263" s="88">
        <f>全车数据表!A264</f>
        <v>262</v>
      </c>
      <c r="B263" s="88" t="str">
        <f>全车数据表!B264</f>
        <v>Automobili Pininfarina Battista</v>
      </c>
      <c r="C263" s="89" t="str">
        <f>全车数据表!E264</f>
        <v>battista</v>
      </c>
      <c r="D263" s="88" t="str">
        <f>IF(全车数据表!D264="","",全车数据表!D264)</f>
        <v>Automobili Pininfarina</v>
      </c>
      <c r="E263" s="89" t="str">
        <f>全车数据表!H264</f>
        <v>2.9</v>
      </c>
      <c r="F263" s="89" t="str">
        <f>全车数据表!C264</f>
        <v>秋王</v>
      </c>
      <c r="G263" s="89" t="str">
        <f>全车数据表!F264</f>
        <v>S</v>
      </c>
      <c r="H263" s="88">
        <f>LEN(全车数据表!G264)</f>
        <v>6</v>
      </c>
      <c r="I263" s="88" t="str">
        <f>VLOOKUP(全车数据表!P264,辅助计算!A:B,2,FALSE)</f>
        <v>epic</v>
      </c>
      <c r="J263" s="88">
        <f>全车数据表!Q264</f>
        <v>60</v>
      </c>
      <c r="K263" s="88">
        <f>全车数据表!R264</f>
        <v>25</v>
      </c>
      <c r="L263" s="88">
        <f>全车数据表!S264</f>
        <v>35</v>
      </c>
      <c r="M263" s="88">
        <f>全车数据表!T264</f>
        <v>46</v>
      </c>
      <c r="N263" s="88">
        <f>全车数据表!U264</f>
        <v>58</v>
      </c>
      <c r="O263" s="88">
        <f>全车数据表!V264</f>
        <v>76</v>
      </c>
      <c r="P263" s="88">
        <f>全车数据表!J264</f>
        <v>4551</v>
      </c>
      <c r="Q263" s="88">
        <f>全车数据表!K264</f>
        <v>368.3</v>
      </c>
      <c r="R263" s="88">
        <f>全车数据表!L264</f>
        <v>88.48</v>
      </c>
      <c r="S263" s="88">
        <f>全车数据表!M264</f>
        <v>80.42</v>
      </c>
      <c r="T263" s="88">
        <f>全车数据表!N264</f>
        <v>78.22</v>
      </c>
      <c r="U263" s="88">
        <f>全车数据表!O264</f>
        <v>8.6300000000000008</v>
      </c>
      <c r="V263" s="88">
        <f>全车数据表!AL264</f>
        <v>15496000</v>
      </c>
      <c r="W263" s="88">
        <f>全车数据表!AM264</f>
        <v>60000</v>
      </c>
      <c r="X263" s="88">
        <f>全车数据表!AU264</f>
        <v>9840000</v>
      </c>
      <c r="Y263" s="88">
        <f>全车数据表!AV264</f>
        <v>25336000</v>
      </c>
      <c r="Z263" s="88">
        <f>全车数据表!AN264</f>
        <v>7</v>
      </c>
      <c r="AA263" s="88">
        <f>全车数据表!AP264</f>
        <v>5</v>
      </c>
      <c r="AB263" s="88">
        <f>全车数据表!AR264</f>
        <v>4</v>
      </c>
      <c r="AC263" s="88">
        <f>全车数据表!AW264</f>
        <v>382</v>
      </c>
      <c r="AD263" s="88">
        <f>全车数据表!AX264</f>
        <v>0</v>
      </c>
      <c r="AE263" s="88">
        <f>全车数据表!AY264</f>
        <v>509</v>
      </c>
      <c r="AF263" s="88" t="str">
        <f>IF(全车数据表!BA264="","",全车数据表!BA264)</f>
        <v>特殊赛事</v>
      </c>
      <c r="AG263" s="88" t="str">
        <f>IF(全车数据表!BB264="","",全车数据表!BB264)</f>
        <v/>
      </c>
      <c r="AH263" s="88" t="str">
        <f>IF(全车数据表!BC264="","",全车数据表!BC264)</f>
        <v/>
      </c>
      <c r="AI263" s="88" t="str">
        <f>IF(全车数据表!BD264="","",全车数据表!BD264)</f>
        <v/>
      </c>
      <c r="AJ263" s="88" t="str">
        <f>IF(全车数据表!BE264="","",全车数据表!BE264)</f>
        <v/>
      </c>
      <c r="AK263" s="88" t="str">
        <f>IF(全车数据表!BF264="","",全车数据表!BF264)</f>
        <v/>
      </c>
      <c r="AL263" s="88" t="str">
        <f>IF(全车数据表!BG264="","",全车数据表!BG264)</f>
        <v/>
      </c>
      <c r="AM263" s="88" t="str">
        <f>IF(全车数据表!BH264="","",全车数据表!BH264)</f>
        <v/>
      </c>
      <c r="AN263" s="88" t="str">
        <f>IF(全车数据表!BI264="","",全车数据表!BI264)</f>
        <v/>
      </c>
      <c r="AO263" s="88" t="str">
        <f>IF(全车数据表!BJ264="","",全车数据表!BJ264)</f>
        <v/>
      </c>
      <c r="AP263" s="88" t="str">
        <f>IF(全车数据表!BK264="","",全车数据表!BK264)</f>
        <v/>
      </c>
      <c r="AQ263" s="88">
        <f>IF(全车数据表!BL264="","",全车数据表!BL264)</f>
        <v>1</v>
      </c>
      <c r="AR263" s="88" t="str">
        <f>IF(全车数据表!BM264="","",全车数据表!BM264)</f>
        <v/>
      </c>
      <c r="AS263" s="88" t="str">
        <f>IF(全车数据表!BN264="","",全车数据表!BN264)</f>
        <v/>
      </c>
      <c r="AT263" s="88" t="str">
        <f>IF(全车数据表!BO264="","",全车数据表!BO264)</f>
        <v/>
      </c>
      <c r="AU263" s="88">
        <f>IF(全车数据表!BP264="","",全车数据表!BP264)</f>
        <v>1</v>
      </c>
      <c r="AV263" s="88" t="str">
        <f>IF(全车数据表!BQ264="","",全车数据表!BQ264)</f>
        <v>3款</v>
      </c>
      <c r="AW263" s="88" t="str">
        <f>IF(全车数据表!BR264="","",全车数据表!BR264)</f>
        <v/>
      </c>
      <c r="AX263" s="88" t="str">
        <f>IF(全车数据表!BS264="","",全车数据表!BS264)</f>
        <v/>
      </c>
      <c r="AY263" s="88">
        <f>IF(全车数据表!BT264="","",全车数据表!BT264)</f>
        <v>1</v>
      </c>
      <c r="AZ263" s="88" t="str">
        <f>IF(全车数据表!BU264="","",全车数据表!BU264)</f>
        <v/>
      </c>
      <c r="BA263" s="88" t="str">
        <f>IF(全车数据表!BV264="","",全车数据表!BV264)</f>
        <v>巴蒂斯塔 秋王</v>
      </c>
      <c r="BB263" s="91" t="str">
        <f>IF(全车数据表!AZ264="","",全车数据表!AZ264)</f>
        <v/>
      </c>
    </row>
    <row r="264" spans="1:54">
      <c r="A264" s="88">
        <f>全车数据表!A265</f>
        <v>263</v>
      </c>
      <c r="B264" s="88" t="str">
        <f>全车数据表!B265</f>
        <v>TechRules AT96 Dragon Boat Edition🔑</v>
      </c>
      <c r="C264" s="89" t="str">
        <f>全车数据表!E265</f>
        <v>at96db</v>
      </c>
      <c r="D264" s="88" t="str">
        <f>IF(全车数据表!D265="","",全车数据表!D265)</f>
        <v>TechRules</v>
      </c>
      <c r="E264" s="89" t="str">
        <f>全车数据表!H265</f>
        <v>5.2</v>
      </c>
      <c r="F264" s="89" t="str">
        <f>全车数据表!C265</f>
        <v>腾风龙舟</v>
      </c>
      <c r="G264" s="89" t="str">
        <f>全车数据表!F265</f>
        <v>S</v>
      </c>
      <c r="H264" s="88">
        <f>LEN(全车数据表!G265)</f>
        <v>6</v>
      </c>
      <c r="I264" s="88" t="str">
        <f>VLOOKUP(全车数据表!P265,辅助计算!A:B,2,FALSE)</f>
        <v>epic</v>
      </c>
      <c r="J264" s="88" t="str">
        <f>全车数据表!Q265</f>
        <v>🔑</v>
      </c>
      <c r="K264" s="88">
        <f>全车数据表!R265</f>
        <v>38</v>
      </c>
      <c r="L264" s="88">
        <f>全车数据表!S265</f>
        <v>48</v>
      </c>
      <c r="M264" s="88">
        <f>全车数据表!T265</f>
        <v>58</v>
      </c>
      <c r="N264" s="88">
        <f>全车数据表!U265</f>
        <v>68</v>
      </c>
      <c r="O264" s="88">
        <f>全车数据表!V265</f>
        <v>88</v>
      </c>
      <c r="P264" s="88">
        <f>全车数据表!J265</f>
        <v>4556</v>
      </c>
      <c r="Q264" s="88">
        <f>全车数据表!K265</f>
        <v>366.4</v>
      </c>
      <c r="R264" s="88">
        <f>全车数据表!L265</f>
        <v>87.23</v>
      </c>
      <c r="S264" s="88">
        <f>全车数据表!M265</f>
        <v>75.05</v>
      </c>
      <c r="T264" s="88">
        <f>全车数据表!N265</f>
        <v>72.62</v>
      </c>
      <c r="U264" s="88">
        <f>全车数据表!O265</f>
        <v>0</v>
      </c>
      <c r="V264" s="88">
        <f>全车数据表!AL265</f>
        <v>22000000</v>
      </c>
      <c r="W264" s="88">
        <f>全车数据表!AM265</f>
        <v>90000</v>
      </c>
      <c r="X264" s="88">
        <f>全车数据表!AU265</f>
        <v>14760000</v>
      </c>
      <c r="Y264" s="88">
        <f>全车数据表!AV265</f>
        <v>36760000</v>
      </c>
      <c r="Z264" s="88">
        <f>全车数据表!AN265</f>
        <v>7</v>
      </c>
      <c r="AA264" s="88">
        <f>全车数据表!AP265</f>
        <v>5</v>
      </c>
      <c r="AB264" s="88">
        <f>全车数据表!AR265</f>
        <v>4</v>
      </c>
      <c r="AC264" s="88">
        <f>全车数据表!AW265</f>
        <v>381</v>
      </c>
      <c r="AD264" s="88">
        <f>全车数据表!AX265</f>
        <v>0</v>
      </c>
      <c r="AE264" s="88">
        <f>全车数据表!AY265</f>
        <v>506</v>
      </c>
      <c r="AF264" s="88" t="str">
        <f>IF(全车数据表!BA265="","",全车数据表!BA265)</f>
        <v>狂飙寻宝</v>
      </c>
      <c r="AG264" s="88" t="str">
        <f>IF(全车数据表!BB265="","",全车数据表!BB265)</f>
        <v/>
      </c>
      <c r="AH264" s="88" t="str">
        <f>IF(全车数据表!BC265="","",全车数据表!BC265)</f>
        <v/>
      </c>
      <c r="AI264" s="88" t="str">
        <f>IF(全车数据表!BD265="","",全车数据表!BD265)</f>
        <v/>
      </c>
      <c r="AJ264" s="88" t="str">
        <f>IF(全车数据表!BE265="","",全车数据表!BE265)</f>
        <v/>
      </c>
      <c r="AK264" s="88" t="str">
        <f>IF(全车数据表!BF265="","",全车数据表!BF265)</f>
        <v/>
      </c>
      <c r="AL264" s="88" t="str">
        <f>IF(全车数据表!BG265="","",全车数据表!BG265)</f>
        <v/>
      </c>
      <c r="AM264" s="88" t="str">
        <f>IF(全车数据表!BH265="","",全车数据表!BH265)</f>
        <v/>
      </c>
      <c r="AN264" s="88" t="str">
        <f>IF(全车数据表!BI265="","",全车数据表!BI265)</f>
        <v/>
      </c>
      <c r="AO264" s="88" t="str">
        <f>IF(全车数据表!BJ265="","",全车数据表!BJ265)</f>
        <v/>
      </c>
      <c r="AP264" s="88" t="str">
        <f>IF(全车数据表!BK265="","",全车数据表!BK265)</f>
        <v/>
      </c>
      <c r="AQ264" s="88" t="str">
        <f>IF(全车数据表!BL265="","",全车数据表!BL265)</f>
        <v/>
      </c>
      <c r="AR264" s="88" t="str">
        <f>IF(全车数据表!BM265="","",全车数据表!BM265)</f>
        <v/>
      </c>
      <c r="AS264" s="88" t="str">
        <f>IF(全车数据表!BN265="","",全车数据表!BN265)</f>
        <v/>
      </c>
      <c r="AT264" s="88">
        <f>IF(全车数据表!BO265="","",全车数据表!BO265)</f>
        <v>1</v>
      </c>
      <c r="AU264" s="88" t="str">
        <f>IF(全车数据表!BP265="","",全车数据表!BP265)</f>
        <v/>
      </c>
      <c r="AV264" s="88" t="str">
        <f>IF(全车数据表!BQ265="","",全车数据表!BQ265)</f>
        <v/>
      </c>
      <c r="AW264" s="88" t="str">
        <f>IF(全车数据表!BR265="","",全车数据表!BR265)</f>
        <v/>
      </c>
      <c r="AX264" s="88" t="str">
        <f>IF(全车数据表!BS265="","",全车数据表!BS265)</f>
        <v/>
      </c>
      <c r="AY264" s="88" t="str">
        <f>IF(全车数据表!BT265="","",全车数据表!BT265)</f>
        <v/>
      </c>
      <c r="AZ264" s="88" t="str">
        <f>IF(全车数据表!BU265="","",全车数据表!BU265)</f>
        <v/>
      </c>
      <c r="BA264" s="88" t="str">
        <f>IF(全车数据表!BV265="","",全车数据表!BV265)</f>
        <v>泰克鲁斯</v>
      </c>
      <c r="BB264" s="91" t="str">
        <f>IF(全车数据表!AZ265="","",全车数据表!AZ265)</f>
        <v/>
      </c>
    </row>
    <row r="265" spans="1:54">
      <c r="A265" s="88">
        <f>全车数据表!A266</f>
        <v>264</v>
      </c>
      <c r="B265" s="88" t="str">
        <f>全车数据表!B266</f>
        <v>Pagani Imola</v>
      </c>
      <c r="C265" s="89" t="str">
        <f>全车数据表!E266</f>
        <v>imola</v>
      </c>
      <c r="D265" s="88" t="str">
        <f>IF(全车数据表!D266="","",全车数据表!D266)</f>
        <v>Pagani</v>
      </c>
      <c r="E265" s="89" t="str">
        <f>全车数据表!H266</f>
        <v>2.9</v>
      </c>
      <c r="F265" s="89" t="str">
        <f>全车数据表!C266</f>
        <v>伊莫拉</v>
      </c>
      <c r="G265" s="89" t="str">
        <f>全车数据表!F266</f>
        <v>S</v>
      </c>
      <c r="H265" s="88">
        <f>LEN(全车数据表!G266)</f>
        <v>6</v>
      </c>
      <c r="I265" s="88" t="str">
        <f>VLOOKUP(全车数据表!P266,辅助计算!A:B,2,FALSE)</f>
        <v>epic</v>
      </c>
      <c r="J265" s="88">
        <f>全车数据表!Q266</f>
        <v>85</v>
      </c>
      <c r="K265" s="88">
        <f>全车数据表!R266</f>
        <v>25</v>
      </c>
      <c r="L265" s="88">
        <f>全车数据表!S266</f>
        <v>29</v>
      </c>
      <c r="M265" s="88">
        <f>全车数据表!T266</f>
        <v>38</v>
      </c>
      <c r="N265" s="88">
        <f>全车数据表!U266</f>
        <v>54</v>
      </c>
      <c r="O265" s="88">
        <f>全车数据表!V266</f>
        <v>69</v>
      </c>
      <c r="P265" s="88">
        <f>全车数据表!J266</f>
        <v>4564</v>
      </c>
      <c r="Q265" s="88">
        <f>全车数据表!K266</f>
        <v>378.5</v>
      </c>
      <c r="R265" s="88">
        <f>全车数据表!L266</f>
        <v>80.260000000000005</v>
      </c>
      <c r="S265" s="88">
        <f>全车数据表!M266</f>
        <v>72.44</v>
      </c>
      <c r="T265" s="88">
        <f>全车数据表!N266</f>
        <v>71.290000000000006</v>
      </c>
      <c r="U265" s="88">
        <f>全车数据表!O266</f>
        <v>0</v>
      </c>
      <c r="V265" s="88">
        <f>全车数据表!AL266</f>
        <v>15496000</v>
      </c>
      <c r="W265" s="88">
        <f>全车数据表!AM266</f>
        <v>60000</v>
      </c>
      <c r="X265" s="88">
        <f>全车数据表!AU266</f>
        <v>9840000</v>
      </c>
      <c r="Y265" s="88">
        <f>全车数据表!AV266</f>
        <v>25336000</v>
      </c>
      <c r="Z265" s="88">
        <f>全车数据表!AN266</f>
        <v>7</v>
      </c>
      <c r="AA265" s="88">
        <f>全车数据表!AP266</f>
        <v>5</v>
      </c>
      <c r="AB265" s="88">
        <f>全车数据表!AR266</f>
        <v>4</v>
      </c>
      <c r="AC265" s="88">
        <f>全车数据表!AW266</f>
        <v>393</v>
      </c>
      <c r="AD265" s="88">
        <f>全车数据表!AX266</f>
        <v>0</v>
      </c>
      <c r="AE265" s="88">
        <f>全车数据表!AY266</f>
        <v>526</v>
      </c>
      <c r="AF265" s="88" t="str">
        <f>IF(全车数据表!BA266="","",全车数据表!BA266)</f>
        <v>特殊赛事</v>
      </c>
      <c r="AG265" s="88" t="str">
        <f>IF(全车数据表!BB266="","",全车数据表!BB266)</f>
        <v/>
      </c>
      <c r="AH265" s="88" t="str">
        <f>IF(全车数据表!BC266="","",全车数据表!BC266)</f>
        <v/>
      </c>
      <c r="AI265" s="88" t="str">
        <f>IF(全车数据表!BD266="","",全车数据表!BD266)</f>
        <v/>
      </c>
      <c r="AJ265" s="88" t="str">
        <f>IF(全车数据表!BE266="","",全车数据表!BE266)</f>
        <v/>
      </c>
      <c r="AK265" s="88" t="str">
        <f>IF(全车数据表!BF266="","",全车数据表!BF266)</f>
        <v/>
      </c>
      <c r="AL265" s="88" t="str">
        <f>IF(全车数据表!BG266="","",全车数据表!BG266)</f>
        <v/>
      </c>
      <c r="AM265" s="88" t="str">
        <f>IF(全车数据表!BH266="","",全车数据表!BH266)</f>
        <v/>
      </c>
      <c r="AN265" s="88" t="str">
        <f>IF(全车数据表!BI266="","",全车数据表!BI266)</f>
        <v/>
      </c>
      <c r="AO265" s="88" t="str">
        <f>IF(全车数据表!BJ266="","",全车数据表!BJ266)</f>
        <v/>
      </c>
      <c r="AP265" s="88" t="str">
        <f>IF(全车数据表!BK266="","",全车数据表!BK266)</f>
        <v/>
      </c>
      <c r="AQ265" s="88">
        <f>IF(全车数据表!BL266="","",全车数据表!BL266)</f>
        <v>1</v>
      </c>
      <c r="AR265" s="88" t="str">
        <f>IF(全车数据表!BM266="","",全车数据表!BM266)</f>
        <v/>
      </c>
      <c r="AS265" s="88" t="str">
        <f>IF(全车数据表!BN266="","",全车数据表!BN266)</f>
        <v/>
      </c>
      <c r="AT265" s="88" t="str">
        <f>IF(全车数据表!BO266="","",全车数据表!BO266)</f>
        <v/>
      </c>
      <c r="AU265" s="88">
        <f>IF(全车数据表!BP266="","",全车数据表!BP266)</f>
        <v>1</v>
      </c>
      <c r="AV265" s="88" t="str">
        <f>IF(全车数据表!BQ266="","",全车数据表!BQ266)</f>
        <v>1款</v>
      </c>
      <c r="AW265" s="88" t="str">
        <f>IF(全车数据表!BR266="","",全车数据表!BR266)</f>
        <v/>
      </c>
      <c r="AX265" s="88" t="str">
        <f>IF(全车数据表!BS266="","",全车数据表!BS266)</f>
        <v/>
      </c>
      <c r="AY265" s="88">
        <f>IF(全车数据表!BT266="","",全车数据表!BT266)</f>
        <v>1</v>
      </c>
      <c r="AZ265" s="88" t="str">
        <f>IF(全车数据表!BU266="","",全车数据表!BU266)</f>
        <v/>
      </c>
      <c r="BA265" s="88" t="str">
        <f>IF(全车数据表!BV266="","",全车数据表!BV266)</f>
        <v>帕加尼 伊莫拉</v>
      </c>
      <c r="BB265" s="91" t="str">
        <f>IF(全车数据表!AZ266="","",全车数据表!AZ266)</f>
        <v/>
      </c>
    </row>
    <row r="266" spans="1:54">
      <c r="A266" s="88">
        <f>全车数据表!A267</f>
        <v>265</v>
      </c>
      <c r="B266" s="88" t="str">
        <f>全车数据表!B267</f>
        <v>Naran Hyper Coupe</v>
      </c>
      <c r="C266" s="89" t="str">
        <f>全车数据表!E267</f>
        <v>naran</v>
      </c>
      <c r="D266" s="88" t="str">
        <f>IF(全车数据表!D267="","",全车数据表!D267)</f>
        <v>Naran</v>
      </c>
      <c r="E266" s="89" t="str">
        <f>全车数据表!H267</f>
        <v>3.3</v>
      </c>
      <c r="F266" s="89" t="str">
        <f>全车数据表!C267</f>
        <v>纳兰</v>
      </c>
      <c r="G266" s="89" t="str">
        <f>全车数据表!F267</f>
        <v>S</v>
      </c>
      <c r="H266" s="88">
        <f>LEN(全车数据表!G267)</f>
        <v>6</v>
      </c>
      <c r="I266" s="88" t="str">
        <f>VLOOKUP(全车数据表!P267,辅助计算!A:B,2,FALSE)</f>
        <v>epic</v>
      </c>
      <c r="J266" s="88">
        <f>全车数据表!Q267</f>
        <v>40</v>
      </c>
      <c r="K266" s="88">
        <f>全车数据表!R267</f>
        <v>45</v>
      </c>
      <c r="L266" s="88">
        <f>全车数据表!S267</f>
        <v>55</v>
      </c>
      <c r="M266" s="88">
        <f>全车数据表!T267</f>
        <v>48</v>
      </c>
      <c r="N266" s="88">
        <f>全车数据表!U267</f>
        <v>56</v>
      </c>
      <c r="O266" s="88">
        <f>全车数据表!V267</f>
        <v>56</v>
      </c>
      <c r="P266" s="88">
        <f>全车数据表!J267</f>
        <v>4564</v>
      </c>
      <c r="Q266" s="88">
        <f>全车数据表!K267</f>
        <v>383.4</v>
      </c>
      <c r="R266" s="88">
        <f>全车数据表!L267</f>
        <v>85.79</v>
      </c>
      <c r="S266" s="88">
        <f>全车数据表!M267</f>
        <v>67.31</v>
      </c>
      <c r="T266" s="88">
        <f>全车数据表!N267</f>
        <v>65.58</v>
      </c>
      <c r="U266" s="88">
        <f>全车数据表!O267</f>
        <v>0</v>
      </c>
      <c r="V266" s="88">
        <f>全车数据表!AL267</f>
        <v>15496000</v>
      </c>
      <c r="W266" s="88">
        <f>全车数据表!AM267</f>
        <v>60000</v>
      </c>
      <c r="X266" s="88">
        <f>全车数据表!AU267</f>
        <v>9840000</v>
      </c>
      <c r="Y266" s="88">
        <f>全车数据表!AV267</f>
        <v>25336000</v>
      </c>
      <c r="Z266" s="88">
        <f>全车数据表!AN267</f>
        <v>7</v>
      </c>
      <c r="AA266" s="88">
        <f>全车数据表!AP267</f>
        <v>5</v>
      </c>
      <c r="AB266" s="88">
        <f>全车数据表!AR267</f>
        <v>4</v>
      </c>
      <c r="AC266" s="88">
        <f>全车数据表!AW267</f>
        <v>398</v>
      </c>
      <c r="AD266" s="88">
        <f>全车数据表!AX267</f>
        <v>0</v>
      </c>
      <c r="AE266" s="88">
        <f>全车数据表!AY267</f>
        <v>536</v>
      </c>
      <c r="AF266" s="88" t="str">
        <f>IF(全车数据表!BA267="","",全车数据表!BA267)</f>
        <v>特殊赛事</v>
      </c>
      <c r="AG266" s="88" t="str">
        <f>IF(全车数据表!BB267="","",全车数据表!BB267)</f>
        <v/>
      </c>
      <c r="AH266" s="88" t="str">
        <f>IF(全车数据表!BC267="","",全车数据表!BC267)</f>
        <v/>
      </c>
      <c r="AI266" s="88" t="str">
        <f>IF(全车数据表!BD267="","",全车数据表!BD267)</f>
        <v/>
      </c>
      <c r="AJ266" s="88" t="str">
        <f>IF(全车数据表!BE267="","",全车数据表!BE267)</f>
        <v/>
      </c>
      <c r="AK266" s="88" t="str">
        <f>IF(全车数据表!BF267="","",全车数据表!BF267)</f>
        <v/>
      </c>
      <c r="AL266" s="88" t="str">
        <f>IF(全车数据表!BG267="","",全车数据表!BG267)</f>
        <v/>
      </c>
      <c r="AM266" s="88" t="str">
        <f>IF(全车数据表!BH267="","",全车数据表!BH267)</f>
        <v/>
      </c>
      <c r="AN266" s="88" t="str">
        <f>IF(全车数据表!BI267="","",全车数据表!BI267)</f>
        <v/>
      </c>
      <c r="AO266" s="88" t="str">
        <f>IF(全车数据表!BJ267="","",全车数据表!BJ267)</f>
        <v/>
      </c>
      <c r="AP266" s="88" t="str">
        <f>IF(全车数据表!BK267="","",全车数据表!BK267)</f>
        <v/>
      </c>
      <c r="AQ266" s="88">
        <f>IF(全车数据表!BL267="","",全车数据表!BL267)</f>
        <v>1</v>
      </c>
      <c r="AR266" s="88" t="str">
        <f>IF(全车数据表!BM267="","",全车数据表!BM267)</f>
        <v/>
      </c>
      <c r="AS266" s="88" t="str">
        <f>IF(全车数据表!BN267="","",全车数据表!BN267)</f>
        <v/>
      </c>
      <c r="AT266" s="88" t="str">
        <f>IF(全车数据表!BO267="","",全车数据表!BO267)</f>
        <v/>
      </c>
      <c r="AU266" s="88">
        <f>IF(全车数据表!BP267="","",全车数据表!BP267)</f>
        <v>1</v>
      </c>
      <c r="AV266" s="88" t="str">
        <f>IF(全车数据表!BQ267="","",全车数据表!BQ267)</f>
        <v/>
      </c>
      <c r="AW266" s="88" t="str">
        <f>IF(全车数据表!BR267="","",全车数据表!BR267)</f>
        <v/>
      </c>
      <c r="AX266" s="88" t="str">
        <f>IF(全车数据表!BS267="","",全车数据表!BS267)</f>
        <v/>
      </c>
      <c r="AY266" s="88">
        <f>IF(全车数据表!BT267="","",全车数据表!BT267)</f>
        <v>1</v>
      </c>
      <c r="AZ266" s="88" t="str">
        <f>IF(全车数据表!BU267="","",全车数据表!BU267)</f>
        <v/>
      </c>
      <c r="BA266" s="88" t="str">
        <f>IF(全车数据表!BV267="","",全车数据表!BV267)</f>
        <v>纳兰</v>
      </c>
      <c r="BB266" s="91" t="str">
        <f>IF(全车数据表!AZ267="","",全车数据表!AZ267)</f>
        <v/>
      </c>
    </row>
    <row r="267" spans="1:54">
      <c r="A267" s="88">
        <f>全车数据表!A268</f>
        <v>266</v>
      </c>
      <c r="B267" s="88" t="str">
        <f>全车数据表!B268</f>
        <v>Lamborghini Countach LPI 800-4🔑</v>
      </c>
      <c r="C267" s="89" t="str">
        <f>全车数据表!E268</f>
        <v>lpi800</v>
      </c>
      <c r="D267" s="88" t="str">
        <f>IF(全车数据表!D268="","",全车数据表!D268)</f>
        <v>Lamborghini</v>
      </c>
      <c r="E267" s="89" t="str">
        <f>全车数据表!H268</f>
        <v>3.7</v>
      </c>
      <c r="F267" s="89" t="str">
        <f>全车数据表!C268</f>
        <v>新康塔什</v>
      </c>
      <c r="G267" s="89" t="str">
        <f>全车数据表!F268</f>
        <v>S</v>
      </c>
      <c r="H267" s="88">
        <f>LEN(全车数据表!G268)</f>
        <v>6</v>
      </c>
      <c r="I267" s="88" t="str">
        <f>VLOOKUP(全车数据表!P268,辅助计算!A:B,2,FALSE)</f>
        <v>epic</v>
      </c>
      <c r="J267" s="88" t="str">
        <f>全车数据表!Q268</f>
        <v>🔑</v>
      </c>
      <c r="K267" s="88">
        <f>全车数据表!R268</f>
        <v>38</v>
      </c>
      <c r="L267" s="88">
        <f>全车数据表!S268</f>
        <v>48</v>
      </c>
      <c r="M267" s="88">
        <f>全车数据表!T268</f>
        <v>58</v>
      </c>
      <c r="N267" s="88">
        <f>全车数据表!U268</f>
        <v>68</v>
      </c>
      <c r="O267" s="88">
        <f>全车数据表!V268</f>
        <v>88</v>
      </c>
      <c r="P267" s="88">
        <f>全车数据表!J268</f>
        <v>4571</v>
      </c>
      <c r="Q267" s="88">
        <f>全车数据表!K268</f>
        <v>373.7</v>
      </c>
      <c r="R267" s="88">
        <f>全车数据表!L268</f>
        <v>82.53</v>
      </c>
      <c r="S267" s="88">
        <f>全车数据表!M268</f>
        <v>86.93</v>
      </c>
      <c r="T267" s="88">
        <f>全车数据表!N268</f>
        <v>73.040000000000006</v>
      </c>
      <c r="U267" s="88">
        <f>全车数据表!O268</f>
        <v>0</v>
      </c>
      <c r="V267" s="88">
        <f>全车数据表!AL268</f>
        <v>0</v>
      </c>
      <c r="W267" s="88">
        <f>全车数据表!AM268</f>
        <v>78000</v>
      </c>
      <c r="X267" s="88">
        <f>全车数据表!AU268</f>
        <v>0</v>
      </c>
      <c r="Y267" s="88">
        <f>全车数据表!AV268</f>
        <v>0</v>
      </c>
      <c r="Z267" s="88">
        <f>全车数据表!AN268</f>
        <v>7</v>
      </c>
      <c r="AA267" s="88">
        <f>全车数据表!AP268</f>
        <v>5</v>
      </c>
      <c r="AB267" s="88">
        <f>全车数据表!AR268</f>
        <v>4</v>
      </c>
      <c r="AC267" s="88">
        <f>全车数据表!AW268</f>
        <v>388</v>
      </c>
      <c r="AD267" s="88">
        <f>全车数据表!AX268</f>
        <v>0</v>
      </c>
      <c r="AE267" s="88">
        <f>全车数据表!AY268</f>
        <v>519</v>
      </c>
      <c r="AF267" s="88" t="str">
        <f>IF(全车数据表!BA268="","",全车数据表!BA268)</f>
        <v>特殊赛事</v>
      </c>
      <c r="AG267" s="88" t="str">
        <f>IF(全车数据表!BB268="","",全车数据表!BB268)</f>
        <v/>
      </c>
      <c r="AH267" s="88" t="str">
        <f>IF(全车数据表!BC268="","",全车数据表!BC268)</f>
        <v/>
      </c>
      <c r="AI267" s="88" t="str">
        <f>IF(全车数据表!BD268="","",全车数据表!BD268)</f>
        <v/>
      </c>
      <c r="AJ267" s="88" t="str">
        <f>IF(全车数据表!BE268="","",全车数据表!BE268)</f>
        <v/>
      </c>
      <c r="AK267" s="88" t="str">
        <f>IF(全车数据表!BF268="","",全车数据表!BF268)</f>
        <v/>
      </c>
      <c r="AL267" s="88" t="str">
        <f>IF(全车数据表!BG268="","",全车数据表!BG268)</f>
        <v/>
      </c>
      <c r="AM267" s="88" t="str">
        <f>IF(全车数据表!BH268="","",全车数据表!BH268)</f>
        <v/>
      </c>
      <c r="AN267" s="88" t="str">
        <f>IF(全车数据表!BI268="","",全车数据表!BI268)</f>
        <v/>
      </c>
      <c r="AO267" s="88" t="str">
        <f>IF(全车数据表!BJ268="","",全车数据表!BJ268)</f>
        <v/>
      </c>
      <c r="AP267" s="88" t="str">
        <f>IF(全车数据表!BK268="","",全车数据表!BK268)</f>
        <v/>
      </c>
      <c r="AQ267" s="88">
        <f>IF(全车数据表!BL268="","",全车数据表!BL268)</f>
        <v>1</v>
      </c>
      <c r="AR267" s="88" t="str">
        <f>IF(全车数据表!BM268="","",全车数据表!BM268)</f>
        <v/>
      </c>
      <c r="AS267" s="88" t="str">
        <f>IF(全车数据表!BN268="","",全车数据表!BN268)</f>
        <v/>
      </c>
      <c r="AT267" s="88">
        <f>IF(全车数据表!BO268="","",全车数据表!BO268)</f>
        <v>1</v>
      </c>
      <c r="AU267" s="88">
        <f>IF(全车数据表!BP268="","",全车数据表!BP268)</f>
        <v>1</v>
      </c>
      <c r="AV267" s="88" t="str">
        <f>IF(全车数据表!BQ268="","",全车数据表!BQ268)</f>
        <v/>
      </c>
      <c r="AW267" s="88" t="str">
        <f>IF(全车数据表!BR268="","",全车数据表!BR268)</f>
        <v/>
      </c>
      <c r="AX267" s="88" t="str">
        <f>IF(全车数据表!BS268="","",全车数据表!BS268)</f>
        <v/>
      </c>
      <c r="AY267" s="88">
        <f>IF(全车数据表!BT268="","",全车数据表!BT268)</f>
        <v>1</v>
      </c>
      <c r="AZ267" s="88" t="str">
        <f>IF(全车数据表!BU268="","",全车数据表!BU268)</f>
        <v/>
      </c>
      <c r="BA267" s="88" t="str">
        <f>IF(全车数据表!BV268="","",全车数据表!BV268)</f>
        <v>兰博基尼</v>
      </c>
      <c r="BB267" s="91" t="str">
        <f>IF(全车数据表!AZ268="","",全车数据表!AZ268)</f>
        <v/>
      </c>
    </row>
    <row r="268" spans="1:54">
      <c r="A268" s="88">
        <f>全车数据表!A269</f>
        <v>267</v>
      </c>
      <c r="B268" s="88" t="str">
        <f>全车数据表!B269</f>
        <v>Nio EP9</v>
      </c>
      <c r="C268" s="89" t="str">
        <f>全车数据表!E269</f>
        <v>ep9</v>
      </c>
      <c r="D268" s="88" t="str">
        <f>IF(全车数据表!D269="","",全车数据表!D269)</f>
        <v>Nio</v>
      </c>
      <c r="E268" s="89" t="str">
        <f>全车数据表!H269</f>
        <v>2.5</v>
      </c>
      <c r="F268" s="89" t="str">
        <f>全车数据表!C269</f>
        <v>EP9</v>
      </c>
      <c r="G268" s="89" t="str">
        <f>全车数据表!F269</f>
        <v>S</v>
      </c>
      <c r="H268" s="88">
        <f>LEN(全车数据表!G269)</f>
        <v>6</v>
      </c>
      <c r="I268" s="88" t="str">
        <f>VLOOKUP(全车数据表!P269,辅助计算!A:B,2,FALSE)</f>
        <v>epic</v>
      </c>
      <c r="J268" s="88">
        <f>全车数据表!Q269</f>
        <v>40</v>
      </c>
      <c r="K268" s="88">
        <f>全车数据表!R269</f>
        <v>30</v>
      </c>
      <c r="L268" s="88">
        <f>全车数据表!S269</f>
        <v>35</v>
      </c>
      <c r="M268" s="88">
        <f>全车数据表!T269</f>
        <v>40</v>
      </c>
      <c r="N268" s="88">
        <f>全车数据表!U269</f>
        <v>50</v>
      </c>
      <c r="O268" s="88">
        <f>全车数据表!V269</f>
        <v>55</v>
      </c>
      <c r="P268" s="88">
        <f>全车数据表!J269</f>
        <v>4571</v>
      </c>
      <c r="Q268" s="88">
        <f>全车数据表!K269</f>
        <v>372.8</v>
      </c>
      <c r="R268" s="88">
        <f>全车数据表!L269</f>
        <v>82.96</v>
      </c>
      <c r="S268" s="88">
        <f>全车数据表!M269</f>
        <v>77.72</v>
      </c>
      <c r="T268" s="88">
        <f>全车数据表!N269</f>
        <v>76.17</v>
      </c>
      <c r="U268" s="88">
        <f>全车数据表!O269</f>
        <v>0</v>
      </c>
      <c r="V268" s="88">
        <f>全车数据表!AL269</f>
        <v>15496000</v>
      </c>
      <c r="W268" s="88">
        <f>全车数据表!AM269</f>
        <v>60000</v>
      </c>
      <c r="X268" s="88">
        <f>全车数据表!AU269</f>
        <v>9840000</v>
      </c>
      <c r="Y268" s="88">
        <f>全车数据表!AV269</f>
        <v>25336000</v>
      </c>
      <c r="Z268" s="88">
        <f>全车数据表!AN269</f>
        <v>7</v>
      </c>
      <c r="AA268" s="88">
        <f>全车数据表!AP269</f>
        <v>5</v>
      </c>
      <c r="AB268" s="88">
        <f>全车数据表!AR269</f>
        <v>4</v>
      </c>
      <c r="AC268" s="88">
        <f>全车数据表!AW269</f>
        <v>388</v>
      </c>
      <c r="AD268" s="88">
        <f>全车数据表!AX269</f>
        <v>0</v>
      </c>
      <c r="AE268" s="88">
        <f>全车数据表!AY269</f>
        <v>530</v>
      </c>
      <c r="AF268" s="88" t="str">
        <f>IF(全车数据表!BA269="","",全车数据表!BA269)</f>
        <v>通行证</v>
      </c>
      <c r="AG268" s="88" t="str">
        <f>IF(全车数据表!BB269="","",全车数据表!BB269)</f>
        <v/>
      </c>
      <c r="AH268" s="88" t="str">
        <f>IF(全车数据表!BC269="","",全车数据表!BC269)</f>
        <v/>
      </c>
      <c r="AI268" s="88" t="str">
        <f>IF(全车数据表!BD269="","",全车数据表!BD269)</f>
        <v/>
      </c>
      <c r="AJ268" s="88" t="str">
        <f>IF(全车数据表!BE269="","",全车数据表!BE269)</f>
        <v/>
      </c>
      <c r="AK268" s="88" t="str">
        <f>IF(全车数据表!BF269="","",全车数据表!BF269)</f>
        <v/>
      </c>
      <c r="AL268" s="88" t="str">
        <f>IF(全车数据表!BG269="","",全车数据表!BG269)</f>
        <v/>
      </c>
      <c r="AM268" s="88">
        <f>IF(全车数据表!BH269="","",全车数据表!BH269)</f>
        <v>1</v>
      </c>
      <c r="AN268" s="88">
        <f>IF(全车数据表!BI269="","",全车数据表!BI269)</f>
        <v>1</v>
      </c>
      <c r="AO268" s="88">
        <f>IF(全车数据表!BJ269="","",全车数据表!BJ269)</f>
        <v>1</v>
      </c>
      <c r="AP268" s="88" t="str">
        <f>IF(全车数据表!BK269="","",全车数据表!BK269)</f>
        <v/>
      </c>
      <c r="AQ268" s="88" t="str">
        <f>IF(全车数据表!BL269="","",全车数据表!BL269)</f>
        <v/>
      </c>
      <c r="AR268" s="88" t="str">
        <f>IF(全车数据表!BM269="","",全车数据表!BM269)</f>
        <v/>
      </c>
      <c r="AS268" s="88" t="str">
        <f>IF(全车数据表!BN269="","",全车数据表!BN269)</f>
        <v/>
      </c>
      <c r="AT268" s="88" t="str">
        <f>IF(全车数据表!BO269="","",全车数据表!BO269)</f>
        <v/>
      </c>
      <c r="AU268" s="88">
        <f>IF(全车数据表!BP269="","",全车数据表!BP269)</f>
        <v>1</v>
      </c>
      <c r="AV268" s="88" t="str">
        <f>IF(全车数据表!BQ269="","",全车数据表!BQ269)</f>
        <v>3款</v>
      </c>
      <c r="AW268" s="88" t="str">
        <f>IF(全车数据表!BR269="","",全车数据表!BR269)</f>
        <v/>
      </c>
      <c r="AX268" s="88" t="str">
        <f>IF(全车数据表!BS269="","",全车数据表!BS269)</f>
        <v/>
      </c>
      <c r="AY268" s="88">
        <f>IF(全车数据表!BT269="","",全车数据表!BT269)</f>
        <v>1</v>
      </c>
      <c r="AZ268" s="88" t="str">
        <f>IF(全车数据表!BU269="","",全车数据表!BU269)</f>
        <v/>
      </c>
      <c r="BA268" s="88" t="str">
        <f>IF(全车数据表!BV269="","",全车数据表!BV269)</f>
        <v>蔚来</v>
      </c>
      <c r="BB268" s="91" t="str">
        <f>IF(全车数据表!AZ269="","",全车数据表!AZ269)</f>
        <v/>
      </c>
    </row>
    <row r="269" spans="1:54">
      <c r="A269" s="88">
        <f>全车数据表!A270</f>
        <v>268</v>
      </c>
      <c r="B269" s="88" t="str">
        <f>全车数据表!B270</f>
        <v>Arash Imperium🔑</v>
      </c>
      <c r="C269" s="89" t="str">
        <f>全车数据表!E270</f>
        <v>imperium</v>
      </c>
      <c r="D269" s="88" t="str">
        <f>IF(全车数据表!D270="","",全车数据表!D270)</f>
        <v>Arash</v>
      </c>
      <c r="E269" s="89" t="str">
        <f>全车数据表!H270</f>
        <v>5.1</v>
      </c>
      <c r="F269" s="89" t="str">
        <f>全车数据表!C270</f>
        <v>Imperium</v>
      </c>
      <c r="G269" s="89" t="str">
        <f>全车数据表!F270</f>
        <v>S</v>
      </c>
      <c r="H269" s="88">
        <f>LEN(全车数据表!G270)</f>
        <v>6</v>
      </c>
      <c r="I269" s="88" t="str">
        <f>VLOOKUP(全车数据表!P270,辅助计算!A:B,2,FALSE)</f>
        <v>epic</v>
      </c>
      <c r="J269" s="88" t="str">
        <f>全车数据表!Q270</f>
        <v>🔑</v>
      </c>
      <c r="K269" s="88">
        <f>全车数据表!R270</f>
        <v>45</v>
      </c>
      <c r="L269" s="88">
        <f>全车数据表!S270</f>
        <v>56</v>
      </c>
      <c r="M269" s="88">
        <f>全车数据表!T270</f>
        <v>65</v>
      </c>
      <c r="N269" s="88">
        <f>全车数据表!U270</f>
        <v>66</v>
      </c>
      <c r="O269" s="88">
        <f>全车数据表!V270</f>
        <v>68</v>
      </c>
      <c r="P269" s="88">
        <f>全车数据表!J270</f>
        <v>4577</v>
      </c>
      <c r="Q269" s="88">
        <f>全车数据表!K270</f>
        <v>397.5</v>
      </c>
      <c r="R269" s="88">
        <f>全车数据表!L270</f>
        <v>84.85</v>
      </c>
      <c r="S269" s="88">
        <f>全车数据表!M270</f>
        <v>60.77</v>
      </c>
      <c r="T269" s="88">
        <f>全车数据表!N270</f>
        <v>56.61</v>
      </c>
      <c r="U269" s="88">
        <f>全车数据表!O270</f>
        <v>0</v>
      </c>
      <c r="V269" s="88">
        <f>全车数据表!AL270</f>
        <v>0</v>
      </c>
      <c r="W269" s="88">
        <f>全车数据表!AM270</f>
        <v>0</v>
      </c>
      <c r="X269" s="88">
        <f>全车数据表!AU270</f>
        <v>0</v>
      </c>
      <c r="Y269" s="88">
        <f>全车数据表!AV270</f>
        <v>0</v>
      </c>
      <c r="Z269" s="88">
        <f>全车数据表!AN270</f>
        <v>7</v>
      </c>
      <c r="AA269" s="88">
        <f>全车数据表!AP270</f>
        <v>5</v>
      </c>
      <c r="AB269" s="88">
        <f>全车数据表!AR270</f>
        <v>4</v>
      </c>
      <c r="AC269" s="88">
        <f>全车数据表!AW270</f>
        <v>413</v>
      </c>
      <c r="AD269" s="88">
        <f>全车数据表!AX270</f>
        <v>0</v>
      </c>
      <c r="AE269" s="88">
        <f>全车数据表!AY270</f>
        <v>565</v>
      </c>
      <c r="AF269" s="88" t="str">
        <f>IF(全车数据表!BA270="","",全车数据表!BA270)</f>
        <v>狂飙赏金</v>
      </c>
      <c r="AG269" s="88" t="str">
        <f>IF(全车数据表!BB270="","",全车数据表!BB270)</f>
        <v/>
      </c>
      <c r="AH269" s="88" t="str">
        <f>IF(全车数据表!BC270="","",全车数据表!BC270)</f>
        <v/>
      </c>
      <c r="AI269" s="88" t="str">
        <f>IF(全车数据表!BD270="","",全车数据表!BD270)</f>
        <v/>
      </c>
      <c r="AJ269" s="88" t="str">
        <f>IF(全车数据表!BE270="","",全车数据表!BE270)</f>
        <v/>
      </c>
      <c r="AK269" s="88" t="str">
        <f>IF(全车数据表!BF270="","",全车数据表!BF270)</f>
        <v/>
      </c>
      <c r="AL269" s="88" t="str">
        <f>IF(全车数据表!BG270="","",全车数据表!BG270)</f>
        <v/>
      </c>
      <c r="AM269" s="88" t="str">
        <f>IF(全车数据表!BH270="","",全车数据表!BH270)</f>
        <v/>
      </c>
      <c r="AN269" s="88" t="str">
        <f>IF(全车数据表!BI270="","",全车数据表!BI270)</f>
        <v/>
      </c>
      <c r="AO269" s="88" t="str">
        <f>IF(全车数据表!BJ270="","",全车数据表!BJ270)</f>
        <v/>
      </c>
      <c r="AP269" s="88" t="str">
        <f>IF(全车数据表!BK270="","",全车数据表!BK270)</f>
        <v/>
      </c>
      <c r="AQ269" s="88" t="str">
        <f>IF(全车数据表!BL270="","",全车数据表!BL270)</f>
        <v/>
      </c>
      <c r="AR269" s="88" t="str">
        <f>IF(全车数据表!BM270="","",全车数据表!BM270)</f>
        <v/>
      </c>
      <c r="AS269" s="88" t="str">
        <f>IF(全车数据表!BN270="","",全车数据表!BN270)</f>
        <v/>
      </c>
      <c r="AT269" s="88" t="str">
        <f>IF(全车数据表!BO270="","",全车数据表!BO270)</f>
        <v/>
      </c>
      <c r="AU269" s="88" t="str">
        <f>IF(全车数据表!BP270="","",全车数据表!BP270)</f>
        <v/>
      </c>
      <c r="AV269" s="88" t="str">
        <f>IF(全车数据表!BQ270="","",全车数据表!BQ270)</f>
        <v/>
      </c>
      <c r="AW269" s="88" t="str">
        <f>IF(全车数据表!BR270="","",全车数据表!BR270)</f>
        <v/>
      </c>
      <c r="AX269" s="88" t="str">
        <f>IF(全车数据表!BS270="","",全车数据表!BS270)</f>
        <v/>
      </c>
      <c r="AY269" s="88" t="str">
        <f>IF(全车数据表!BT270="","",全车数据表!BT270)</f>
        <v/>
      </c>
      <c r="AZ269" s="88" t="str">
        <f>IF(全车数据表!BU270="","",全车数据表!BU270)</f>
        <v/>
      </c>
      <c r="BA269" s="88" t="str">
        <f>IF(全车数据表!BV270="","",全车数据表!BV270)</f>
        <v>阿拉什</v>
      </c>
      <c r="BB269" s="91" t="str">
        <f>IF(全车数据表!AZ270="","",全车数据表!AZ270)</f>
        <v/>
      </c>
    </row>
    <row r="270" spans="1:54">
      <c r="A270" s="88">
        <f>全车数据表!A271</f>
        <v>269</v>
      </c>
      <c r="B270" s="88" t="str">
        <f>全车数据表!B271</f>
        <v>Hyundai N Vision 74🔑</v>
      </c>
      <c r="C270" s="89" t="str">
        <f>全车数据表!E271</f>
        <v>nvision74</v>
      </c>
      <c r="D270" s="88" t="str">
        <f>IF(全车数据表!D271="","",全车数据表!D271)</f>
        <v>Hyundai</v>
      </c>
      <c r="E270" s="89" t="str">
        <f>全车数据表!H271</f>
        <v>5.5</v>
      </c>
      <c r="F270" s="89" t="str">
        <f>全车数据表!C271</f>
        <v>N74</v>
      </c>
      <c r="G270" s="89" t="str">
        <f>全车数据表!F271</f>
        <v>S</v>
      </c>
      <c r="H270" s="88">
        <f>LEN(全车数据表!G271)</f>
        <v>6</v>
      </c>
      <c r="I270" s="88" t="str">
        <f>VLOOKUP(全车数据表!P271,辅助计算!A:B,2,FALSE)</f>
        <v>epic</v>
      </c>
      <c r="J270" s="88" t="str">
        <f>全车数据表!Q271</f>
        <v>🔑</v>
      </c>
      <c r="K270" s="88">
        <f>全车数据表!R271</f>
        <v>45</v>
      </c>
      <c r="L270" s="88">
        <f>全车数据表!S271</f>
        <v>56</v>
      </c>
      <c r="M270" s="88">
        <f>全车数据表!T271</f>
        <v>65</v>
      </c>
      <c r="N270" s="88">
        <f>全车数据表!U271</f>
        <v>66</v>
      </c>
      <c r="O270" s="88">
        <f>全车数据表!V271</f>
        <v>68</v>
      </c>
      <c r="P270" s="88">
        <f>全车数据表!J271</f>
        <v>4579</v>
      </c>
      <c r="Q270" s="88">
        <f>全车数据表!K271</f>
        <v>404.5</v>
      </c>
      <c r="R270" s="88">
        <f>全车数据表!L271</f>
        <v>75.17</v>
      </c>
      <c r="S270" s="88">
        <f>全车数据表!M271</f>
        <v>55.76</v>
      </c>
      <c r="T270" s="88">
        <f>全车数据表!N271</f>
        <v>58.53</v>
      </c>
      <c r="U270" s="88">
        <f>全车数据表!O271</f>
        <v>0</v>
      </c>
      <c r="V270" s="88">
        <f>全车数据表!AL271</f>
        <v>0</v>
      </c>
      <c r="W270" s="88">
        <f>全车数据表!AM271</f>
        <v>0</v>
      </c>
      <c r="X270" s="88">
        <f>全车数据表!AU271</f>
        <v>0</v>
      </c>
      <c r="Y270" s="88">
        <f>全车数据表!AV271</f>
        <v>0</v>
      </c>
      <c r="Z270" s="88">
        <f>全车数据表!AN271</f>
        <v>0</v>
      </c>
      <c r="AA270" s="88">
        <f>全车数据表!AP271</f>
        <v>0</v>
      </c>
      <c r="AB270" s="88">
        <f>全车数据表!AR271</f>
        <v>0</v>
      </c>
      <c r="AC270" s="88">
        <f>全车数据表!AW271</f>
        <v>0</v>
      </c>
      <c r="AD270" s="88">
        <f>全车数据表!AX271</f>
        <v>0</v>
      </c>
      <c r="AE270" s="88">
        <f>全车数据表!AY271</f>
        <v>0</v>
      </c>
      <c r="AF270" s="88" t="str">
        <f>IF(全车数据表!BA271="","",全车数据表!BA271)</f>
        <v>特殊赛事</v>
      </c>
      <c r="AG270" s="88" t="str">
        <f>IF(全车数据表!BB271="","",全车数据表!BB271)</f>
        <v/>
      </c>
      <c r="AH270" s="88" t="str">
        <f>IF(全车数据表!BC271="","",全车数据表!BC271)</f>
        <v/>
      </c>
      <c r="AI270" s="88" t="str">
        <f>IF(全车数据表!BD271="","",全车数据表!BD271)</f>
        <v/>
      </c>
      <c r="AJ270" s="88" t="str">
        <f>IF(全车数据表!BE271="","",全车数据表!BE271)</f>
        <v/>
      </c>
      <c r="AK270" s="88" t="str">
        <f>IF(全车数据表!BF271="","",全车数据表!BF271)</f>
        <v/>
      </c>
      <c r="AL270" s="88" t="str">
        <f>IF(全车数据表!BG271="","",全车数据表!BG271)</f>
        <v/>
      </c>
      <c r="AM270" s="88" t="str">
        <f>IF(全车数据表!BH271="","",全车数据表!BH271)</f>
        <v/>
      </c>
      <c r="AN270" s="88" t="str">
        <f>IF(全车数据表!BI271="","",全车数据表!BI271)</f>
        <v/>
      </c>
      <c r="AO270" s="88" t="str">
        <f>IF(全车数据表!BJ271="","",全车数据表!BJ271)</f>
        <v/>
      </c>
      <c r="AP270" s="88" t="str">
        <f>IF(全车数据表!BK271="","",全车数据表!BK271)</f>
        <v/>
      </c>
      <c r="AQ270" s="88" t="str">
        <f>IF(全车数据表!BL271="","",全车数据表!BL271)</f>
        <v/>
      </c>
      <c r="AR270" s="88" t="str">
        <f>IF(全车数据表!BM271="","",全车数据表!BM271)</f>
        <v/>
      </c>
      <c r="AS270" s="88" t="str">
        <f>IF(全车数据表!BN271="","",全车数据表!BN271)</f>
        <v/>
      </c>
      <c r="AT270" s="88" t="str">
        <f>IF(全车数据表!BO271="","",全车数据表!BO271)</f>
        <v/>
      </c>
      <c r="AU270" s="88" t="str">
        <f>IF(全车数据表!BP271="","",全车数据表!BP271)</f>
        <v/>
      </c>
      <c r="AV270" s="88" t="str">
        <f>IF(全车数据表!BQ271="","",全车数据表!BQ271)</f>
        <v/>
      </c>
      <c r="AW270" s="88" t="str">
        <f>IF(全车数据表!BR271="","",全车数据表!BR271)</f>
        <v/>
      </c>
      <c r="AX270" s="88" t="str">
        <f>IF(全车数据表!BS271="","",全车数据表!BS271)</f>
        <v/>
      </c>
      <c r="AY270" s="88" t="str">
        <f>IF(全车数据表!BT271="","",全车数据表!BT271)</f>
        <v/>
      </c>
      <c r="AZ270" s="88" t="str">
        <f>IF(全车数据表!BU271="","",全车数据表!BU271)</f>
        <v/>
      </c>
      <c r="BA270" s="88" t="str">
        <f>IF(全车数据表!BV271="","",全车数据表!BV271)</f>
        <v>现代</v>
      </c>
      <c r="BB270" s="91" t="str">
        <f>IF(全车数据表!AZ271="","",全车数据表!AZ271)</f>
        <v/>
      </c>
    </row>
    <row r="271" spans="1:54">
      <c r="A271" s="88">
        <f>全车数据表!A272</f>
        <v>270</v>
      </c>
      <c r="B271" s="88" t="str">
        <f>全车数据表!B272</f>
        <v>McLaren Speedtail</v>
      </c>
      <c r="C271" s="89" t="str">
        <f>全车数据表!E272</f>
        <v>speedtail</v>
      </c>
      <c r="D271" s="88" t="str">
        <f>IF(全车数据表!D272="","",全车数据表!D272)</f>
        <v>McLaren</v>
      </c>
      <c r="E271" s="89" t="str">
        <f>全车数据表!H272</f>
        <v>2.5</v>
      </c>
      <c r="F271" s="89" t="str">
        <f>全车数据表!C272</f>
        <v>速尾</v>
      </c>
      <c r="G271" s="89" t="str">
        <f>全车数据表!F272</f>
        <v>S</v>
      </c>
      <c r="H271" s="88">
        <f>LEN(全车数据表!G272)</f>
        <v>6</v>
      </c>
      <c r="I271" s="88" t="str">
        <f>VLOOKUP(全车数据表!P272,辅助计算!A:B,2,FALSE)</f>
        <v>epic</v>
      </c>
      <c r="J271" s="88">
        <f>全车数据表!Q272</f>
        <v>40</v>
      </c>
      <c r="K271" s="88">
        <f>全车数据表!R272</f>
        <v>30</v>
      </c>
      <c r="L271" s="88">
        <f>全车数据表!S272</f>
        <v>35</v>
      </c>
      <c r="M271" s="88">
        <f>全车数据表!T272</f>
        <v>40</v>
      </c>
      <c r="N271" s="88">
        <f>全车数据表!U272</f>
        <v>50</v>
      </c>
      <c r="O271" s="88">
        <f>全车数据表!V272</f>
        <v>55</v>
      </c>
      <c r="P271" s="88">
        <f>全车数据表!J272</f>
        <v>4590</v>
      </c>
      <c r="Q271" s="88">
        <f>全车数据表!K272</f>
        <v>416.7</v>
      </c>
      <c r="R271" s="88">
        <f>全车数据表!L272</f>
        <v>81.11</v>
      </c>
      <c r="S271" s="88">
        <f>全车数据表!M272</f>
        <v>56.63</v>
      </c>
      <c r="T271" s="88">
        <f>全车数据表!N272</f>
        <v>74.19</v>
      </c>
      <c r="U271" s="88">
        <f>全车数据表!O272</f>
        <v>0</v>
      </c>
      <c r="V271" s="88">
        <f>全车数据表!AL272</f>
        <v>15496000</v>
      </c>
      <c r="W271" s="88">
        <f>全车数据表!AM272</f>
        <v>60000</v>
      </c>
      <c r="X271" s="88">
        <f>全车数据表!AU272</f>
        <v>9840000</v>
      </c>
      <c r="Y271" s="88">
        <f>全车数据表!AV272</f>
        <v>25336000</v>
      </c>
      <c r="Z271" s="88">
        <f>全车数据表!AN272</f>
        <v>7</v>
      </c>
      <c r="AA271" s="88">
        <f>全车数据表!AP272</f>
        <v>5</v>
      </c>
      <c r="AB271" s="88">
        <f>全车数据表!AR272</f>
        <v>4</v>
      </c>
      <c r="AC271" s="88">
        <f>全车数据表!AW272</f>
        <v>438</v>
      </c>
      <c r="AD271" s="88">
        <f>全车数据表!AX272</f>
        <v>0</v>
      </c>
      <c r="AE271" s="88">
        <f>全车数据表!AY272</f>
        <v>566</v>
      </c>
      <c r="AF271" s="88" t="str">
        <f>IF(全车数据表!BA272="","",全车数据表!BA272)</f>
        <v>特殊赛事</v>
      </c>
      <c r="AG271" s="88" t="str">
        <f>IF(全车数据表!BB272="","",全车数据表!BB272)</f>
        <v/>
      </c>
      <c r="AH271" s="88" t="str">
        <f>IF(全车数据表!BC272="","",全车数据表!BC272)</f>
        <v/>
      </c>
      <c r="AI271" s="88" t="str">
        <f>IF(全车数据表!BD272="","",全车数据表!BD272)</f>
        <v/>
      </c>
      <c r="AJ271" s="88">
        <f>IF(全车数据表!BE272="","",全车数据表!BE272)</f>
        <v>1</v>
      </c>
      <c r="AK271" s="88" t="str">
        <f>IF(全车数据表!BF272="","",全车数据表!BF272)</f>
        <v/>
      </c>
      <c r="AL271" s="88" t="str">
        <f>IF(全车数据表!BG272="","",全车数据表!BG272)</f>
        <v/>
      </c>
      <c r="AM271" s="88" t="str">
        <f>IF(全车数据表!BH272="","",全车数据表!BH272)</f>
        <v/>
      </c>
      <c r="AN271" s="88" t="str">
        <f>IF(全车数据表!BI272="","",全车数据表!BI272)</f>
        <v/>
      </c>
      <c r="AO271" s="88" t="str">
        <f>IF(全车数据表!BJ272="","",全车数据表!BJ272)</f>
        <v/>
      </c>
      <c r="AP271" s="88" t="str">
        <f>IF(全车数据表!BK272="","",全车数据表!BK272)</f>
        <v/>
      </c>
      <c r="AQ271" s="88">
        <f>IF(全车数据表!BL272="","",全车数据表!BL272)</f>
        <v>1</v>
      </c>
      <c r="AR271" s="88" t="str">
        <f>IF(全车数据表!BM272="","",全车数据表!BM272)</f>
        <v/>
      </c>
      <c r="AS271" s="88" t="str">
        <f>IF(全车数据表!BN272="","",全车数据表!BN272)</f>
        <v/>
      </c>
      <c r="AT271" s="88" t="str">
        <f>IF(全车数据表!BO272="","",全车数据表!BO272)</f>
        <v/>
      </c>
      <c r="AU271" s="88">
        <f>IF(全车数据表!BP272="","",全车数据表!BP272)</f>
        <v>1</v>
      </c>
      <c r="AV271" s="88" t="str">
        <f>IF(全车数据表!BQ272="","",全车数据表!BQ272)</f>
        <v>3款</v>
      </c>
      <c r="AW271" s="88" t="str">
        <f>IF(全车数据表!BR272="","",全车数据表!BR272)</f>
        <v/>
      </c>
      <c r="AX271" s="88" t="str">
        <f>IF(全车数据表!BS272="","",全车数据表!BS272)</f>
        <v/>
      </c>
      <c r="AY271" s="88">
        <f>IF(全车数据表!BT272="","",全车数据表!BT272)</f>
        <v>1</v>
      </c>
      <c r="AZ271" s="88">
        <f>IF(全车数据表!BU272="","",全车数据表!BU272)</f>
        <v>1</v>
      </c>
      <c r="BA271" s="88" t="str">
        <f>IF(全车数据表!BV272="","",全车数据表!BV272)</f>
        <v>迈凯伦 速尾 速度尾巴</v>
      </c>
      <c r="BB271" s="91" t="str">
        <f>IF(全车数据表!AZ272="","",全车数据表!AZ272)</f>
        <v/>
      </c>
    </row>
    <row r="272" spans="1:54">
      <c r="A272" s="88">
        <f>全车数据表!A273</f>
        <v>271</v>
      </c>
      <c r="B272" s="88" t="str">
        <f>全车数据表!B273</f>
        <v>Faraday Future FFZero1</v>
      </c>
      <c r="C272" s="89" t="str">
        <f>全车数据表!E273</f>
        <v>ff01</v>
      </c>
      <c r="D272" s="88" t="str">
        <f>IF(全车数据表!D273="","",全车数据表!D273)</f>
        <v>Faraday Future</v>
      </c>
      <c r="E272" s="89" t="str">
        <f>全车数据表!H273</f>
        <v>4.0</v>
      </c>
      <c r="F272" s="89" t="str">
        <f>全车数据表!C273</f>
        <v>FF01</v>
      </c>
      <c r="G272" s="89" t="str">
        <f>全车数据表!F273</f>
        <v>S</v>
      </c>
      <c r="H272" s="88">
        <f>LEN(全车数据表!G273)</f>
        <v>6</v>
      </c>
      <c r="I272" s="88" t="str">
        <f>VLOOKUP(全车数据表!P273,辅助计算!A:B,2,FALSE)</f>
        <v>epic</v>
      </c>
      <c r="J272" s="88">
        <f>全车数据表!Q273</f>
        <v>60</v>
      </c>
      <c r="K272" s="88">
        <f>全车数据表!R273</f>
        <v>35</v>
      </c>
      <c r="L272" s="88">
        <f>全车数据表!S273</f>
        <v>40</v>
      </c>
      <c r="M272" s="88">
        <f>全车数据表!T273</f>
        <v>50</v>
      </c>
      <c r="N272" s="88">
        <f>全车数据表!U273</f>
        <v>55</v>
      </c>
      <c r="O272" s="88">
        <f>全车数据表!V273</f>
        <v>60</v>
      </c>
      <c r="P272" s="88">
        <f>全车数据表!J273</f>
        <v>4602</v>
      </c>
      <c r="Q272" s="88">
        <f>全车数据表!K273</f>
        <v>423</v>
      </c>
      <c r="R272" s="88">
        <f>全车数据表!L273</f>
        <v>86.06</v>
      </c>
      <c r="S272" s="88">
        <f>全车数据表!M273</f>
        <v>42.83</v>
      </c>
      <c r="T272" s="88">
        <f>全车数据表!N273</f>
        <v>51.7</v>
      </c>
      <c r="U272" s="88">
        <f>全车数据表!O273</f>
        <v>0</v>
      </c>
      <c r="V272" s="88">
        <f>全车数据表!AL273</f>
        <v>18328000</v>
      </c>
      <c r="W272" s="88">
        <f>全车数据表!AM273</f>
        <v>96000</v>
      </c>
      <c r="X272" s="88">
        <f>全车数据表!AU273</f>
        <v>15744000</v>
      </c>
      <c r="Y272" s="88">
        <f>全车数据表!AV273</f>
        <v>34072000</v>
      </c>
      <c r="Z272" s="88">
        <f>全车数据表!AN273</f>
        <v>7</v>
      </c>
      <c r="AA272" s="88">
        <f>全车数据表!AP273</f>
        <v>5</v>
      </c>
      <c r="AB272" s="88">
        <f>全车数据表!AR273</f>
        <v>4</v>
      </c>
      <c r="AC272" s="88">
        <f>全车数据表!AW273</f>
        <v>445</v>
      </c>
      <c r="AD272" s="88">
        <f>全车数据表!AX273</f>
        <v>0</v>
      </c>
      <c r="AE272" s="88">
        <f>全车数据表!AY273</f>
        <v>569</v>
      </c>
      <c r="AF272" s="88" t="str">
        <f>IF(全车数据表!BA273="","",全车数据表!BA273)</f>
        <v>道路测试</v>
      </c>
      <c r="AG272" s="88" t="str">
        <f>IF(全车数据表!BB273="","",全车数据表!BB273)</f>
        <v/>
      </c>
      <c r="AH272" s="88" t="str">
        <f>IF(全车数据表!BC273="","",全车数据表!BC273)</f>
        <v/>
      </c>
      <c r="AI272" s="88" t="str">
        <f>IF(全车数据表!BD273="","",全车数据表!BD273)</f>
        <v/>
      </c>
      <c r="AJ272" s="88">
        <f>IF(全车数据表!BE273="","",全车数据表!BE273)</f>
        <v>1</v>
      </c>
      <c r="AK272" s="88" t="str">
        <f>IF(全车数据表!BF273="","",全车数据表!BF273)</f>
        <v/>
      </c>
      <c r="AL272" s="88" t="str">
        <f>IF(全车数据表!BG273="","",全车数据表!BG273)</f>
        <v/>
      </c>
      <c r="AM272" s="88" t="str">
        <f>IF(全车数据表!BH273="","",全车数据表!BH273)</f>
        <v/>
      </c>
      <c r="AN272" s="88" t="str">
        <f>IF(全车数据表!BI273="","",全车数据表!BI273)</f>
        <v/>
      </c>
      <c r="AO272" s="88" t="str">
        <f>IF(全车数据表!BJ273="","",全车数据表!BJ273)</f>
        <v/>
      </c>
      <c r="AP272" s="88" t="str">
        <f>IF(全车数据表!BK273="","",全车数据表!BK273)</f>
        <v/>
      </c>
      <c r="AQ272" s="88">
        <f>IF(全车数据表!BL273="","",全车数据表!BL273)</f>
        <v>1</v>
      </c>
      <c r="AR272" s="88" t="str">
        <f>IF(全车数据表!BM273="","",全车数据表!BM273)</f>
        <v/>
      </c>
      <c r="AS272" s="88" t="str">
        <f>IF(全车数据表!BN273="","",全车数据表!BN273)</f>
        <v/>
      </c>
      <c r="AT272" s="88" t="str">
        <f>IF(全车数据表!BO273="","",全车数据表!BO273)</f>
        <v/>
      </c>
      <c r="AU272" s="88" t="str">
        <f>IF(全车数据表!BP273="","",全车数据表!BP273)</f>
        <v/>
      </c>
      <c r="AV272" s="88" t="str">
        <f>IF(全车数据表!BQ273="","",全车数据表!BQ273)</f>
        <v/>
      </c>
      <c r="AW272" s="88" t="str">
        <f>IF(全车数据表!BR273="","",全车数据表!BR273)</f>
        <v/>
      </c>
      <c r="AX272" s="88" t="str">
        <f>IF(全车数据表!BS273="","",全车数据表!BS273)</f>
        <v/>
      </c>
      <c r="AY272" s="88" t="str">
        <f>IF(全车数据表!BT273="","",全车数据表!BT273)</f>
        <v/>
      </c>
      <c r="AZ272" s="88">
        <f>IF(全车数据表!BU273="","",全车数据表!BU273)</f>
        <v>1</v>
      </c>
      <c r="BA272" s="88" t="str">
        <f>IF(全车数据表!BV273="","",全车数据表!BV273)</f>
        <v>法拉第未来 贾跃亭 假药停</v>
      </c>
      <c r="BB272" s="91" t="str">
        <f>IF(全车数据表!AZ273="","",全车数据表!AZ273)</f>
        <v/>
      </c>
    </row>
    <row r="273" spans="1:54">
      <c r="A273" s="88">
        <f>全车数据表!A274</f>
        <v>272</v>
      </c>
      <c r="B273" s="88" t="str">
        <f>全车数据表!B274</f>
        <v>Bugatti Divo</v>
      </c>
      <c r="C273" s="89" t="str">
        <f>全车数据表!E274</f>
        <v>divo</v>
      </c>
      <c r="D273" s="88" t="str">
        <f>IF(全车数据表!D274="","",全车数据表!D274)</f>
        <v>Bugatti</v>
      </c>
      <c r="E273" s="89" t="str">
        <f>全车数据表!H274</f>
        <v>2.7</v>
      </c>
      <c r="F273" s="89" t="str">
        <f>全车数据表!C274</f>
        <v>Divo</v>
      </c>
      <c r="G273" s="89" t="str">
        <f>全车数据表!F274</f>
        <v>S</v>
      </c>
      <c r="H273" s="88">
        <f>LEN(全车数据表!G274)</f>
        <v>6</v>
      </c>
      <c r="I273" s="88" t="str">
        <f>VLOOKUP(全车数据表!P274,辅助计算!A:B,2,FALSE)</f>
        <v>epic</v>
      </c>
      <c r="J273" s="88">
        <f>全车数据表!Q274</f>
        <v>40</v>
      </c>
      <c r="K273" s="88">
        <f>全车数据表!R274</f>
        <v>45</v>
      </c>
      <c r="L273" s="88">
        <f>全车数据表!S274</f>
        <v>55</v>
      </c>
      <c r="M273" s="88">
        <f>全车数据表!T274</f>
        <v>48</v>
      </c>
      <c r="N273" s="88">
        <f>全车数据表!U274</f>
        <v>56</v>
      </c>
      <c r="O273" s="88">
        <f>全车数据表!V274</f>
        <v>56</v>
      </c>
      <c r="P273" s="88">
        <f>全车数据表!J274</f>
        <v>4607</v>
      </c>
      <c r="Q273" s="88">
        <f>全车数据表!K274</f>
        <v>389.5</v>
      </c>
      <c r="R273" s="88">
        <f>全车数据表!L274</f>
        <v>85.66</v>
      </c>
      <c r="S273" s="88">
        <f>全车数据表!M274</f>
        <v>61.5</v>
      </c>
      <c r="T273" s="88">
        <f>全车数据表!N274</f>
        <v>74.02</v>
      </c>
      <c r="U273" s="88">
        <f>全车数据表!O274</f>
        <v>0</v>
      </c>
      <c r="V273" s="88">
        <f>全车数据表!AL274</f>
        <v>19999800</v>
      </c>
      <c r="W273" s="88">
        <f>全车数据表!AM274</f>
        <v>80000</v>
      </c>
      <c r="X273" s="88">
        <f>全车数据表!AU274</f>
        <v>13120000</v>
      </c>
      <c r="Y273" s="88">
        <f>全车数据表!AV274</f>
        <v>33119800</v>
      </c>
      <c r="Z273" s="88">
        <f>全车数据表!AN274</f>
        <v>7</v>
      </c>
      <c r="AA273" s="88">
        <f>全车数据表!AP274</f>
        <v>5</v>
      </c>
      <c r="AB273" s="88">
        <f>全车数据表!AR274</f>
        <v>4</v>
      </c>
      <c r="AC273" s="88">
        <f>全车数据表!AW274</f>
        <v>405</v>
      </c>
      <c r="AD273" s="88">
        <f>全车数据表!AX274</f>
        <v>0</v>
      </c>
      <c r="AE273" s="88">
        <f>全车数据表!AY274</f>
        <v>546</v>
      </c>
      <c r="AF273" s="88" t="str">
        <f>IF(全车数据表!BA274="","",全车数据表!BA274)</f>
        <v>特殊赛事</v>
      </c>
      <c r="AG273" s="88" t="str">
        <f>IF(全车数据表!BB274="","",全车数据表!BB274)</f>
        <v/>
      </c>
      <c r="AH273" s="88" t="str">
        <f>IF(全车数据表!BC274="","",全车数据表!BC274)</f>
        <v/>
      </c>
      <c r="AI273" s="88" t="str">
        <f>IF(全车数据表!BD274="","",全车数据表!BD274)</f>
        <v/>
      </c>
      <c r="AJ273" s="88" t="str">
        <f>IF(全车数据表!BE274="","",全车数据表!BE274)</f>
        <v/>
      </c>
      <c r="AK273" s="88" t="str">
        <f>IF(全车数据表!BF274="","",全车数据表!BF274)</f>
        <v/>
      </c>
      <c r="AL273" s="88" t="str">
        <f>IF(全车数据表!BG274="","",全车数据表!BG274)</f>
        <v/>
      </c>
      <c r="AM273" s="88" t="str">
        <f>IF(全车数据表!BH274="","",全车数据表!BH274)</f>
        <v/>
      </c>
      <c r="AN273" s="88" t="str">
        <f>IF(全车数据表!BI274="","",全车数据表!BI274)</f>
        <v/>
      </c>
      <c r="AO273" s="88" t="str">
        <f>IF(全车数据表!BJ274="","",全车数据表!BJ274)</f>
        <v/>
      </c>
      <c r="AP273" s="88" t="str">
        <f>IF(全车数据表!BK274="","",全车数据表!BK274)</f>
        <v/>
      </c>
      <c r="AQ273" s="88">
        <f>IF(全车数据表!BL274="","",全车数据表!BL274)</f>
        <v>1</v>
      </c>
      <c r="AR273" s="88" t="str">
        <f>IF(全车数据表!BM274="","",全车数据表!BM274)</f>
        <v/>
      </c>
      <c r="AS273" s="88" t="str">
        <f>IF(全车数据表!BN274="","",全车数据表!BN274)</f>
        <v/>
      </c>
      <c r="AT273" s="88" t="str">
        <f>IF(全车数据表!BO274="","",全车数据表!BO274)</f>
        <v/>
      </c>
      <c r="AU273" s="88">
        <f>IF(全车数据表!BP274="","",全车数据表!BP274)</f>
        <v>1</v>
      </c>
      <c r="AV273" s="88" t="str">
        <f>IF(全车数据表!BQ274="","",全车数据表!BQ274)</f>
        <v>3款</v>
      </c>
      <c r="AW273" s="88" t="str">
        <f>IF(全车数据表!BR274="","",全车数据表!BR274)</f>
        <v/>
      </c>
      <c r="AX273" s="88" t="str">
        <f>IF(全车数据表!BS274="","",全车数据表!BS274)</f>
        <v/>
      </c>
      <c r="AY273" s="88">
        <f>IF(全车数据表!BT274="","",全车数据表!BT274)</f>
        <v>1</v>
      </c>
      <c r="AZ273" s="88" t="str">
        <f>IF(全车数据表!BU274="","",全车数据表!BU274)</f>
        <v/>
      </c>
      <c r="BA273" s="88" t="str">
        <f>IF(全车数据表!BV274="","",全车数据表!BV274)</f>
        <v>布加迪 老大爷</v>
      </c>
      <c r="BB273" s="91" t="str">
        <f>IF(全车数据表!AZ274="","",全车数据表!AZ274)</f>
        <v/>
      </c>
    </row>
    <row r="274" spans="1:54">
      <c r="A274" s="88">
        <f>全车数据表!A275</f>
        <v>273</v>
      </c>
      <c r="B274" s="88" t="str">
        <f>全车数据表!B275</f>
        <v>Koenigsegg Regera</v>
      </c>
      <c r="C274" s="89" t="str">
        <f>全车数据表!E275</f>
        <v>regera</v>
      </c>
      <c r="D274" s="88" t="str">
        <f>IF(全车数据表!D275="","",全车数据表!D275)</f>
        <v>Koenigsegg</v>
      </c>
      <c r="E274" s="89" t="str">
        <f>全车数据表!H275</f>
        <v>1.5</v>
      </c>
      <c r="F274" s="89" t="str">
        <f>全车数据表!C275</f>
        <v>统治</v>
      </c>
      <c r="G274" s="89" t="str">
        <f>全车数据表!F275</f>
        <v>S</v>
      </c>
      <c r="H274" s="88">
        <f>LEN(全车数据表!G275)</f>
        <v>6</v>
      </c>
      <c r="I274" s="88" t="str">
        <f>VLOOKUP(全车数据表!P275,辅助计算!A:B,2,FALSE)</f>
        <v>epic</v>
      </c>
      <c r="J274" s="88">
        <f>全车数据表!Q275</f>
        <v>60</v>
      </c>
      <c r="K274" s="88">
        <f>全车数据表!R275</f>
        <v>15</v>
      </c>
      <c r="L274" s="88">
        <f>全车数据表!S275</f>
        <v>18</v>
      </c>
      <c r="M274" s="88">
        <f>全车数据表!T275</f>
        <v>25</v>
      </c>
      <c r="N274" s="88">
        <f>全车数据表!U275</f>
        <v>38</v>
      </c>
      <c r="O274" s="88">
        <f>全车数据表!V275</f>
        <v>48</v>
      </c>
      <c r="P274" s="88">
        <f>全车数据表!J275</f>
        <v>4616</v>
      </c>
      <c r="Q274" s="88">
        <f>全车数据表!K275</f>
        <v>457.1</v>
      </c>
      <c r="R274" s="88">
        <f>全车数据表!L275</f>
        <v>80.88</v>
      </c>
      <c r="S274" s="88">
        <f>全车数据表!M275</f>
        <v>48.75</v>
      </c>
      <c r="T274" s="88">
        <f>全车数据表!N275</f>
        <v>52.48</v>
      </c>
      <c r="U274" s="88">
        <f>全车数据表!O275</f>
        <v>4.6159999999999997</v>
      </c>
      <c r="V274" s="88">
        <f>全车数据表!AL275</f>
        <v>19999800</v>
      </c>
      <c r="W274" s="88">
        <f>全车数据表!AM275</f>
        <v>80000</v>
      </c>
      <c r="X274" s="88">
        <f>全车数据表!AU275</f>
        <v>13120000</v>
      </c>
      <c r="Y274" s="88">
        <f>全车数据表!AV275</f>
        <v>33119800</v>
      </c>
      <c r="Z274" s="88">
        <f>全车数据表!AN275</f>
        <v>7</v>
      </c>
      <c r="AA274" s="88">
        <f>全车数据表!AP275</f>
        <v>5</v>
      </c>
      <c r="AB274" s="88">
        <f>全车数据表!AR275</f>
        <v>4</v>
      </c>
      <c r="AC274" s="88">
        <f>全车数据表!AW275</f>
        <v>481</v>
      </c>
      <c r="AD274" s="88">
        <f>全车数据表!AX275</f>
        <v>0</v>
      </c>
      <c r="AE274" s="88">
        <f>全车数据表!AY275</f>
        <v>585</v>
      </c>
      <c r="AF274" s="88" t="str">
        <f>IF(全车数据表!BA275="","",全车数据表!BA275)</f>
        <v>特殊赛事</v>
      </c>
      <c r="AG274" s="88" t="str">
        <f>IF(全车数据表!BB275="","",全车数据表!BB275)</f>
        <v/>
      </c>
      <c r="AH274" s="88" t="str">
        <f>IF(全车数据表!BC275="","",全车数据表!BC275)</f>
        <v/>
      </c>
      <c r="AI274" s="88" t="str">
        <f>IF(全车数据表!BD275="","",全车数据表!BD275)</f>
        <v/>
      </c>
      <c r="AJ274" s="88">
        <f>IF(全车数据表!BE275="","",全车数据表!BE275)</f>
        <v>1</v>
      </c>
      <c r="AK274" s="88" t="str">
        <f>IF(全车数据表!BF275="","",全车数据表!BF275)</f>
        <v/>
      </c>
      <c r="AL274" s="88" t="str">
        <f>IF(全车数据表!BG275="","",全车数据表!BG275)</f>
        <v/>
      </c>
      <c r="AM274" s="88" t="str">
        <f>IF(全车数据表!BH275="","",全车数据表!BH275)</f>
        <v/>
      </c>
      <c r="AN274" s="88" t="str">
        <f>IF(全车数据表!BI275="","",全车数据表!BI275)</f>
        <v/>
      </c>
      <c r="AO274" s="88" t="str">
        <f>IF(全车数据表!BJ275="","",全车数据表!BJ275)</f>
        <v/>
      </c>
      <c r="AP274" s="88" t="str">
        <f>IF(全车数据表!BK275="","",全车数据表!BK275)</f>
        <v/>
      </c>
      <c r="AQ274" s="88">
        <f>IF(全车数据表!BL275="","",全车数据表!BL275)</f>
        <v>1</v>
      </c>
      <c r="AR274" s="88" t="str">
        <f>IF(全车数据表!BM275="","",全车数据表!BM275)</f>
        <v/>
      </c>
      <c r="AS274" s="88" t="str">
        <f>IF(全车数据表!BN275="","",全车数据表!BN275)</f>
        <v/>
      </c>
      <c r="AT274" s="88" t="str">
        <f>IF(全车数据表!BO275="","",全车数据表!BO275)</f>
        <v/>
      </c>
      <c r="AU274" s="88">
        <f>IF(全车数据表!BP275="","",全车数据表!BP275)</f>
        <v>1</v>
      </c>
      <c r="AV274" s="88" t="str">
        <f>IF(全车数据表!BQ275="","",全车数据表!BQ275)</f>
        <v>2款</v>
      </c>
      <c r="AW274" s="88" t="str">
        <f>IF(全车数据表!BR275="","",全车数据表!BR275)</f>
        <v/>
      </c>
      <c r="AX274" s="88" t="str">
        <f>IF(全车数据表!BS275="","",全车数据表!BS275)</f>
        <v/>
      </c>
      <c r="AY274" s="88" t="str">
        <f>IF(全车数据表!BT275="","",全车数据表!BT275)</f>
        <v/>
      </c>
      <c r="AZ274" s="88">
        <f>IF(全车数据表!BU275="","",全车数据表!BU275)</f>
        <v>1</v>
      </c>
      <c r="BA274" s="88" t="str">
        <f>IF(全车数据表!BV275="","",全车数据表!BV275)</f>
        <v>统治 柯尼塞格 雷旮旯</v>
      </c>
      <c r="BB274" s="91">
        <f>IF(全车数据表!AZ275="","",全车数据表!AZ275)</f>
        <v>19</v>
      </c>
    </row>
    <row r="275" spans="1:54">
      <c r="A275" s="88">
        <f>全车数据表!A276</f>
        <v>274</v>
      </c>
      <c r="B275" s="88" t="str">
        <f>全车数据表!B276</f>
        <v>Porsche GT3 RS 2023🔑</v>
      </c>
      <c r="C275" s="89" t="str">
        <f>全车数据表!E276</f>
        <v>gt32023</v>
      </c>
      <c r="D275" s="88" t="str">
        <f>IF(全车数据表!D276="","",全车数据表!D276)</f>
        <v>Porsche</v>
      </c>
      <c r="E275" s="89" t="str">
        <f>全车数据表!H276</f>
        <v>5.5</v>
      </c>
      <c r="F275" s="89" t="str">
        <f>全车数据表!C276</f>
        <v>GT3 2023</v>
      </c>
      <c r="G275" s="89" t="str">
        <f>全车数据表!F276</f>
        <v>S</v>
      </c>
      <c r="H275" s="88">
        <f>LEN(全车数据表!G276)</f>
        <v>6</v>
      </c>
      <c r="I275" s="88" t="str">
        <f>VLOOKUP(全车数据表!P276,辅助计算!A:B,2,FALSE)</f>
        <v>epic</v>
      </c>
      <c r="J275" s="88" t="str">
        <f>全车数据表!Q276</f>
        <v>🔑</v>
      </c>
      <c r="K275" s="88">
        <f>全车数据表!R276</f>
        <v>38</v>
      </c>
      <c r="L275" s="88">
        <f>全车数据表!S276</f>
        <v>48</v>
      </c>
      <c r="M275" s="88">
        <f>全车数据表!T276</f>
        <v>58</v>
      </c>
      <c r="N275" s="88">
        <f>全车数据表!U276</f>
        <v>68</v>
      </c>
      <c r="O275" s="88">
        <f>全车数据表!V276</f>
        <v>88</v>
      </c>
      <c r="P275" s="88">
        <f>全车数据表!J276</f>
        <v>4621</v>
      </c>
      <c r="Q275" s="88">
        <f>全车数据表!K276</f>
        <v>360.6</v>
      </c>
      <c r="R275" s="88">
        <f>全车数据表!L276</f>
        <v>87.44</v>
      </c>
      <c r="S275" s="88">
        <f>全车数据表!M276</f>
        <v>91.48</v>
      </c>
      <c r="T275" s="88">
        <f>全车数据表!N276</f>
        <v>71.56</v>
      </c>
      <c r="U275" s="88">
        <f>全车数据表!O276</f>
        <v>0</v>
      </c>
      <c r="V275" s="88">
        <f>全车数据表!AL276</f>
        <v>0</v>
      </c>
      <c r="W275" s="88">
        <f>全车数据表!AM276</f>
        <v>0</v>
      </c>
      <c r="X275" s="88">
        <f>全车数据表!AU276</f>
        <v>0</v>
      </c>
      <c r="Y275" s="88">
        <f>全车数据表!AV276</f>
        <v>0</v>
      </c>
      <c r="Z275" s="88">
        <f>全车数据表!AN276</f>
        <v>0</v>
      </c>
      <c r="AA275" s="88">
        <f>全车数据表!AP276</f>
        <v>0</v>
      </c>
      <c r="AB275" s="88">
        <f>全车数据表!AR276</f>
        <v>0</v>
      </c>
      <c r="AC275" s="88">
        <f>全车数据表!AW276</f>
        <v>0</v>
      </c>
      <c r="AD275" s="88">
        <f>全车数据表!AX276</f>
        <v>0</v>
      </c>
      <c r="AE275" s="88">
        <f>全车数据表!AY276</f>
        <v>0</v>
      </c>
      <c r="AF275" s="88" t="str">
        <f>IF(全车数据表!BA276="","",全车数据表!BA276)</f>
        <v>狂飙寻宝</v>
      </c>
      <c r="AG275" s="88" t="str">
        <f>IF(全车数据表!BB276="","",全车数据表!BB276)</f>
        <v/>
      </c>
      <c r="AH275" s="88" t="str">
        <f>IF(全车数据表!BC276="","",全车数据表!BC276)</f>
        <v/>
      </c>
      <c r="AI275" s="88" t="str">
        <f>IF(全车数据表!BD276="","",全车数据表!BD276)</f>
        <v/>
      </c>
      <c r="AJ275" s="88" t="str">
        <f>IF(全车数据表!BE276="","",全车数据表!BE276)</f>
        <v/>
      </c>
      <c r="AK275" s="88" t="str">
        <f>IF(全车数据表!BF276="","",全车数据表!BF276)</f>
        <v/>
      </c>
      <c r="AL275" s="88" t="str">
        <f>IF(全车数据表!BG276="","",全车数据表!BG276)</f>
        <v/>
      </c>
      <c r="AM275" s="88" t="str">
        <f>IF(全车数据表!BH276="","",全车数据表!BH276)</f>
        <v/>
      </c>
      <c r="AN275" s="88" t="str">
        <f>IF(全车数据表!BI276="","",全车数据表!BI276)</f>
        <v/>
      </c>
      <c r="AO275" s="88" t="str">
        <f>IF(全车数据表!BJ276="","",全车数据表!BJ276)</f>
        <v/>
      </c>
      <c r="AP275" s="88" t="str">
        <f>IF(全车数据表!BK276="","",全车数据表!BK276)</f>
        <v/>
      </c>
      <c r="AQ275" s="88" t="str">
        <f>IF(全车数据表!BL276="","",全车数据表!BL276)</f>
        <v/>
      </c>
      <c r="AR275" s="88" t="str">
        <f>IF(全车数据表!BM276="","",全车数据表!BM276)</f>
        <v/>
      </c>
      <c r="AS275" s="88" t="str">
        <f>IF(全车数据表!BN276="","",全车数据表!BN276)</f>
        <v/>
      </c>
      <c r="AT275" s="88" t="str">
        <f>IF(全车数据表!BO276="","",全车数据表!BO276)</f>
        <v/>
      </c>
      <c r="AU275" s="88" t="str">
        <f>IF(全车数据表!BP276="","",全车数据表!BP276)</f>
        <v/>
      </c>
      <c r="AV275" s="88" t="str">
        <f>IF(全车数据表!BQ276="","",全车数据表!BQ276)</f>
        <v/>
      </c>
      <c r="AW275" s="88" t="str">
        <f>IF(全车数据表!BR276="","",全车数据表!BR276)</f>
        <v/>
      </c>
      <c r="AX275" s="88" t="str">
        <f>IF(全车数据表!BS276="","",全车数据表!BS276)</f>
        <v/>
      </c>
      <c r="AY275" s="88" t="str">
        <f>IF(全车数据表!BT276="","",全车数据表!BT276)</f>
        <v/>
      </c>
      <c r="AZ275" s="88" t="str">
        <f>IF(全车数据表!BU276="","",全车数据表!BU276)</f>
        <v/>
      </c>
      <c r="BA275" s="88" t="str">
        <f>IF(全车数据表!BV276="","",全车数据表!BV276)</f>
        <v>保时捷</v>
      </c>
      <c r="BB275" s="91" t="str">
        <f>IF(全车数据表!AZ276="","",全车数据表!AZ276)</f>
        <v/>
      </c>
    </row>
    <row r="276" spans="1:54">
      <c r="A276" s="88">
        <f>全车数据表!A277</f>
        <v>275</v>
      </c>
      <c r="B276" s="88" t="str">
        <f>全车数据表!B277</f>
        <v>Saleen S7 twin Turbo</v>
      </c>
      <c r="C276" s="89" t="str">
        <f>全车数据表!E277</f>
        <v>saleens7</v>
      </c>
      <c r="D276" s="88" t="str">
        <f>IF(全车数据表!D277="","",全车数据表!D277)</f>
        <v>Saleen</v>
      </c>
      <c r="E276" s="89" t="str">
        <f>全车数据表!H277</f>
        <v>4.3</v>
      </c>
      <c r="F276" s="89" t="str">
        <f>全车数据表!C277</f>
        <v>萨林S7</v>
      </c>
      <c r="G276" s="89" t="str">
        <f>全车数据表!F277</f>
        <v>S</v>
      </c>
      <c r="H276" s="88">
        <f>LEN(全车数据表!G277)</f>
        <v>6</v>
      </c>
      <c r="I276" s="88" t="str">
        <f>VLOOKUP(全车数据表!P277,辅助计算!A:B,2,FALSE)</f>
        <v>epic</v>
      </c>
      <c r="J276" s="88">
        <f>全车数据表!Q277</f>
        <v>40</v>
      </c>
      <c r="K276" s="88">
        <f>全车数据表!R277</f>
        <v>45</v>
      </c>
      <c r="L276" s="88">
        <f>全车数据表!S277</f>
        <v>55</v>
      </c>
      <c r="M276" s="88">
        <f>全车数据表!T277</f>
        <v>48</v>
      </c>
      <c r="N276" s="88">
        <f>全车数据表!U277</f>
        <v>56</v>
      </c>
      <c r="O276" s="88">
        <f>全车数据表!V277</f>
        <v>56</v>
      </c>
      <c r="P276" s="88">
        <f>全车数据表!J277</f>
        <v>4629</v>
      </c>
      <c r="Q276" s="88">
        <f>全车数据表!K277</f>
        <v>429.9</v>
      </c>
      <c r="R276" s="88">
        <f>全车数据表!L277</f>
        <v>69.5</v>
      </c>
      <c r="S276" s="88">
        <f>全车数据表!M277</f>
        <v>68.97</v>
      </c>
      <c r="T276" s="88">
        <f>全车数据表!N277</f>
        <v>77.31</v>
      </c>
      <c r="U276" s="88">
        <f>全车数据表!O277</f>
        <v>0</v>
      </c>
      <c r="V276" s="88">
        <f>全车数据表!AL277</f>
        <v>18328000</v>
      </c>
      <c r="W276" s="88">
        <f>全车数据表!AM277</f>
        <v>80000</v>
      </c>
      <c r="X276" s="88">
        <f>全车数据表!AU277</f>
        <v>13120000</v>
      </c>
      <c r="Y276" s="88">
        <f>全车数据表!AV277</f>
        <v>31448000</v>
      </c>
      <c r="Z276" s="88">
        <f>全车数据表!AN277</f>
        <v>7</v>
      </c>
      <c r="AA276" s="88">
        <f>全车数据表!AP277</f>
        <v>5</v>
      </c>
      <c r="AB276" s="88">
        <f>全车数据表!AR277</f>
        <v>4</v>
      </c>
      <c r="AC276" s="88">
        <f>全车数据表!AW277</f>
        <v>452</v>
      </c>
      <c r="AD276" s="88">
        <f>全车数据表!AX277</f>
        <v>0</v>
      </c>
      <c r="AE276" s="88">
        <f>全车数据表!AY277</f>
        <v>572</v>
      </c>
      <c r="AF276" s="88" t="str">
        <f>IF(全车数据表!BA277="","",全车数据表!BA277)</f>
        <v>特殊赛事</v>
      </c>
      <c r="AG276" s="88" t="str">
        <f>IF(全车数据表!BB277="","",全车数据表!BB277)</f>
        <v/>
      </c>
      <c r="AH276" s="88" t="str">
        <f>IF(全车数据表!BC277="","",全车数据表!BC277)</f>
        <v/>
      </c>
      <c r="AI276" s="88" t="str">
        <f>IF(全车数据表!BD277="","",全车数据表!BD277)</f>
        <v/>
      </c>
      <c r="AJ276" s="88" t="str">
        <f>IF(全车数据表!BE277="","",全车数据表!BE277)</f>
        <v/>
      </c>
      <c r="AK276" s="88" t="str">
        <f>IF(全车数据表!BF277="","",全车数据表!BF277)</f>
        <v/>
      </c>
      <c r="AL276" s="88" t="str">
        <f>IF(全车数据表!BG277="","",全车数据表!BG277)</f>
        <v/>
      </c>
      <c r="AM276" s="88" t="str">
        <f>IF(全车数据表!BH277="","",全车数据表!BH277)</f>
        <v/>
      </c>
      <c r="AN276" s="88" t="str">
        <f>IF(全车数据表!BI277="","",全车数据表!BI277)</f>
        <v/>
      </c>
      <c r="AO276" s="88" t="str">
        <f>IF(全车数据表!BJ277="","",全车数据表!BJ277)</f>
        <v/>
      </c>
      <c r="AP276" s="88" t="str">
        <f>IF(全车数据表!BK277="","",全车数据表!BK277)</f>
        <v/>
      </c>
      <c r="AQ276" s="88">
        <f>IF(全车数据表!BL277="","",全车数据表!BL277)</f>
        <v>1</v>
      </c>
      <c r="AR276" s="88" t="str">
        <f>IF(全车数据表!BM277="","",全车数据表!BM277)</f>
        <v/>
      </c>
      <c r="AS276" s="88" t="str">
        <f>IF(全车数据表!BN277="","",全车数据表!BN277)</f>
        <v/>
      </c>
      <c r="AT276" s="88" t="str">
        <f>IF(全车数据表!BO277="","",全车数据表!BO277)</f>
        <v/>
      </c>
      <c r="AU276" s="88" t="str">
        <f>IF(全车数据表!BP277="","",全车数据表!BP277)</f>
        <v/>
      </c>
      <c r="AV276" s="88" t="str">
        <f>IF(全车数据表!BQ277="","",全车数据表!BQ277)</f>
        <v/>
      </c>
      <c r="AW276" s="88" t="str">
        <f>IF(全车数据表!BR277="","",全车数据表!BR277)</f>
        <v/>
      </c>
      <c r="AX276" s="88" t="str">
        <f>IF(全车数据表!BS277="","",全车数据表!BS277)</f>
        <v/>
      </c>
      <c r="AY276" s="88" t="str">
        <f>IF(全车数据表!BT277="","",全车数据表!BT277)</f>
        <v/>
      </c>
      <c r="AZ276" s="88" t="str">
        <f>IF(全车数据表!BU277="","",全车数据表!BU277)</f>
        <v/>
      </c>
      <c r="BA276" s="88" t="str">
        <f>IF(全车数据表!BV277="","",全车数据表!BV277)</f>
        <v>赛麟</v>
      </c>
      <c r="BB276" s="91" t="str">
        <f>IF(全车数据表!AZ277="","",全车数据表!AZ277)</f>
        <v/>
      </c>
    </row>
    <row r="277" spans="1:54">
      <c r="A277" s="88">
        <f>全车数据表!A278</f>
        <v>276</v>
      </c>
      <c r="B277" s="88" t="str">
        <f>全车数据表!B278</f>
        <v>W Motors Lykan HyperSport Neon Edition</v>
      </c>
      <c r="C277" s="89" t="str">
        <f>全车数据表!E278</f>
        <v>lykanneon</v>
      </c>
      <c r="D277" s="88" t="str">
        <f>IF(全车数据表!D278="","",全车数据表!D278)</f>
        <v>W Motors</v>
      </c>
      <c r="E277" s="89" t="str">
        <f>全车数据表!H278</f>
        <v>3.9</v>
      </c>
      <c r="F277" s="89" t="str">
        <f>全车数据表!C278</f>
        <v>霓虹狼崽</v>
      </c>
      <c r="G277" s="89" t="str">
        <f>全车数据表!F278</f>
        <v>S</v>
      </c>
      <c r="H277" s="88">
        <f>LEN(全车数据表!G278)</f>
        <v>6</v>
      </c>
      <c r="I277" s="88" t="str">
        <f>VLOOKUP(全车数据表!P278,辅助计算!A:B,2,FALSE)</f>
        <v>epic</v>
      </c>
      <c r="J277" s="88">
        <f>全车数据表!Q278</f>
        <v>40</v>
      </c>
      <c r="K277" s="88">
        <f>全车数据表!R278</f>
        <v>45</v>
      </c>
      <c r="L277" s="88">
        <f>全车数据表!S278</f>
        <v>55</v>
      </c>
      <c r="M277" s="88">
        <f>全车数据表!T278</f>
        <v>48</v>
      </c>
      <c r="N277" s="88">
        <f>全车数据表!U278</f>
        <v>56</v>
      </c>
      <c r="O277" s="88">
        <f>全车数据表!V278</f>
        <v>56</v>
      </c>
      <c r="P277" s="88">
        <f>全车数据表!J278</f>
        <v>4636</v>
      </c>
      <c r="Q277" s="88">
        <f>全车数据表!K278</f>
        <v>407.5</v>
      </c>
      <c r="R277" s="88">
        <f>全车数据表!L278</f>
        <v>80.48</v>
      </c>
      <c r="S277" s="88">
        <f>全车数据表!M278</f>
        <v>53.75</v>
      </c>
      <c r="T277" s="88">
        <f>全车数据表!N278</f>
        <v>65.900000000000006</v>
      </c>
      <c r="U277" s="88">
        <f>全车数据表!O278</f>
        <v>0</v>
      </c>
      <c r="V277" s="88">
        <f>全车数据表!AL278</f>
        <v>24000000</v>
      </c>
      <c r="W277" s="88">
        <f>全车数据表!AM278</f>
        <v>96000</v>
      </c>
      <c r="X277" s="88">
        <f>全车数据表!AU278</f>
        <v>15744000</v>
      </c>
      <c r="Y277" s="88">
        <f>全车数据表!AV278</f>
        <v>39744000</v>
      </c>
      <c r="Z277" s="88">
        <f>全车数据表!AN278</f>
        <v>7</v>
      </c>
      <c r="AA277" s="88">
        <f>全车数据表!AP278</f>
        <v>5</v>
      </c>
      <c r="AB277" s="88">
        <f>全车数据表!AR278</f>
        <v>4</v>
      </c>
      <c r="AC277" s="88">
        <f>全车数据表!AW278</f>
        <v>425</v>
      </c>
      <c r="AD277" s="88">
        <f>全车数据表!AX278</f>
        <v>0</v>
      </c>
      <c r="AE277" s="88">
        <f>全车数据表!AY278</f>
        <v>560</v>
      </c>
      <c r="AF277" s="88" t="str">
        <f>IF(全车数据表!BA278="","",全车数据表!BA278)</f>
        <v>联会赛事</v>
      </c>
      <c r="AG277" s="88" t="str">
        <f>IF(全车数据表!BB278="","",全车数据表!BB278)</f>
        <v/>
      </c>
      <c r="AH277" s="88" t="str">
        <f>IF(全车数据表!BC278="","",全车数据表!BC278)</f>
        <v/>
      </c>
      <c r="AI277" s="88" t="str">
        <f>IF(全车数据表!BD278="","",全车数据表!BD278)</f>
        <v/>
      </c>
      <c r="AJ277" s="88" t="str">
        <f>IF(全车数据表!BE278="","",全车数据表!BE278)</f>
        <v/>
      </c>
      <c r="AK277" s="88" t="str">
        <f>IF(全车数据表!BF278="","",全车数据表!BF278)</f>
        <v/>
      </c>
      <c r="AL277" s="88" t="str">
        <f>IF(全车数据表!BG278="","",全车数据表!BG278)</f>
        <v/>
      </c>
      <c r="AM277" s="88" t="str">
        <f>IF(全车数据表!BH278="","",全车数据表!BH278)</f>
        <v/>
      </c>
      <c r="AN277" s="88" t="str">
        <f>IF(全车数据表!BI278="","",全车数据表!BI278)</f>
        <v/>
      </c>
      <c r="AO277" s="88" t="str">
        <f>IF(全车数据表!BJ278="","",全车数据表!BJ278)</f>
        <v/>
      </c>
      <c r="AP277" s="88" t="str">
        <f>IF(全车数据表!BK278="","",全车数据表!BK278)</f>
        <v/>
      </c>
      <c r="AQ277" s="88" t="str">
        <f>IF(全车数据表!BL278="","",全车数据表!BL278)</f>
        <v/>
      </c>
      <c r="AR277" s="88" t="str">
        <f>IF(全车数据表!BM278="","",全车数据表!BM278)</f>
        <v/>
      </c>
      <c r="AS277" s="88">
        <f>IF(全车数据表!BN278="","",全车数据表!BN278)</f>
        <v>1</v>
      </c>
      <c r="AT277" s="88" t="str">
        <f>IF(全车数据表!BO278="","",全车数据表!BO278)</f>
        <v/>
      </c>
      <c r="AU277" s="88" t="str">
        <f>IF(全车数据表!BP278="","",全车数据表!BP278)</f>
        <v/>
      </c>
      <c r="AV277" s="88" t="str">
        <f>IF(全车数据表!BQ278="","",全车数据表!BQ278)</f>
        <v/>
      </c>
      <c r="AW277" s="88" t="str">
        <f>IF(全车数据表!BR278="","",全车数据表!BR278)</f>
        <v/>
      </c>
      <c r="AX277" s="88" t="str">
        <f>IF(全车数据表!BS278="","",全车数据表!BS278)</f>
        <v/>
      </c>
      <c r="AY277" s="88" t="str">
        <f>IF(全车数据表!BT278="","",全车数据表!BT278)</f>
        <v/>
      </c>
      <c r="AZ277" s="88" t="str">
        <f>IF(全车数据表!BU278="","",全车数据表!BU278)</f>
        <v/>
      </c>
      <c r="BA277" s="88" t="str">
        <f>IF(全车数据表!BV278="","",全车数据表!BV278)</f>
        <v>莱肯</v>
      </c>
      <c r="BB277" s="91" t="str">
        <f>IF(全车数据表!AZ278="","",全车数据表!AZ278)</f>
        <v/>
      </c>
    </row>
    <row r="278" spans="1:54">
      <c r="A278" s="88">
        <f>全车数据表!A279</f>
        <v>277</v>
      </c>
      <c r="B278" s="88" t="str">
        <f>全车数据表!B279</f>
        <v>Ultima RS🔑</v>
      </c>
      <c r="C278" s="89" t="str">
        <f>全车数据表!E279</f>
        <v>ultimars</v>
      </c>
      <c r="D278" s="88" t="str">
        <f>IF(全车数据表!D279="","",全车数据表!D279)</f>
        <v>Ultima</v>
      </c>
      <c r="E278" s="89" t="str">
        <f>全车数据表!H279</f>
        <v>3.4</v>
      </c>
      <c r="F278" s="89" t="str">
        <f>全车数据表!C279</f>
        <v>Ultima RS</v>
      </c>
      <c r="G278" s="89" t="str">
        <f>全车数据表!F279</f>
        <v>S</v>
      </c>
      <c r="H278" s="88">
        <f>LEN(全车数据表!G279)</f>
        <v>6</v>
      </c>
      <c r="I278" s="88" t="str">
        <f>VLOOKUP(全车数据表!P279,辅助计算!A:B,2,FALSE)</f>
        <v>epic</v>
      </c>
      <c r="J278" s="88" t="str">
        <f>全车数据表!Q279</f>
        <v>🔑</v>
      </c>
      <c r="K278" s="88">
        <f>全车数据表!R279</f>
        <v>38</v>
      </c>
      <c r="L278" s="88">
        <f>全车数据表!S279</f>
        <v>48</v>
      </c>
      <c r="M278" s="88">
        <f>全车数据表!T279</f>
        <v>58</v>
      </c>
      <c r="N278" s="88">
        <f>全车数据表!U279</f>
        <v>68</v>
      </c>
      <c r="O278" s="88">
        <f>全车数据表!V279</f>
        <v>88</v>
      </c>
      <c r="P278" s="88">
        <f>全车数据表!J279</f>
        <v>4650</v>
      </c>
      <c r="Q278" s="88">
        <f>全车数据表!K279</f>
        <v>418.2</v>
      </c>
      <c r="R278" s="88">
        <f>全车数据表!L279</f>
        <v>81.41</v>
      </c>
      <c r="S278" s="88">
        <f>全车数据表!M279</f>
        <v>63.54</v>
      </c>
      <c r="T278" s="88">
        <f>全车数据表!N279</f>
        <v>63.28</v>
      </c>
      <c r="U278" s="88">
        <f>全车数据表!O279</f>
        <v>0</v>
      </c>
      <c r="V278" s="88">
        <f>全车数据表!AL279</f>
        <v>24000000</v>
      </c>
      <c r="W278" s="88">
        <f>全车数据表!AM279</f>
        <v>80000</v>
      </c>
      <c r="X278" s="88">
        <f>全车数据表!AU279</f>
        <v>13120000</v>
      </c>
      <c r="Y278" s="88">
        <f>全车数据表!AV279</f>
        <v>37120000</v>
      </c>
      <c r="Z278" s="88">
        <f>全车数据表!AN279</f>
        <v>7</v>
      </c>
      <c r="AA278" s="88">
        <f>全车数据表!AP279</f>
        <v>5</v>
      </c>
      <c r="AB278" s="88">
        <f>全车数据表!AR279</f>
        <v>4</v>
      </c>
      <c r="AC278" s="88">
        <f>全车数据表!AW279</f>
        <v>440</v>
      </c>
      <c r="AD278" s="88">
        <f>全车数据表!AX279</f>
        <v>0</v>
      </c>
      <c r="AE278" s="88">
        <f>全车数据表!AY279</f>
        <v>567</v>
      </c>
      <c r="AF278" s="88" t="str">
        <f>IF(全车数据表!BA279="","",全车数据表!BA279)</f>
        <v>特殊赛事</v>
      </c>
      <c r="AG278" s="88" t="str">
        <f>IF(全车数据表!BB279="","",全车数据表!BB279)</f>
        <v/>
      </c>
      <c r="AH278" s="88" t="str">
        <f>IF(全车数据表!BC279="","",全车数据表!BC279)</f>
        <v/>
      </c>
      <c r="AI278" s="88" t="str">
        <f>IF(全车数据表!BD279="","",全车数据表!BD279)</f>
        <v/>
      </c>
      <c r="AJ278" s="88" t="str">
        <f>IF(全车数据表!BE279="","",全车数据表!BE279)</f>
        <v/>
      </c>
      <c r="AK278" s="88" t="str">
        <f>IF(全车数据表!BF279="","",全车数据表!BF279)</f>
        <v/>
      </c>
      <c r="AL278" s="88" t="str">
        <f>IF(全车数据表!BG279="","",全车数据表!BG279)</f>
        <v/>
      </c>
      <c r="AM278" s="88" t="str">
        <f>IF(全车数据表!BH279="","",全车数据表!BH279)</f>
        <v/>
      </c>
      <c r="AN278" s="88" t="str">
        <f>IF(全车数据表!BI279="","",全车数据表!BI279)</f>
        <v/>
      </c>
      <c r="AO278" s="88" t="str">
        <f>IF(全车数据表!BJ279="","",全车数据表!BJ279)</f>
        <v/>
      </c>
      <c r="AP278" s="88" t="str">
        <f>IF(全车数据表!BK279="","",全车数据表!BK279)</f>
        <v/>
      </c>
      <c r="AQ278" s="88">
        <f>IF(全车数据表!BL279="","",全车数据表!BL279)</f>
        <v>1</v>
      </c>
      <c r="AR278" s="88" t="str">
        <f>IF(全车数据表!BM279="","",全车数据表!BM279)</f>
        <v/>
      </c>
      <c r="AS278" s="88" t="str">
        <f>IF(全车数据表!BN279="","",全车数据表!BN279)</f>
        <v/>
      </c>
      <c r="AT278" s="88">
        <f>IF(全车数据表!BO279="","",全车数据表!BO279)</f>
        <v>1</v>
      </c>
      <c r="AU278" s="88">
        <f>IF(全车数据表!BP279="","",全车数据表!BP279)</f>
        <v>1</v>
      </c>
      <c r="AV278" s="88" t="str">
        <f>IF(全车数据表!BQ279="","",全车数据表!BQ279)</f>
        <v>1款</v>
      </c>
      <c r="AW278" s="88" t="str">
        <f>IF(全车数据表!BR279="","",全车数据表!BR279)</f>
        <v/>
      </c>
      <c r="AX278" s="88" t="str">
        <f>IF(全车数据表!BS279="","",全车数据表!BS279)</f>
        <v/>
      </c>
      <c r="AY278" s="88">
        <f>IF(全车数据表!BT279="","",全车数据表!BT279)</f>
        <v>1</v>
      </c>
      <c r="AZ278" s="88" t="str">
        <f>IF(全车数据表!BU279="","",全车数据表!BU279)</f>
        <v/>
      </c>
      <c r="BA278" s="88" t="str">
        <f>IF(全车数据表!BV279="","",全车数据表!BV279)</f>
        <v>奥特曼</v>
      </c>
      <c r="BB278" s="91" t="str">
        <f>IF(全车数据表!AZ279="","",全车数据表!AZ279)</f>
        <v/>
      </c>
    </row>
    <row r="279" spans="1:54">
      <c r="A279" s="88">
        <f>全车数据表!A280</f>
        <v>278</v>
      </c>
      <c r="B279" s="88" t="str">
        <f>全车数据表!B280</f>
        <v>W Motors Fenyr Super Sport CNY Edition</v>
      </c>
      <c r="C279" s="89" t="str">
        <f>全车数据表!E280</f>
        <v>w_motors_fenyr_super_sport_cny_edition</v>
      </c>
      <c r="D279" s="88" t="str">
        <f>IF(全车数据表!D280="","",全车数据表!D280)</f>
        <v>W Motors</v>
      </c>
      <c r="E279" s="89" t="str">
        <f>全车数据表!H280</f>
        <v>5.7</v>
      </c>
      <c r="F279" s="89" t="str">
        <f>全车数据表!C280</f>
        <v>狼王春节版</v>
      </c>
      <c r="G279" s="89" t="str">
        <f>全车数据表!F280</f>
        <v>S</v>
      </c>
      <c r="H279" s="88">
        <f>LEN(全车数据表!G280)</f>
        <v>6</v>
      </c>
      <c r="I279" s="88" t="str">
        <f>VLOOKUP(全车数据表!P280,辅助计算!A:B,2,FALSE)</f>
        <v>epic</v>
      </c>
      <c r="J279" s="88" t="str">
        <f>全车数据表!Q280</f>
        <v>🔑</v>
      </c>
      <c r="K279" s="88">
        <f>全车数据表!R280</f>
        <v>45</v>
      </c>
      <c r="L279" s="88">
        <f>全车数据表!S280</f>
        <v>56</v>
      </c>
      <c r="M279" s="88">
        <f>全车数据表!T280</f>
        <v>65</v>
      </c>
      <c r="N279" s="88">
        <f>全车数据表!U280</f>
        <v>66</v>
      </c>
      <c r="O279" s="88">
        <f>全车数据表!V280</f>
        <v>68</v>
      </c>
      <c r="P279" s="88">
        <f>全车数据表!J280</f>
        <v>4653</v>
      </c>
      <c r="Q279" s="88">
        <f>全车数据表!K280</f>
        <v>410.2</v>
      </c>
      <c r="R279" s="88">
        <f>全车数据表!L280</f>
        <v>83</v>
      </c>
      <c r="S279" s="88">
        <f>全车数据表!M280</f>
        <v>61.33</v>
      </c>
      <c r="T279" s="88">
        <f>全车数据表!N280</f>
        <v>60.21</v>
      </c>
      <c r="U279" s="88">
        <f>全车数据表!O280</f>
        <v>0</v>
      </c>
      <c r="V279" s="88">
        <f>全车数据表!AL280</f>
        <v>0</v>
      </c>
      <c r="W279" s="88">
        <f>全车数据表!AM280</f>
        <v>88000</v>
      </c>
      <c r="X279" s="88">
        <f>全车数据表!AU280</f>
        <v>0</v>
      </c>
      <c r="Y279" s="88">
        <f>全车数据表!AV280</f>
        <v>0</v>
      </c>
      <c r="Z279" s="88">
        <f>全车数据表!AN280</f>
        <v>7</v>
      </c>
      <c r="AA279" s="88">
        <f>全车数据表!AP280</f>
        <v>5</v>
      </c>
      <c r="AB279" s="88">
        <f>全车数据表!AR280</f>
        <v>4</v>
      </c>
      <c r="AC279" s="88">
        <f>全车数据表!AW280</f>
        <v>0</v>
      </c>
      <c r="AD279" s="88">
        <f>全车数据表!AX280</f>
        <v>0</v>
      </c>
      <c r="AE279" s="88">
        <f>全车数据表!AY280</f>
        <v>0</v>
      </c>
      <c r="AF279" s="88" t="str">
        <f>IF(全车数据表!BA280="","",全车数据表!BA280)</f>
        <v>狂飙赏金</v>
      </c>
      <c r="AG279" s="88" t="str">
        <f>IF(全车数据表!BB280="","",全车数据表!BB280)</f>
        <v/>
      </c>
      <c r="AH279" s="88" t="str">
        <f>IF(全车数据表!BC280="","",全车数据表!BC280)</f>
        <v/>
      </c>
      <c r="AI279" s="88" t="str">
        <f>IF(全车数据表!BD280="","",全车数据表!BD280)</f>
        <v/>
      </c>
      <c r="AJ279" s="88" t="str">
        <f>IF(全车数据表!BE280="","",全车数据表!BE280)</f>
        <v/>
      </c>
      <c r="AK279" s="88" t="str">
        <f>IF(全车数据表!BF280="","",全车数据表!BF280)</f>
        <v/>
      </c>
      <c r="AL279" s="88" t="str">
        <f>IF(全车数据表!BG280="","",全车数据表!BG280)</f>
        <v/>
      </c>
      <c r="AM279" s="88" t="str">
        <f>IF(全车数据表!BH280="","",全车数据表!BH280)</f>
        <v/>
      </c>
      <c r="AN279" s="88" t="str">
        <f>IF(全车数据表!BI280="","",全车数据表!BI280)</f>
        <v/>
      </c>
      <c r="AO279" s="88" t="str">
        <f>IF(全车数据表!BJ280="","",全车数据表!BJ280)</f>
        <v/>
      </c>
      <c r="AP279" s="88" t="str">
        <f>IF(全车数据表!BK280="","",全车数据表!BK280)</f>
        <v/>
      </c>
      <c r="AQ279" s="88" t="str">
        <f>IF(全车数据表!BL280="","",全车数据表!BL280)</f>
        <v/>
      </c>
      <c r="AR279" s="88" t="str">
        <f>IF(全车数据表!BM280="","",全车数据表!BM280)</f>
        <v/>
      </c>
      <c r="AS279" s="88" t="str">
        <f>IF(全车数据表!BN280="","",全车数据表!BN280)</f>
        <v/>
      </c>
      <c r="AT279" s="88" t="str">
        <f>IF(全车数据表!BO280="","",全车数据表!BO280)</f>
        <v/>
      </c>
      <c r="AU279" s="88" t="str">
        <f>IF(全车数据表!BP280="","",全车数据表!BP280)</f>
        <v/>
      </c>
      <c r="AV279" s="88" t="str">
        <f>IF(全车数据表!BQ280="","",全车数据表!BQ280)</f>
        <v/>
      </c>
      <c r="AW279" s="88" t="str">
        <f>IF(全车数据表!BR280="","",全车数据表!BR280)</f>
        <v/>
      </c>
      <c r="AX279" s="88" t="str">
        <f>IF(全车数据表!BS280="","",全车数据表!BS280)</f>
        <v/>
      </c>
      <c r="AY279" s="88" t="str">
        <f>IF(全车数据表!BT280="","",全车数据表!BT280)</f>
        <v/>
      </c>
      <c r="AZ279" s="88" t="str">
        <f>IF(全车数据表!BU280="","",全车数据表!BU280)</f>
        <v/>
      </c>
      <c r="BA279" s="88" t="str">
        <f>IF(全车数据表!BV280="","",全车数据表!BV280)</f>
        <v>芬尼尔</v>
      </c>
      <c r="BB279" s="91" t="str">
        <f>IF(全车数据表!AZ280="","",全车数据表!AZ280)</f>
        <v/>
      </c>
    </row>
    <row r="280" spans="1:54">
      <c r="A280" s="88">
        <f>全车数据表!A281</f>
        <v>279</v>
      </c>
      <c r="B280" s="88" t="str">
        <f>全车数据表!B281</f>
        <v>Ford Mustang RTR Spec 5-FD</v>
      </c>
      <c r="C280" s="89" t="str">
        <f>全车数据表!E281</f>
        <v>5fd</v>
      </c>
      <c r="D280" s="88" t="str">
        <f>IF(全车数据表!D281="","",全车数据表!D281)</f>
        <v>Ford</v>
      </c>
      <c r="E280" s="89" t="str">
        <f>全车数据表!H281</f>
        <v>5.6</v>
      </c>
      <c r="F280" s="89" t="str">
        <f>全车数据表!C281</f>
        <v>rtr 5-fd</v>
      </c>
      <c r="G280" s="89" t="str">
        <f>全车数据表!F281</f>
        <v>S</v>
      </c>
      <c r="H280" s="88">
        <f>LEN(全车数据表!G281)</f>
        <v>6</v>
      </c>
      <c r="I280" s="88" t="str">
        <f>VLOOKUP(全车数据表!P281,辅助计算!A:B,2,FALSE)</f>
        <v>epic</v>
      </c>
      <c r="J280" s="88">
        <f>全车数据表!Q281</f>
        <v>35</v>
      </c>
      <c r="K280" s="88">
        <f>全车数据表!R281</f>
        <v>40</v>
      </c>
      <c r="L280" s="88">
        <f>全车数据表!S281</f>
        <v>45</v>
      </c>
      <c r="M280" s="88">
        <f>全车数据表!T281</f>
        <v>50</v>
      </c>
      <c r="N280" s="88">
        <f>全车数据表!U281</f>
        <v>60</v>
      </c>
      <c r="O280" s="88">
        <f>全车数据表!V281</f>
        <v>70</v>
      </c>
      <c r="P280" s="88">
        <f>全车数据表!J281</f>
        <v>4693</v>
      </c>
      <c r="Q280" s="88">
        <f>全车数据表!K281</f>
        <v>415</v>
      </c>
      <c r="R280" s="88">
        <f>全车数据表!L281</f>
        <v>78.77</v>
      </c>
      <c r="S280" s="88">
        <f>全车数据表!M281</f>
        <v>54.9</v>
      </c>
      <c r="T280" s="88">
        <f>全车数据表!N281</f>
        <v>74.41</v>
      </c>
      <c r="U280" s="88">
        <f>全车数据表!O281</f>
        <v>0</v>
      </c>
      <c r="V280" s="88">
        <f>全车数据表!AL281</f>
        <v>0</v>
      </c>
      <c r="W280" s="88">
        <f>全车数据表!AM281</f>
        <v>0</v>
      </c>
      <c r="X280" s="88">
        <f>全车数据表!AU281</f>
        <v>0</v>
      </c>
      <c r="Y280" s="88">
        <f>全车数据表!AV281</f>
        <v>0</v>
      </c>
      <c r="Z280" s="88">
        <f>全车数据表!AN281</f>
        <v>0</v>
      </c>
      <c r="AA280" s="88">
        <f>全车数据表!AP281</f>
        <v>0</v>
      </c>
      <c r="AB280" s="88">
        <f>全车数据表!AR281</f>
        <v>0</v>
      </c>
      <c r="AC280" s="88">
        <f>全车数据表!AW281</f>
        <v>0</v>
      </c>
      <c r="AD280" s="88">
        <f>全车数据表!AX281</f>
        <v>0</v>
      </c>
      <c r="AE280" s="88">
        <f>全车数据表!AY281</f>
        <v>0</v>
      </c>
      <c r="AF280" s="88" t="str">
        <f>IF(全车数据表!BA281="","",全车数据表!BA281)</f>
        <v>通行证</v>
      </c>
      <c r="AG280" s="88" t="str">
        <f>IF(全车数据表!BB281="","",全车数据表!BB281)</f>
        <v/>
      </c>
      <c r="AH280" s="88" t="str">
        <f>IF(全车数据表!BC281="","",全车数据表!BC281)</f>
        <v/>
      </c>
      <c r="AI280" s="88" t="str">
        <f>IF(全车数据表!BD281="","",全车数据表!BD281)</f>
        <v/>
      </c>
      <c r="AJ280" s="88" t="str">
        <f>IF(全车数据表!BE281="","",全车数据表!BE281)</f>
        <v/>
      </c>
      <c r="AK280" s="88" t="str">
        <f>IF(全车数据表!BF281="","",全车数据表!BF281)</f>
        <v/>
      </c>
      <c r="AL280" s="88" t="str">
        <f>IF(全车数据表!BG281="","",全车数据表!BG281)</f>
        <v/>
      </c>
      <c r="AM280" s="88" t="str">
        <f>IF(全车数据表!BH281="","",全车数据表!BH281)</f>
        <v/>
      </c>
      <c r="AN280" s="88" t="str">
        <f>IF(全车数据表!BI281="","",全车数据表!BI281)</f>
        <v/>
      </c>
      <c r="AO280" s="88" t="str">
        <f>IF(全车数据表!BJ281="","",全车数据表!BJ281)</f>
        <v/>
      </c>
      <c r="AP280" s="88" t="str">
        <f>IF(全车数据表!BK281="","",全车数据表!BK281)</f>
        <v/>
      </c>
      <c r="AQ280" s="88" t="str">
        <f>IF(全车数据表!BL281="","",全车数据表!BL281)</f>
        <v/>
      </c>
      <c r="AR280" s="88" t="str">
        <f>IF(全车数据表!BM281="","",全车数据表!BM281)</f>
        <v/>
      </c>
      <c r="AS280" s="88" t="str">
        <f>IF(全车数据表!BN281="","",全车数据表!BN281)</f>
        <v/>
      </c>
      <c r="AT280" s="88" t="str">
        <f>IF(全车数据表!BO281="","",全车数据表!BO281)</f>
        <v/>
      </c>
      <c r="AU280" s="88" t="str">
        <f>IF(全车数据表!BP281="","",全车数据表!BP281)</f>
        <v/>
      </c>
      <c r="AV280" s="88" t="str">
        <f>IF(全车数据表!BQ281="","",全车数据表!BQ281)</f>
        <v/>
      </c>
      <c r="AW280" s="88" t="str">
        <f>IF(全车数据表!BR281="","",全车数据表!BR281)</f>
        <v/>
      </c>
      <c r="AX280" s="88" t="str">
        <f>IF(全车数据表!BS281="","",全车数据表!BS281)</f>
        <v/>
      </c>
      <c r="AY280" s="88" t="str">
        <f>IF(全车数据表!BT281="","",全车数据表!BT281)</f>
        <v/>
      </c>
      <c r="AZ280" s="88" t="str">
        <f>IF(全车数据表!BU281="","",全车数据表!BU281)</f>
        <v/>
      </c>
      <c r="BA280" s="88" t="str">
        <f>IF(全车数据表!BV281="","",全车数据表!BV281)</f>
        <v>福特</v>
      </c>
      <c r="BB280" s="91" t="str">
        <f>IF(全车数据表!AZ281="","",全车数据表!AZ281)</f>
        <v/>
      </c>
    </row>
    <row r="281" spans="1:54">
      <c r="A281" s="88">
        <f>全车数据表!A282</f>
        <v>280</v>
      </c>
      <c r="B281" s="88" t="str">
        <f>全车数据表!B282</f>
        <v>Ajlani Drakuma</v>
      </c>
      <c r="C281" s="89" t="str">
        <f>全车数据表!E282</f>
        <v>drakuma</v>
      </c>
      <c r="D281" s="88" t="str">
        <f>IF(全车数据表!D282="","",全车数据表!D282)</f>
        <v>Ajlani</v>
      </c>
      <c r="E281" s="89" t="str">
        <f>全车数据表!H282</f>
        <v>3.8</v>
      </c>
      <c r="F281" s="89" t="str">
        <f>全车数据表!C282</f>
        <v>Drakuma</v>
      </c>
      <c r="G281" s="89" t="str">
        <f>全车数据表!F282</f>
        <v>S</v>
      </c>
      <c r="H281" s="88">
        <f>LEN(全车数据表!G282)</f>
        <v>6</v>
      </c>
      <c r="I281" s="88" t="str">
        <f>VLOOKUP(全车数据表!P282,辅助计算!A:B,2,FALSE)</f>
        <v>epic</v>
      </c>
      <c r="J281" s="88">
        <f>全车数据表!Q282</f>
        <v>60</v>
      </c>
      <c r="K281" s="88">
        <f>全车数据表!R282</f>
        <v>35</v>
      </c>
      <c r="L281" s="88">
        <f>全车数据表!S282</f>
        <v>40</v>
      </c>
      <c r="M281" s="88">
        <f>全车数据表!T282</f>
        <v>50</v>
      </c>
      <c r="N281" s="88">
        <f>全车数据表!U282</f>
        <v>55</v>
      </c>
      <c r="O281" s="88">
        <f>全车数据表!V282</f>
        <v>60</v>
      </c>
      <c r="P281" s="88">
        <f>全车数据表!J282</f>
        <v>4702</v>
      </c>
      <c r="Q281" s="88">
        <f>全车数据表!K282</f>
        <v>441</v>
      </c>
      <c r="R281" s="88">
        <f>全车数据表!L282</f>
        <v>81.56</v>
      </c>
      <c r="S281" s="88">
        <f>全车数据表!M282</f>
        <v>47.91</v>
      </c>
      <c r="T281" s="88">
        <f>全车数据表!N282</f>
        <v>60.58</v>
      </c>
      <c r="U281" s="88">
        <f>全车数据表!O282</f>
        <v>5.15</v>
      </c>
      <c r="V281" s="88">
        <f>全车数据表!AL282</f>
        <v>22000000</v>
      </c>
      <c r="W281" s="88">
        <f>全车数据表!AM282</f>
        <v>80000</v>
      </c>
      <c r="X281" s="88">
        <f>全车数据表!AU282</f>
        <v>13120000</v>
      </c>
      <c r="Y281" s="88">
        <f>全车数据表!AV282</f>
        <v>35120000</v>
      </c>
      <c r="Z281" s="88">
        <f>全车数据表!AN282</f>
        <v>7</v>
      </c>
      <c r="AA281" s="88">
        <f>全车数据表!AP282</f>
        <v>5</v>
      </c>
      <c r="AB281" s="88">
        <f>全车数据表!AR282</f>
        <v>4</v>
      </c>
      <c r="AC281" s="88">
        <f>全车数据表!AW282</f>
        <v>464</v>
      </c>
      <c r="AD281" s="88">
        <f>全车数据表!AX282</f>
        <v>0</v>
      </c>
      <c r="AE281" s="88">
        <f>全车数据表!AY282</f>
        <v>578</v>
      </c>
      <c r="AF281" s="88" t="str">
        <f>IF(全车数据表!BA282="","",全车数据表!BA282)</f>
        <v>特殊赛事</v>
      </c>
      <c r="AG281" s="88" t="str">
        <f>IF(全车数据表!BB282="","",全车数据表!BB282)</f>
        <v/>
      </c>
      <c r="AH281" s="88" t="str">
        <f>IF(全车数据表!BC282="","",全车数据表!BC282)</f>
        <v/>
      </c>
      <c r="AI281" s="88" t="str">
        <f>IF(全车数据表!BD282="","",全车数据表!BD282)</f>
        <v/>
      </c>
      <c r="AJ281" s="88" t="str">
        <f>IF(全车数据表!BE282="","",全车数据表!BE282)</f>
        <v/>
      </c>
      <c r="AK281" s="88" t="str">
        <f>IF(全车数据表!BF282="","",全车数据表!BF282)</f>
        <v/>
      </c>
      <c r="AL281" s="88" t="str">
        <f>IF(全车数据表!BG282="","",全车数据表!BG282)</f>
        <v/>
      </c>
      <c r="AM281" s="88" t="str">
        <f>IF(全车数据表!BH282="","",全车数据表!BH282)</f>
        <v/>
      </c>
      <c r="AN281" s="88" t="str">
        <f>IF(全车数据表!BI282="","",全车数据表!BI282)</f>
        <v/>
      </c>
      <c r="AO281" s="88" t="str">
        <f>IF(全车数据表!BJ282="","",全车数据表!BJ282)</f>
        <v/>
      </c>
      <c r="AP281" s="88" t="str">
        <f>IF(全车数据表!BK282="","",全车数据表!BK282)</f>
        <v/>
      </c>
      <c r="AQ281" s="88">
        <f>IF(全车数据表!BL282="","",全车数据表!BL282)</f>
        <v>1</v>
      </c>
      <c r="AR281" s="88" t="str">
        <f>IF(全车数据表!BM282="","",全车数据表!BM282)</f>
        <v/>
      </c>
      <c r="AS281" s="88" t="str">
        <f>IF(全车数据表!BN282="","",全车数据表!BN282)</f>
        <v/>
      </c>
      <c r="AT281" s="88" t="str">
        <f>IF(全车数据表!BO282="","",全车数据表!BO282)</f>
        <v/>
      </c>
      <c r="AU281" s="88">
        <f>IF(全车数据表!BP282="","",全车数据表!BP282)</f>
        <v>1</v>
      </c>
      <c r="AV281" s="88" t="str">
        <f>IF(全车数据表!BQ282="","",全车数据表!BQ282)</f>
        <v>1款</v>
      </c>
      <c r="AW281" s="88" t="str">
        <f>IF(全车数据表!BR282="","",全车数据表!BR282)</f>
        <v/>
      </c>
      <c r="AX281" s="88" t="str">
        <f>IF(全车数据表!BS282="","",全车数据表!BS282)</f>
        <v/>
      </c>
      <c r="AY281" s="88">
        <f>IF(全车数据表!BT282="","",全车数据表!BT282)</f>
        <v>1</v>
      </c>
      <c r="AZ281" s="88" t="str">
        <f>IF(全车数据表!BU282="","",全车数据表!BU282)</f>
        <v/>
      </c>
      <c r="BA281" s="88" t="str">
        <f>IF(全车数据表!BV282="","",全车数据表!BV282)</f>
        <v/>
      </c>
      <c r="BB281" s="91" t="str">
        <f>IF(全车数据表!AZ282="","",全车数据表!AZ282)</f>
        <v/>
      </c>
    </row>
    <row r="282" spans="1:54">
      <c r="A282" s="88">
        <f>全车数据表!A283</f>
        <v>281</v>
      </c>
      <c r="B282" s="88" t="str">
        <f>全车数据表!B283</f>
        <v>Ford Team FordZilla P1</v>
      </c>
      <c r="C282" s="89" t="str">
        <f>全车数据表!E283</f>
        <v>fordp1</v>
      </c>
      <c r="D282" s="88" t="str">
        <f>IF(全车数据表!D283="","",全车数据表!D283)</f>
        <v>Ford</v>
      </c>
      <c r="E282" s="89" t="str">
        <f>全车数据表!H283</f>
        <v>4.0</v>
      </c>
      <c r="F282" s="89" t="str">
        <f>全车数据表!C283</f>
        <v>福特P1</v>
      </c>
      <c r="G282" s="89" t="str">
        <f>全车数据表!F283</f>
        <v>S</v>
      </c>
      <c r="H282" s="88">
        <f>LEN(全车数据表!G283)</f>
        <v>6</v>
      </c>
      <c r="I282" s="88" t="str">
        <f>VLOOKUP(全车数据表!P283,辅助计算!A:B,2,FALSE)</f>
        <v>epic</v>
      </c>
      <c r="J282" s="88">
        <f>全车数据表!Q283</f>
        <v>60</v>
      </c>
      <c r="K282" s="88">
        <f>全车数据表!R283</f>
        <v>35</v>
      </c>
      <c r="L282" s="88">
        <f>全车数据表!S283</f>
        <v>40</v>
      </c>
      <c r="M282" s="88">
        <f>全车数据表!T283</f>
        <v>50</v>
      </c>
      <c r="N282" s="88">
        <f>全车数据表!U283</f>
        <v>55</v>
      </c>
      <c r="O282" s="88">
        <f>全车数据表!V283</f>
        <v>60</v>
      </c>
      <c r="P282" s="88">
        <f>全车数据表!J283</f>
        <v>4709</v>
      </c>
      <c r="Q282" s="88">
        <f>全车数据表!K283</f>
        <v>385.5</v>
      </c>
      <c r="R282" s="88">
        <f>全车数据表!L283</f>
        <v>87.77</v>
      </c>
      <c r="S282" s="88">
        <f>全车数据表!M283</f>
        <v>83.66</v>
      </c>
      <c r="T282" s="88">
        <f>全车数据表!N283</f>
        <v>51.4</v>
      </c>
      <c r="U282" s="88">
        <f>全车数据表!O283</f>
        <v>0</v>
      </c>
      <c r="V282" s="88">
        <f>全车数据表!AL283</f>
        <v>22000000</v>
      </c>
      <c r="W282" s="88">
        <f>全车数据表!AM283</f>
        <v>96000</v>
      </c>
      <c r="X282" s="88">
        <f>全车数据表!AU283</f>
        <v>15744000</v>
      </c>
      <c r="Y282" s="88">
        <f>全车数据表!AV283</f>
        <v>37744000</v>
      </c>
      <c r="Z282" s="88">
        <f>全车数据表!AN283</f>
        <v>7</v>
      </c>
      <c r="AA282" s="88">
        <f>全车数据表!AP283</f>
        <v>5</v>
      </c>
      <c r="AB282" s="88">
        <f>全车数据表!AR283</f>
        <v>4</v>
      </c>
      <c r="AC282" s="88">
        <f>全车数据表!AW283</f>
        <v>401</v>
      </c>
      <c r="AD282" s="88">
        <f>全车数据表!AX283</f>
        <v>0</v>
      </c>
      <c r="AE282" s="88">
        <f>全车数据表!AY283</f>
        <v>539</v>
      </c>
      <c r="AF282" s="88" t="str">
        <f>IF(全车数据表!BA283="","",全车数据表!BA283)</f>
        <v>特殊赛事</v>
      </c>
      <c r="AG282" s="88" t="str">
        <f>IF(全车数据表!BB283="","",全车数据表!BB283)</f>
        <v/>
      </c>
      <c r="AH282" s="88" t="str">
        <f>IF(全车数据表!BC283="","",全车数据表!BC283)</f>
        <v/>
      </c>
      <c r="AI282" s="88" t="str">
        <f>IF(全车数据表!BD283="","",全车数据表!BD283)</f>
        <v/>
      </c>
      <c r="AJ282" s="88" t="str">
        <f>IF(全车数据表!BE283="","",全车数据表!BE283)</f>
        <v/>
      </c>
      <c r="AK282" s="88" t="str">
        <f>IF(全车数据表!BF283="","",全车数据表!BF283)</f>
        <v/>
      </c>
      <c r="AL282" s="88" t="str">
        <f>IF(全车数据表!BG283="","",全车数据表!BG283)</f>
        <v/>
      </c>
      <c r="AM282" s="88" t="str">
        <f>IF(全车数据表!BH283="","",全车数据表!BH283)</f>
        <v/>
      </c>
      <c r="AN282" s="88" t="str">
        <f>IF(全车数据表!BI283="","",全车数据表!BI283)</f>
        <v/>
      </c>
      <c r="AO282" s="88" t="str">
        <f>IF(全车数据表!BJ283="","",全车数据表!BJ283)</f>
        <v/>
      </c>
      <c r="AP282" s="88" t="str">
        <f>IF(全车数据表!BK283="","",全车数据表!BK283)</f>
        <v/>
      </c>
      <c r="AQ282" s="88">
        <f>IF(全车数据表!BL283="","",全车数据表!BL283)</f>
        <v>1</v>
      </c>
      <c r="AR282" s="88" t="str">
        <f>IF(全车数据表!BM283="","",全车数据表!BM283)</f>
        <v/>
      </c>
      <c r="AS282" s="88" t="str">
        <f>IF(全车数据表!BN283="","",全车数据表!BN283)</f>
        <v/>
      </c>
      <c r="AT282" s="88" t="str">
        <f>IF(全车数据表!BO283="","",全车数据表!BO283)</f>
        <v/>
      </c>
      <c r="AU282" s="88" t="str">
        <f>IF(全车数据表!BP283="","",全车数据表!BP283)</f>
        <v/>
      </c>
      <c r="AV282" s="88" t="str">
        <f>IF(全车数据表!BQ283="","",全车数据表!BQ283)</f>
        <v/>
      </c>
      <c r="AW282" s="88" t="str">
        <f>IF(全车数据表!BR283="","",全车数据表!BR283)</f>
        <v/>
      </c>
      <c r="AX282" s="88" t="str">
        <f>IF(全车数据表!BS283="","",全车数据表!BS283)</f>
        <v/>
      </c>
      <c r="AY282" s="88" t="str">
        <f>IF(全车数据表!BT283="","",全车数据表!BT283)</f>
        <v/>
      </c>
      <c r="AZ282" s="88" t="str">
        <f>IF(全车数据表!BU283="","",全车数据表!BU283)</f>
        <v/>
      </c>
      <c r="BA282" s="88" t="str">
        <f>IF(全车数据表!BV283="","",全车数据表!BV283)</f>
        <v/>
      </c>
      <c r="BB282" s="91" t="str">
        <f>IF(全车数据表!AZ283="","",全车数据表!AZ283)</f>
        <v/>
      </c>
    </row>
    <row r="283" spans="1:54">
      <c r="A283" s="88">
        <f>全车数据表!A284</f>
        <v>282</v>
      </c>
      <c r="B283" s="88" t="str">
        <f>全车数据表!B284</f>
        <v>SSC Ultimate Aero TT</v>
      </c>
      <c r="C283" s="89" t="str">
        <f>全车数据表!E284</f>
        <v>aero</v>
      </c>
      <c r="D283" s="88" t="str">
        <f>IF(全车数据表!D284="","",全车数据表!D284)</f>
        <v>SSC</v>
      </c>
      <c r="E283" s="89" t="str">
        <f>全车数据表!H284</f>
        <v>5.4</v>
      </c>
      <c r="F283" s="89" t="str">
        <f>全车数据表!C284</f>
        <v>Aero TT</v>
      </c>
      <c r="G283" s="89" t="str">
        <f>全车数据表!F284</f>
        <v>S</v>
      </c>
      <c r="H283" s="88">
        <f>LEN(全车数据表!G284)</f>
        <v>6</v>
      </c>
      <c r="I283" s="88" t="str">
        <f>VLOOKUP(全车数据表!P284,辅助计算!A:B,2,FALSE)</f>
        <v>epic</v>
      </c>
      <c r="J283" s="88">
        <f>全车数据表!Q284</f>
        <v>35</v>
      </c>
      <c r="K283" s="88">
        <f>全车数据表!R284</f>
        <v>40</v>
      </c>
      <c r="L283" s="88">
        <f>全车数据表!S284</f>
        <v>45</v>
      </c>
      <c r="M283" s="88">
        <f>全车数据表!T284</f>
        <v>50</v>
      </c>
      <c r="N283" s="88">
        <f>全车数据表!U284</f>
        <v>60</v>
      </c>
      <c r="O283" s="88">
        <f>全车数据表!V284</f>
        <v>70</v>
      </c>
      <c r="P283" s="88">
        <f>全车数据表!J284</f>
        <v>4720</v>
      </c>
      <c r="Q283" s="88">
        <f>全车数据表!K284</f>
        <v>419.4</v>
      </c>
      <c r="R283" s="88">
        <f>全车数据表!L284</f>
        <v>79.67</v>
      </c>
      <c r="S283" s="88">
        <f>全车数据表!M284</f>
        <v>50.01</v>
      </c>
      <c r="T283" s="88">
        <f>全车数据表!N284</f>
        <v>51.45</v>
      </c>
      <c r="U283" s="88">
        <f>全车数据表!O284</f>
        <v>0</v>
      </c>
      <c r="V283" s="88">
        <f>全车数据表!AL284</f>
        <v>0</v>
      </c>
      <c r="W283" s="88">
        <f>全车数据表!AM284</f>
        <v>0</v>
      </c>
      <c r="X283" s="88">
        <f>全车数据表!AU284</f>
        <v>0</v>
      </c>
      <c r="Y283" s="88">
        <f>全车数据表!AV284</f>
        <v>0</v>
      </c>
      <c r="Z283" s="88">
        <f>全车数据表!AN284</f>
        <v>0</v>
      </c>
      <c r="AA283" s="88">
        <f>全车数据表!AP284</f>
        <v>0</v>
      </c>
      <c r="AB283" s="88">
        <f>全车数据表!AR284</f>
        <v>0</v>
      </c>
      <c r="AC283" s="88">
        <f>全车数据表!AW284</f>
        <v>0</v>
      </c>
      <c r="AD283" s="88">
        <f>全车数据表!AX284</f>
        <v>0</v>
      </c>
      <c r="AE283" s="88">
        <f>全车数据表!AY284</f>
        <v>0</v>
      </c>
      <c r="AF283" s="88" t="str">
        <f>IF(全车数据表!BA284="","",全车数据表!BA284)</f>
        <v>特殊赛事</v>
      </c>
      <c r="AG283" s="88" t="str">
        <f>IF(全车数据表!BB284="","",全车数据表!BB284)</f>
        <v/>
      </c>
      <c r="AH283" s="88" t="str">
        <f>IF(全车数据表!BC284="","",全车数据表!BC284)</f>
        <v/>
      </c>
      <c r="AI283" s="88" t="str">
        <f>IF(全车数据表!BD284="","",全车数据表!BD284)</f>
        <v/>
      </c>
      <c r="AJ283" s="88" t="str">
        <f>IF(全车数据表!BE284="","",全车数据表!BE284)</f>
        <v/>
      </c>
      <c r="AK283" s="88" t="str">
        <f>IF(全车数据表!BF284="","",全车数据表!BF284)</f>
        <v/>
      </c>
      <c r="AL283" s="88" t="str">
        <f>IF(全车数据表!BG284="","",全车数据表!BG284)</f>
        <v/>
      </c>
      <c r="AM283" s="88" t="str">
        <f>IF(全车数据表!BH284="","",全车数据表!BH284)</f>
        <v/>
      </c>
      <c r="AN283" s="88" t="str">
        <f>IF(全车数据表!BI284="","",全车数据表!BI284)</f>
        <v/>
      </c>
      <c r="AO283" s="88" t="str">
        <f>IF(全车数据表!BJ284="","",全车数据表!BJ284)</f>
        <v/>
      </c>
      <c r="AP283" s="88" t="str">
        <f>IF(全车数据表!BK284="","",全车数据表!BK284)</f>
        <v/>
      </c>
      <c r="AQ283" s="88" t="str">
        <f>IF(全车数据表!BL284="","",全车数据表!BL284)</f>
        <v/>
      </c>
      <c r="AR283" s="88" t="str">
        <f>IF(全车数据表!BM284="","",全车数据表!BM284)</f>
        <v/>
      </c>
      <c r="AS283" s="88" t="str">
        <f>IF(全车数据表!BN284="","",全车数据表!BN284)</f>
        <v/>
      </c>
      <c r="AT283" s="88" t="str">
        <f>IF(全车数据表!BO284="","",全车数据表!BO284)</f>
        <v/>
      </c>
      <c r="AU283" s="88" t="str">
        <f>IF(全车数据表!BP284="","",全车数据表!BP284)</f>
        <v/>
      </c>
      <c r="AV283" s="88" t="str">
        <f>IF(全车数据表!BQ284="","",全车数据表!BQ284)</f>
        <v/>
      </c>
      <c r="AW283" s="88" t="str">
        <f>IF(全车数据表!BR284="","",全车数据表!BR284)</f>
        <v/>
      </c>
      <c r="AX283" s="88" t="str">
        <f>IF(全车数据表!BS284="","",全车数据表!BS284)</f>
        <v/>
      </c>
      <c r="AY283" s="88" t="str">
        <f>IF(全车数据表!BT284="","",全车数据表!BT284)</f>
        <v/>
      </c>
      <c r="AZ283" s="88" t="str">
        <f>IF(全车数据表!BU284="","",全车数据表!BU284)</f>
        <v/>
      </c>
      <c r="BA283" s="88" t="str">
        <f>IF(全车数据表!BV284="","",全车数据表!BV284)</f>
        <v/>
      </c>
      <c r="BB283" s="91" t="str">
        <f>IF(全车数据表!AZ284="","",全车数据表!AZ284)</f>
        <v/>
      </c>
    </row>
    <row r="284" spans="1:54">
      <c r="A284" s="88">
        <f>全车数据表!A285</f>
        <v>283</v>
      </c>
      <c r="B284" s="88" t="str">
        <f>全车数据表!B285</f>
        <v>Inferno Automobili Inferno</v>
      </c>
      <c r="C284" s="89" t="str">
        <f>全车数据表!E285</f>
        <v>inferno</v>
      </c>
      <c r="D284" s="88" t="str">
        <f>IF(全车数据表!D285="","",全车数据表!D285)</f>
        <v>Inferno</v>
      </c>
      <c r="E284" s="89" t="str">
        <f>全车数据表!H285</f>
        <v>2.8</v>
      </c>
      <c r="F284" s="89" t="str">
        <f>全车数据表!C285</f>
        <v>地狱</v>
      </c>
      <c r="G284" s="89" t="str">
        <f>全车数据表!F285</f>
        <v>S</v>
      </c>
      <c r="H284" s="88">
        <f>LEN(全车数据表!G285)</f>
        <v>6</v>
      </c>
      <c r="I284" s="88" t="str">
        <f>VLOOKUP(全车数据表!P285,辅助计算!A:B,2,FALSE)</f>
        <v>epic</v>
      </c>
      <c r="J284" s="88">
        <f>全车数据表!Q285</f>
        <v>85</v>
      </c>
      <c r="K284" s="88">
        <f>全车数据表!R285</f>
        <v>25</v>
      </c>
      <c r="L284" s="88">
        <f>全车数据表!S285</f>
        <v>29</v>
      </c>
      <c r="M284" s="88">
        <f>全车数据表!T285</f>
        <v>38</v>
      </c>
      <c r="N284" s="88">
        <f>全车数据表!U285</f>
        <v>54</v>
      </c>
      <c r="O284" s="88">
        <f>全车数据表!V285</f>
        <v>69</v>
      </c>
      <c r="P284" s="88">
        <f>全车数据表!J285</f>
        <v>4725</v>
      </c>
      <c r="Q284" s="88">
        <f>全车数据表!K285</f>
        <v>412.9</v>
      </c>
      <c r="R284" s="88">
        <f>全车数据表!L285</f>
        <v>83.02</v>
      </c>
      <c r="S284" s="88">
        <f>全车数据表!M285</f>
        <v>54.86</v>
      </c>
      <c r="T284" s="88">
        <f>全车数据表!N285</f>
        <v>76.59</v>
      </c>
      <c r="U284" s="88">
        <f>全车数据表!O285</f>
        <v>0</v>
      </c>
      <c r="V284" s="88">
        <f>全车数据表!AL285</f>
        <v>24997400</v>
      </c>
      <c r="W284" s="88">
        <f>全车数据表!AM285</f>
        <v>80000</v>
      </c>
      <c r="X284" s="88">
        <f>全车数据表!AU285</f>
        <v>13120000</v>
      </c>
      <c r="Y284" s="88">
        <f>全车数据表!AV285</f>
        <v>38117400</v>
      </c>
      <c r="Z284" s="88">
        <f>全车数据表!AN285</f>
        <v>7</v>
      </c>
      <c r="AA284" s="88">
        <f>全车数据表!AP285</f>
        <v>5</v>
      </c>
      <c r="AB284" s="88">
        <f>全车数据表!AR285</f>
        <v>4</v>
      </c>
      <c r="AC284" s="88">
        <f>全车数据表!AW285</f>
        <v>433</v>
      </c>
      <c r="AD284" s="88">
        <f>全车数据表!AX285</f>
        <v>0</v>
      </c>
      <c r="AE284" s="88">
        <f>全车数据表!AY285</f>
        <v>564</v>
      </c>
      <c r="AF284" s="88" t="str">
        <f>IF(全车数据表!BA285="","",全车数据表!BA285)</f>
        <v>特殊赛事</v>
      </c>
      <c r="AG284" s="88" t="str">
        <f>IF(全车数据表!BB285="","",全车数据表!BB285)</f>
        <v/>
      </c>
      <c r="AH284" s="88" t="str">
        <f>IF(全车数据表!BC285="","",全车数据表!BC285)</f>
        <v/>
      </c>
      <c r="AI284" s="88" t="str">
        <f>IF(全车数据表!BD285="","",全车数据表!BD285)</f>
        <v/>
      </c>
      <c r="AJ284" s="88" t="str">
        <f>IF(全车数据表!BE285="","",全车数据表!BE285)</f>
        <v/>
      </c>
      <c r="AK284" s="88" t="str">
        <f>IF(全车数据表!BF285="","",全车数据表!BF285)</f>
        <v/>
      </c>
      <c r="AL284" s="88" t="str">
        <f>IF(全车数据表!BG285="","",全车数据表!BG285)</f>
        <v/>
      </c>
      <c r="AM284" s="88" t="str">
        <f>IF(全车数据表!BH285="","",全车数据表!BH285)</f>
        <v/>
      </c>
      <c r="AN284" s="88" t="str">
        <f>IF(全车数据表!BI285="","",全车数据表!BI285)</f>
        <v/>
      </c>
      <c r="AO284" s="88" t="str">
        <f>IF(全车数据表!BJ285="","",全车数据表!BJ285)</f>
        <v/>
      </c>
      <c r="AP284" s="88" t="str">
        <f>IF(全车数据表!BK285="","",全车数据表!BK285)</f>
        <v/>
      </c>
      <c r="AQ284" s="88">
        <f>IF(全车数据表!BL285="","",全车数据表!BL285)</f>
        <v>1</v>
      </c>
      <c r="AR284" s="88" t="str">
        <f>IF(全车数据表!BM285="","",全车数据表!BM285)</f>
        <v/>
      </c>
      <c r="AS284" s="88" t="str">
        <f>IF(全车数据表!BN285="","",全车数据表!BN285)</f>
        <v/>
      </c>
      <c r="AT284" s="88" t="str">
        <f>IF(全车数据表!BO285="","",全车数据表!BO285)</f>
        <v/>
      </c>
      <c r="AU284" s="88" t="str">
        <f>IF(全车数据表!BP285="","",全车数据表!BP285)</f>
        <v/>
      </c>
      <c r="AV284" s="88" t="str">
        <f>IF(全车数据表!BQ285="","",全车数据表!BQ285)</f>
        <v/>
      </c>
      <c r="AW284" s="88" t="str">
        <f>IF(全车数据表!BR285="","",全车数据表!BR285)</f>
        <v/>
      </c>
      <c r="AX284" s="88" t="str">
        <f>IF(全车数据表!BS285="","",全车数据表!BS285)</f>
        <v/>
      </c>
      <c r="AY284" s="88">
        <f>IF(全车数据表!BT285="","",全车数据表!BT285)</f>
        <v>1</v>
      </c>
      <c r="AZ284" s="88" t="str">
        <f>IF(全车数据表!BU285="","",全车数据表!BU285)</f>
        <v/>
      </c>
      <c r="BA284" s="88" t="str">
        <f>IF(全车数据表!BV285="","",全车数据表!BV285)</f>
        <v>地狱火 QQ飞车</v>
      </c>
      <c r="BB284" s="91" t="str">
        <f>IF(全车数据表!AZ285="","",全车数据表!AZ285)</f>
        <v/>
      </c>
    </row>
    <row r="285" spans="1:54">
      <c r="A285" s="88">
        <f>全车数据表!A286</f>
        <v>284</v>
      </c>
      <c r="B285" s="88" t="str">
        <f>全车数据表!B286</f>
        <v>Torino Design Super Sport🔑</v>
      </c>
      <c r="C285" s="89" t="str">
        <f>全车数据表!E286</f>
        <v>torino</v>
      </c>
      <c r="D285" s="88" t="str">
        <f>IF(全车数据表!D286="","",全车数据表!D286)</f>
        <v>Torino Design</v>
      </c>
      <c r="E285" s="89" t="str">
        <f>全车数据表!H286</f>
        <v>4.0</v>
      </c>
      <c r="F285" s="89" t="str">
        <f>全车数据表!C286</f>
        <v>都灵</v>
      </c>
      <c r="G285" s="89" t="str">
        <f>全车数据表!F286</f>
        <v>S</v>
      </c>
      <c r="H285" s="88">
        <f>LEN(全车数据表!G286)</f>
        <v>6</v>
      </c>
      <c r="I285" s="88" t="str">
        <f>VLOOKUP(全车数据表!P286,辅助计算!A:B,2,FALSE)</f>
        <v>epic</v>
      </c>
      <c r="J285" s="88" t="str">
        <f>全车数据表!Q286</f>
        <v>🔑</v>
      </c>
      <c r="K285" s="88">
        <f>全车数据表!R286</f>
        <v>45</v>
      </c>
      <c r="L285" s="88">
        <f>全车数据表!S286</f>
        <v>56</v>
      </c>
      <c r="M285" s="88">
        <f>全车数据表!T286</f>
        <v>65</v>
      </c>
      <c r="N285" s="88">
        <f>全车数据表!U286</f>
        <v>66</v>
      </c>
      <c r="O285" s="88">
        <f>全车数据表!V286</f>
        <v>68</v>
      </c>
      <c r="P285" s="88">
        <f>全车数据表!J286</f>
        <v>4741</v>
      </c>
      <c r="Q285" s="88">
        <f>全车数据表!K286</f>
        <v>405.3</v>
      </c>
      <c r="R285" s="88">
        <f>全车数据表!L286</f>
        <v>82.28</v>
      </c>
      <c r="S285" s="88">
        <f>全车数据表!M286</f>
        <v>62.3</v>
      </c>
      <c r="T285" s="88">
        <f>全车数据表!N286</f>
        <v>75.81</v>
      </c>
      <c r="U285" s="88">
        <f>全车数据表!O286</f>
        <v>0</v>
      </c>
      <c r="V285" s="88">
        <f>全车数据表!AL286</f>
        <v>22000000</v>
      </c>
      <c r="W285" s="88">
        <f>全车数据表!AM286</f>
        <v>80000</v>
      </c>
      <c r="X285" s="88">
        <f>全车数据表!AU286</f>
        <v>13120000</v>
      </c>
      <c r="Y285" s="88">
        <f>全车数据表!AV286</f>
        <v>35120000</v>
      </c>
      <c r="Z285" s="88">
        <f>全车数据表!AN286</f>
        <v>7</v>
      </c>
      <c r="AA285" s="88">
        <f>全车数据表!AP286</f>
        <v>5</v>
      </c>
      <c r="AB285" s="88">
        <f>全车数据表!AR286</f>
        <v>4</v>
      </c>
      <c r="AC285" s="88">
        <f>全车数据表!AW286</f>
        <v>422</v>
      </c>
      <c r="AD285" s="88">
        <f>全车数据表!AX286</f>
        <v>0</v>
      </c>
      <c r="AE285" s="88">
        <f>全车数据表!AY286</f>
        <v>559</v>
      </c>
      <c r="AF285" s="88" t="str">
        <f>IF(全车数据表!BA286="","",全车数据表!BA286)</f>
        <v>特殊赛事</v>
      </c>
      <c r="AG285" s="88" t="str">
        <f>IF(全车数据表!BB286="","",全车数据表!BB286)</f>
        <v/>
      </c>
      <c r="AH285" s="88" t="str">
        <f>IF(全车数据表!BC286="","",全车数据表!BC286)</f>
        <v/>
      </c>
      <c r="AI285" s="88" t="str">
        <f>IF(全车数据表!BD286="","",全车数据表!BD286)</f>
        <v/>
      </c>
      <c r="AJ285" s="88" t="str">
        <f>IF(全车数据表!BE286="","",全车数据表!BE286)</f>
        <v/>
      </c>
      <c r="AK285" s="88" t="str">
        <f>IF(全车数据表!BF286="","",全车数据表!BF286)</f>
        <v/>
      </c>
      <c r="AL285" s="88" t="str">
        <f>IF(全车数据表!BG286="","",全车数据表!BG286)</f>
        <v/>
      </c>
      <c r="AM285" s="88" t="str">
        <f>IF(全车数据表!BH286="","",全车数据表!BH286)</f>
        <v/>
      </c>
      <c r="AN285" s="88" t="str">
        <f>IF(全车数据表!BI286="","",全车数据表!BI286)</f>
        <v/>
      </c>
      <c r="AO285" s="88" t="str">
        <f>IF(全车数据表!BJ286="","",全车数据表!BJ286)</f>
        <v/>
      </c>
      <c r="AP285" s="88" t="str">
        <f>IF(全车数据表!BK286="","",全车数据表!BK286)</f>
        <v/>
      </c>
      <c r="AQ285" s="88">
        <f>IF(全车数据表!BL286="","",全车数据表!BL286)</f>
        <v>1</v>
      </c>
      <c r="AR285" s="88" t="str">
        <f>IF(全车数据表!BM286="","",全车数据表!BM286)</f>
        <v/>
      </c>
      <c r="AS285" s="88" t="str">
        <f>IF(全车数据表!BN286="","",全车数据表!BN286)</f>
        <v/>
      </c>
      <c r="AT285" s="88">
        <f>IF(全车数据表!BO286="","",全车数据表!BO286)</f>
        <v>1</v>
      </c>
      <c r="AU285" s="88" t="str">
        <f>IF(全车数据表!BP286="","",全车数据表!BP286)</f>
        <v/>
      </c>
      <c r="AV285" s="88" t="str">
        <f>IF(全车数据表!BQ286="","",全车数据表!BQ286)</f>
        <v/>
      </c>
      <c r="AW285" s="88" t="str">
        <f>IF(全车数据表!BR286="","",全车数据表!BR286)</f>
        <v/>
      </c>
      <c r="AX285" s="88" t="str">
        <f>IF(全车数据表!BS286="","",全车数据表!BS286)</f>
        <v/>
      </c>
      <c r="AY285" s="88" t="str">
        <f>IF(全车数据表!BT286="","",全车数据表!BT286)</f>
        <v/>
      </c>
      <c r="AZ285" s="88" t="str">
        <f>IF(全车数据表!BU286="","",全车数据表!BU286)</f>
        <v/>
      </c>
      <c r="BA285" s="88" t="str">
        <f>IF(全车数据表!BV286="","",全车数据表!BV286)</f>
        <v>都林</v>
      </c>
      <c r="BB285" s="91" t="str">
        <f>IF(全车数据表!AZ286="","",全车数据表!AZ286)</f>
        <v/>
      </c>
    </row>
    <row r="286" spans="1:54">
      <c r="A286" s="88">
        <f>全车数据表!A287</f>
        <v>285</v>
      </c>
      <c r="B286" s="88" t="str">
        <f>全车数据表!B287</f>
        <v>Bugatti Chiron</v>
      </c>
      <c r="C286" s="89" t="str">
        <f>全车数据表!E287</f>
        <v>chiron</v>
      </c>
      <c r="D286" s="88" t="str">
        <f>IF(全车数据表!D287="","",全车数据表!D287)</f>
        <v>Bugatti</v>
      </c>
      <c r="E286" s="89" t="str">
        <f>全车数据表!H287</f>
        <v>1.6</v>
      </c>
      <c r="F286" s="89" t="str">
        <f>全车数据表!C287</f>
        <v>肥龙</v>
      </c>
      <c r="G286" s="89" t="str">
        <f>全车数据表!F287</f>
        <v>S</v>
      </c>
      <c r="H286" s="88">
        <f>LEN(全车数据表!G287)</f>
        <v>6</v>
      </c>
      <c r="I286" s="88" t="str">
        <f>VLOOKUP(全车数据表!P287,辅助计算!A:B,2,FALSE)</f>
        <v>epic</v>
      </c>
      <c r="J286" s="88">
        <f>全车数据表!Q287</f>
        <v>30</v>
      </c>
      <c r="K286" s="88">
        <f>全车数据表!R287</f>
        <v>30</v>
      </c>
      <c r="L286" s="88">
        <f>全车数据表!S287</f>
        <v>30</v>
      </c>
      <c r="M286" s="88">
        <f>全车数据表!T287</f>
        <v>35</v>
      </c>
      <c r="N286" s="88">
        <f>全车数据表!U287</f>
        <v>35</v>
      </c>
      <c r="O286" s="88">
        <f>全车数据表!V287</f>
        <v>40</v>
      </c>
      <c r="P286" s="88">
        <f>全车数据表!J287</f>
        <v>4755</v>
      </c>
      <c r="Q286" s="88">
        <f>全车数据表!K287</f>
        <v>443.4</v>
      </c>
      <c r="R286" s="88">
        <f>全车数据表!L287</f>
        <v>84.4</v>
      </c>
      <c r="S286" s="88">
        <f>全车数据表!M287</f>
        <v>45.62</v>
      </c>
      <c r="T286" s="88">
        <f>全车数据表!N287</f>
        <v>63.63</v>
      </c>
      <c r="U286" s="88">
        <f>全车数据表!O287</f>
        <v>5.4329999999999998</v>
      </c>
      <c r="V286" s="88">
        <f>全车数据表!AL287</f>
        <v>0</v>
      </c>
      <c r="W286" s="88">
        <f>全车数据表!AM287</f>
        <v>80000</v>
      </c>
      <c r="X286" s="88">
        <f>全车数据表!AU287</f>
        <v>13120000</v>
      </c>
      <c r="Y286" s="88">
        <f>全车数据表!AV287</f>
        <v>0</v>
      </c>
      <c r="Z286" s="88">
        <f>全车数据表!AN287</f>
        <v>7</v>
      </c>
      <c r="AA286" s="88">
        <f>全车数据表!AP287</f>
        <v>5</v>
      </c>
      <c r="AB286" s="88">
        <f>全车数据表!AR287</f>
        <v>4</v>
      </c>
      <c r="AC286" s="88">
        <f>全车数据表!AW287</f>
        <v>467</v>
      </c>
      <c r="AD286" s="88">
        <f>全车数据表!AX287</f>
        <v>0</v>
      </c>
      <c r="AE286" s="88">
        <f>全车数据表!AY287</f>
        <v>579</v>
      </c>
      <c r="AF286" s="88" t="str">
        <f>IF(全车数据表!BA287="","",全车数据表!BA287)</f>
        <v>特殊赛事</v>
      </c>
      <c r="AG286" s="88" t="str">
        <f>IF(全车数据表!BB287="","",全车数据表!BB287)</f>
        <v/>
      </c>
      <c r="AH286" s="88" t="str">
        <f>IF(全车数据表!BC287="","",全车数据表!BC287)</f>
        <v/>
      </c>
      <c r="AI286" s="88" t="str">
        <f>IF(全车数据表!BD287="","",全车数据表!BD287)</f>
        <v/>
      </c>
      <c r="AJ286" s="88" t="str">
        <f>IF(全车数据表!BE287="","",全车数据表!BE287)</f>
        <v/>
      </c>
      <c r="AK286" s="88" t="str">
        <f>IF(全车数据表!BF287="","",全车数据表!BF287)</f>
        <v/>
      </c>
      <c r="AL286" s="88" t="str">
        <f>IF(全车数据表!BG287="","",全车数据表!BG287)</f>
        <v/>
      </c>
      <c r="AM286" s="88" t="str">
        <f>IF(全车数据表!BH287="","",全车数据表!BH287)</f>
        <v/>
      </c>
      <c r="AN286" s="88" t="str">
        <f>IF(全车数据表!BI287="","",全车数据表!BI287)</f>
        <v/>
      </c>
      <c r="AO286" s="88" t="str">
        <f>IF(全车数据表!BJ287="","",全车数据表!BJ287)</f>
        <v/>
      </c>
      <c r="AP286" s="88" t="str">
        <f>IF(全车数据表!BK287="","",全车数据表!BK287)</f>
        <v/>
      </c>
      <c r="AQ286" s="88">
        <f>IF(全车数据表!BL287="","",全车数据表!BL287)</f>
        <v>1</v>
      </c>
      <c r="AR286" s="88" t="str">
        <f>IF(全车数据表!BM287="","",全车数据表!BM287)</f>
        <v/>
      </c>
      <c r="AS286" s="88" t="str">
        <f>IF(全车数据表!BN287="","",全车数据表!BN287)</f>
        <v/>
      </c>
      <c r="AT286" s="88" t="str">
        <f>IF(全车数据表!BO287="","",全车数据表!BO287)</f>
        <v/>
      </c>
      <c r="AU286" s="88">
        <f>IF(全车数据表!BP287="","",全车数据表!BP287)</f>
        <v>1</v>
      </c>
      <c r="AV286" s="88" t="str">
        <f>IF(全车数据表!BQ287="","",全车数据表!BQ287)</f>
        <v>3款</v>
      </c>
      <c r="AW286" s="88">
        <f>IF(全车数据表!BR287="","",全车数据表!BR287)</f>
        <v>1</v>
      </c>
      <c r="AX286" s="88" t="str">
        <f>IF(全车数据表!BS287="","",全车数据表!BS287)</f>
        <v/>
      </c>
      <c r="AY286" s="88">
        <f>IF(全车数据表!BT287="","",全车数据表!BT287)</f>
        <v>1</v>
      </c>
      <c r="AZ286" s="88" t="str">
        <f>IF(全车数据表!BU287="","",全车数据表!BU287)</f>
        <v/>
      </c>
      <c r="BA286" s="88" t="str">
        <f>IF(全车数据表!BV287="","",全车数据表!BV287)</f>
        <v>布加迪 奇龙 肥龙 胖龙 凯龙</v>
      </c>
      <c r="BB286" s="91">
        <f>IF(全车数据表!AZ287="","",全车数据表!AZ287)</f>
        <v>19</v>
      </c>
    </row>
    <row r="287" spans="1:54">
      <c r="A287" s="88">
        <f>全车数据表!A288</f>
        <v>286</v>
      </c>
      <c r="B287" s="88" t="str">
        <f>全车数据表!B288</f>
        <v>BXR Bailey Blade GT1</v>
      </c>
      <c r="C287" s="89" t="str">
        <f>全车数据表!E288</f>
        <v>bxr</v>
      </c>
      <c r="D287" s="88" t="str">
        <f>IF(全车数据表!D288="","",全车数据表!D288)</f>
        <v>BXR</v>
      </c>
      <c r="E287" s="89" t="str">
        <f>全车数据表!H288</f>
        <v>2.7</v>
      </c>
      <c r="F287" s="89" t="str">
        <f>全车数据表!C288</f>
        <v>BXR</v>
      </c>
      <c r="G287" s="89" t="str">
        <f>全车数据表!F288</f>
        <v>S</v>
      </c>
      <c r="H287" s="88">
        <f>LEN(全车数据表!G288)</f>
        <v>6</v>
      </c>
      <c r="I287" s="88" t="str">
        <f>VLOOKUP(全车数据表!P288,辅助计算!A:B,2,FALSE)</f>
        <v>epic</v>
      </c>
      <c r="J287" s="88">
        <f>全车数据表!Q288</f>
        <v>40</v>
      </c>
      <c r="K287" s="88">
        <f>全车数据表!R288</f>
        <v>30</v>
      </c>
      <c r="L287" s="88">
        <f>全车数据表!S288</f>
        <v>35</v>
      </c>
      <c r="M287" s="88">
        <f>全车数据表!T288</f>
        <v>40</v>
      </c>
      <c r="N287" s="88">
        <f>全车数据表!U288</f>
        <v>50</v>
      </c>
      <c r="O287" s="88">
        <f>全车数据表!V288</f>
        <v>55</v>
      </c>
      <c r="P287" s="88">
        <f>全车数据表!J288</f>
        <v>4759</v>
      </c>
      <c r="Q287" s="88">
        <f>全车数据表!K288</f>
        <v>449</v>
      </c>
      <c r="R287" s="88">
        <f>全车数据表!L288</f>
        <v>80.510000000000005</v>
      </c>
      <c r="S287" s="88">
        <f>全车数据表!M288</f>
        <v>46.84</v>
      </c>
      <c r="T287" s="88">
        <f>全车数据表!N288</f>
        <v>70.64</v>
      </c>
      <c r="U287" s="88">
        <f>全车数据表!O288</f>
        <v>5.97</v>
      </c>
      <c r="V287" s="88">
        <f>全车数据表!AL288</f>
        <v>24997400</v>
      </c>
      <c r="W287" s="88">
        <f>全车数据表!AM288</f>
        <v>80000</v>
      </c>
      <c r="X287" s="88">
        <f>全车数据表!AU288</f>
        <v>13120000</v>
      </c>
      <c r="Y287" s="88">
        <f>全车数据表!AV288</f>
        <v>38117400</v>
      </c>
      <c r="Z287" s="88">
        <f>全车数据表!AN288</f>
        <v>7</v>
      </c>
      <c r="AA287" s="88">
        <f>全车数据表!AP288</f>
        <v>5</v>
      </c>
      <c r="AB287" s="88">
        <f>全车数据表!AR288</f>
        <v>4</v>
      </c>
      <c r="AC287" s="88">
        <f>全车数据表!AW288</f>
        <v>473</v>
      </c>
      <c r="AD287" s="88">
        <f>全车数据表!AX288</f>
        <v>0</v>
      </c>
      <c r="AE287" s="88">
        <f>全车数据表!AY288</f>
        <v>582</v>
      </c>
      <c r="AF287" s="88" t="str">
        <f>IF(全车数据表!BA288="","",全车数据表!BA288)</f>
        <v>充值</v>
      </c>
      <c r="AG287" s="88" t="str">
        <f>IF(全车数据表!BB288="","",全车数据表!BB288)</f>
        <v/>
      </c>
      <c r="AH287" s="88" t="str">
        <f>IF(全车数据表!BC288="","",全车数据表!BC288)</f>
        <v/>
      </c>
      <c r="AI287" s="88" t="str">
        <f>IF(全车数据表!BD288="","",全车数据表!BD288)</f>
        <v/>
      </c>
      <c r="AJ287" s="88" t="str">
        <f>IF(全车数据表!BE288="","",全车数据表!BE288)</f>
        <v/>
      </c>
      <c r="AK287" s="88" t="str">
        <f>IF(全车数据表!BF288="","",全车数据表!BF288)</f>
        <v/>
      </c>
      <c r="AL287" s="88" t="str">
        <f>IF(全车数据表!BG288="","",全车数据表!BG288)</f>
        <v/>
      </c>
      <c r="AM287" s="88" t="str">
        <f>IF(全车数据表!BH288="","",全车数据表!BH288)</f>
        <v/>
      </c>
      <c r="AN287" s="88" t="str">
        <f>IF(全车数据表!BI288="","",全车数据表!BI288)</f>
        <v/>
      </c>
      <c r="AO287" s="88">
        <f>IF(全车数据表!BJ288="","",全车数据表!BJ288)</f>
        <v>1</v>
      </c>
      <c r="AP287" s="88" t="str">
        <f>IF(全车数据表!BK288="","",全车数据表!BK288)</f>
        <v/>
      </c>
      <c r="AQ287" s="88" t="str">
        <f>IF(全车数据表!BL288="","",全车数据表!BL288)</f>
        <v/>
      </c>
      <c r="AR287" s="88" t="str">
        <f>IF(全车数据表!BM288="","",全车数据表!BM288)</f>
        <v/>
      </c>
      <c r="AS287" s="88" t="str">
        <f>IF(全车数据表!BN288="","",全车数据表!BN288)</f>
        <v/>
      </c>
      <c r="AT287" s="88" t="str">
        <f>IF(全车数据表!BO288="","",全车数据表!BO288)</f>
        <v/>
      </c>
      <c r="AU287" s="88" t="str">
        <f>IF(全车数据表!BP288="","",全车数据表!BP288)</f>
        <v/>
      </c>
      <c r="AV287" s="88" t="str">
        <f>IF(全车数据表!BQ288="","",全车数据表!BQ288)</f>
        <v>熔岩贴纸</v>
      </c>
      <c r="AW287" s="88" t="str">
        <f>IF(全车数据表!BR288="","",全车数据表!BR288)</f>
        <v/>
      </c>
      <c r="AX287" s="88" t="str">
        <f>IF(全车数据表!BS288="","",全车数据表!BS288)</f>
        <v/>
      </c>
      <c r="AY287" s="88" t="str">
        <f>IF(全车数据表!BT288="","",全车数据表!BT288)</f>
        <v/>
      </c>
      <c r="AZ287" s="88" t="str">
        <f>IF(全车数据表!BU288="","",全车数据表!BU288)</f>
        <v/>
      </c>
      <c r="BA287" s="88" t="str">
        <f>IF(全车数据表!BV288="","",全车数据表!BV288)</f>
        <v>鞋拔子 鼻息肉</v>
      </c>
      <c r="BB287" s="91" t="str">
        <f>IF(全车数据表!AZ288="","",全车数据表!AZ288)</f>
        <v/>
      </c>
    </row>
    <row r="288" spans="1:54">
      <c r="A288" s="88">
        <f>全车数据表!A289</f>
        <v>287</v>
      </c>
      <c r="B288" s="88" t="str">
        <f>全车数据表!B289</f>
        <v>LEGO Technic Bugatti Chiron Pur Sport</v>
      </c>
      <c r="C288" s="89" t="str">
        <f>全车数据表!E289</f>
        <v>legochiron</v>
      </c>
      <c r="D288" s="88" t="str">
        <f>IF(全车数据表!D289="","",全车数据表!D289)</f>
        <v>LEGO Technic</v>
      </c>
      <c r="E288" s="89" t="str">
        <f>全车数据表!H289</f>
        <v>5.6</v>
      </c>
      <c r="F288" s="89" t="str">
        <f>全车数据表!C289</f>
        <v>乐高 PS龙</v>
      </c>
      <c r="G288" s="89" t="str">
        <f>全车数据表!F289</f>
        <v>S</v>
      </c>
      <c r="H288" s="88">
        <f>LEN(全车数据表!G289)</f>
        <v>6</v>
      </c>
      <c r="I288" s="88" t="str">
        <f>VLOOKUP(全车数据表!P289,辅助计算!A:B,2,FALSE)</f>
        <v>epic</v>
      </c>
      <c r="J288" s="88">
        <f>全车数据表!Q289</f>
        <v>35</v>
      </c>
      <c r="K288" s="88">
        <f>全车数据表!R289</f>
        <v>40</v>
      </c>
      <c r="L288" s="88">
        <f>全车数据表!S289</f>
        <v>45</v>
      </c>
      <c r="M288" s="88">
        <f>全车数据表!T289</f>
        <v>50</v>
      </c>
      <c r="N288" s="88">
        <f>全车数据表!U289</f>
        <v>60</v>
      </c>
      <c r="O288" s="88">
        <f>全车数据表!V289</f>
        <v>70</v>
      </c>
      <c r="P288" s="88">
        <f>全车数据表!J289</f>
        <v>4764</v>
      </c>
      <c r="Q288" s="88">
        <f>全车数据表!K289</f>
        <v>394.4</v>
      </c>
      <c r="R288" s="88">
        <f>全车数据表!L289</f>
        <v>84.98</v>
      </c>
      <c r="S288" s="88">
        <f>全车数据表!M289</f>
        <v>61.19</v>
      </c>
      <c r="T288" s="88">
        <f>全车数据表!N289</f>
        <v>73.64</v>
      </c>
      <c r="U288" s="88">
        <f>全车数据表!O289</f>
        <v>0</v>
      </c>
      <c r="V288" s="88">
        <f>全车数据表!AL289</f>
        <v>22000000</v>
      </c>
      <c r="W288" s="88">
        <f>全车数据表!AM289</f>
        <v>88000</v>
      </c>
      <c r="X288" s="88">
        <f>全车数据表!AU289</f>
        <v>14432000</v>
      </c>
      <c r="Y288" s="88">
        <f>全车数据表!AV289</f>
        <v>36432000</v>
      </c>
      <c r="Z288" s="88">
        <f>全车数据表!AN289</f>
        <v>7</v>
      </c>
      <c r="AA288" s="88">
        <f>全车数据表!AP289</f>
        <v>5</v>
      </c>
      <c r="AB288" s="88">
        <f>全车数据表!AR289</f>
        <v>4</v>
      </c>
      <c r="AC288" s="88">
        <f>全车数据表!AW289</f>
        <v>0</v>
      </c>
      <c r="AD288" s="88">
        <f>全车数据表!AX289</f>
        <v>0</v>
      </c>
      <c r="AE288" s="88">
        <f>全车数据表!AY289</f>
        <v>0</v>
      </c>
      <c r="AF288" s="88" t="str">
        <f>IF(全车数据表!BA289="","",全车数据表!BA289)</f>
        <v>联动赛事</v>
      </c>
      <c r="AG288" s="88" t="str">
        <f>IF(全车数据表!BB289="","",全车数据表!BB289)</f>
        <v/>
      </c>
      <c r="AH288" s="88" t="str">
        <f>IF(全车数据表!BC289="","",全车数据表!BC289)</f>
        <v/>
      </c>
      <c r="AI288" s="88" t="str">
        <f>IF(全车数据表!BD289="","",全车数据表!BD289)</f>
        <v/>
      </c>
      <c r="AJ288" s="88" t="str">
        <f>IF(全车数据表!BE289="","",全车数据表!BE289)</f>
        <v/>
      </c>
      <c r="AK288" s="88" t="str">
        <f>IF(全车数据表!BF289="","",全车数据表!BF289)</f>
        <v/>
      </c>
      <c r="AL288" s="88" t="str">
        <f>IF(全车数据表!BG289="","",全车数据表!BG289)</f>
        <v/>
      </c>
      <c r="AM288" s="88" t="str">
        <f>IF(全车数据表!BH289="","",全车数据表!BH289)</f>
        <v/>
      </c>
      <c r="AN288" s="88" t="str">
        <f>IF(全车数据表!BI289="","",全车数据表!BI289)</f>
        <v/>
      </c>
      <c r="AO288" s="88" t="str">
        <f>IF(全车数据表!BJ289="","",全车数据表!BJ289)</f>
        <v/>
      </c>
      <c r="AP288" s="88" t="str">
        <f>IF(全车数据表!BK289="","",全车数据表!BK289)</f>
        <v/>
      </c>
      <c r="AQ288" s="88" t="str">
        <f>IF(全车数据表!BL289="","",全车数据表!BL289)</f>
        <v/>
      </c>
      <c r="AR288" s="88" t="str">
        <f>IF(全车数据表!BM289="","",全车数据表!BM289)</f>
        <v/>
      </c>
      <c r="AS288" s="88" t="str">
        <f>IF(全车数据表!BN289="","",全车数据表!BN289)</f>
        <v/>
      </c>
      <c r="AT288" s="88" t="str">
        <f>IF(全车数据表!BO289="","",全车数据表!BO289)</f>
        <v/>
      </c>
      <c r="AU288" s="88" t="str">
        <f>IF(全车数据表!BP289="","",全车数据表!BP289)</f>
        <v/>
      </c>
      <c r="AV288" s="88" t="str">
        <f>IF(全车数据表!BQ289="","",全车数据表!BQ289)</f>
        <v/>
      </c>
      <c r="AW288" s="88" t="str">
        <f>IF(全车数据表!BR289="","",全车数据表!BR289)</f>
        <v/>
      </c>
      <c r="AX288" s="88" t="str">
        <f>IF(全车数据表!BS289="","",全车数据表!BS289)</f>
        <v/>
      </c>
      <c r="AY288" s="88" t="str">
        <f>IF(全车数据表!BT289="","",全车数据表!BT289)</f>
        <v/>
      </c>
      <c r="AZ288" s="88" t="str">
        <f>IF(全车数据表!BU289="","",全车数据表!BU289)</f>
        <v/>
      </c>
      <c r="BA288" s="88" t="str">
        <f>IF(全车数据表!BV289="","",全车数据表!BV289)</f>
        <v>布加迪</v>
      </c>
      <c r="BB288" s="91" t="str">
        <f>IF(全车数据表!AZ289="","",全车数据表!AZ289)</f>
        <v/>
      </c>
    </row>
    <row r="289" spans="1:54">
      <c r="A289" s="88">
        <f>全车数据表!A290</f>
        <v>288</v>
      </c>
      <c r="B289" s="88" t="str">
        <f>全车数据表!B290</f>
        <v>Tushek TS 900 Racer Pro</v>
      </c>
      <c r="C289" s="89" t="str">
        <f>全车数据表!E290</f>
        <v>ts900</v>
      </c>
      <c r="D289" s="88" t="str">
        <f>IF(全车数据表!D290="","",全车数据表!D290)</f>
        <v>Tushek</v>
      </c>
      <c r="E289" s="89" t="str">
        <f>全车数据表!H290</f>
        <v>3.5</v>
      </c>
      <c r="F289" s="89" t="str">
        <f>全车数据表!C290</f>
        <v>TS900</v>
      </c>
      <c r="G289" s="89" t="str">
        <f>全车数据表!F290</f>
        <v>S</v>
      </c>
      <c r="H289" s="88">
        <f>LEN(全车数据表!G290)</f>
        <v>6</v>
      </c>
      <c r="I289" s="88" t="str">
        <f>VLOOKUP(全车数据表!P290,辅助计算!A:B,2,FALSE)</f>
        <v>epic</v>
      </c>
      <c r="J289" s="88">
        <f>全车数据表!Q290</f>
        <v>85</v>
      </c>
      <c r="K289" s="88">
        <f>全车数据表!R290</f>
        <v>25</v>
      </c>
      <c r="L289" s="88">
        <f>全车数据表!S290</f>
        <v>29</v>
      </c>
      <c r="M289" s="88">
        <f>全车数据表!T290</f>
        <v>38</v>
      </c>
      <c r="N289" s="88">
        <f>全车数据表!U290</f>
        <v>54</v>
      </c>
      <c r="O289" s="88">
        <f>全车数据表!V290</f>
        <v>69</v>
      </c>
      <c r="P289" s="88">
        <f>全车数据表!J290</f>
        <v>4782</v>
      </c>
      <c r="Q289" s="88">
        <f>全车数据表!K290</f>
        <v>395</v>
      </c>
      <c r="R289" s="88">
        <f>全车数据表!L290</f>
        <v>86.02</v>
      </c>
      <c r="S289" s="88">
        <f>全车数据表!M290</f>
        <v>73.760000000000005</v>
      </c>
      <c r="T289" s="88">
        <f>全车数据表!N290</f>
        <v>61.52</v>
      </c>
      <c r="U289" s="88">
        <f>全车数据表!O290</f>
        <v>0</v>
      </c>
      <c r="V289" s="88">
        <f>全车数据表!AL290</f>
        <v>0</v>
      </c>
      <c r="W289" s="88">
        <f>全车数据表!AM290</f>
        <v>80000</v>
      </c>
      <c r="X289" s="88">
        <f>全车数据表!AU290</f>
        <v>0</v>
      </c>
      <c r="Y289" s="88">
        <f>全车数据表!AV290</f>
        <v>0</v>
      </c>
      <c r="Z289" s="88">
        <f>全车数据表!AN290</f>
        <v>7</v>
      </c>
      <c r="AA289" s="88">
        <f>全车数据表!AP290</f>
        <v>5</v>
      </c>
      <c r="AB289" s="88">
        <f>全车数据表!AR290</f>
        <v>4</v>
      </c>
      <c r="AC289" s="88">
        <f>全车数据表!AW290</f>
        <v>410</v>
      </c>
      <c r="AD289" s="88">
        <f>全车数据表!AX290</f>
        <v>0</v>
      </c>
      <c r="AE289" s="88">
        <f>全车数据表!AY290</f>
        <v>552</v>
      </c>
      <c r="AF289" s="88" t="str">
        <f>IF(全车数据表!BA290="","",全车数据表!BA290)</f>
        <v>特殊赛事</v>
      </c>
      <c r="AG289" s="88" t="str">
        <f>IF(全车数据表!BB290="","",全车数据表!BB290)</f>
        <v/>
      </c>
      <c r="AH289" s="88" t="str">
        <f>IF(全车数据表!BC290="","",全车数据表!BC290)</f>
        <v/>
      </c>
      <c r="AI289" s="88" t="str">
        <f>IF(全车数据表!BD290="","",全车数据表!BD290)</f>
        <v/>
      </c>
      <c r="AJ289" s="88" t="str">
        <f>IF(全车数据表!BE290="","",全车数据表!BE290)</f>
        <v/>
      </c>
      <c r="AK289" s="88" t="str">
        <f>IF(全车数据表!BF290="","",全车数据表!BF290)</f>
        <v/>
      </c>
      <c r="AL289" s="88" t="str">
        <f>IF(全车数据表!BG290="","",全车数据表!BG290)</f>
        <v/>
      </c>
      <c r="AM289" s="88" t="str">
        <f>IF(全车数据表!BH290="","",全车数据表!BH290)</f>
        <v/>
      </c>
      <c r="AN289" s="88" t="str">
        <f>IF(全车数据表!BI290="","",全车数据表!BI290)</f>
        <v/>
      </c>
      <c r="AO289" s="88" t="str">
        <f>IF(全车数据表!BJ290="","",全车数据表!BJ290)</f>
        <v/>
      </c>
      <c r="AP289" s="88" t="str">
        <f>IF(全车数据表!BK290="","",全车数据表!BK290)</f>
        <v/>
      </c>
      <c r="AQ289" s="88">
        <f>IF(全车数据表!BL290="","",全车数据表!BL290)</f>
        <v>1</v>
      </c>
      <c r="AR289" s="88" t="str">
        <f>IF(全车数据表!BM290="","",全车数据表!BM290)</f>
        <v/>
      </c>
      <c r="AS289" s="88" t="str">
        <f>IF(全车数据表!BN290="","",全车数据表!BN290)</f>
        <v/>
      </c>
      <c r="AT289" s="88" t="str">
        <f>IF(全车数据表!BO290="","",全车数据表!BO290)</f>
        <v/>
      </c>
      <c r="AU289" s="88" t="str">
        <f>IF(全车数据表!BP290="","",全车数据表!BP290)</f>
        <v/>
      </c>
      <c r="AV289" s="88" t="str">
        <f>IF(全车数据表!BQ290="","",全车数据表!BQ290)</f>
        <v>2款</v>
      </c>
      <c r="AW289" s="88" t="str">
        <f>IF(全车数据表!BR290="","",全车数据表!BR290)</f>
        <v/>
      </c>
      <c r="AX289" s="88" t="str">
        <f>IF(全车数据表!BS290="","",全车数据表!BS290)</f>
        <v/>
      </c>
      <c r="AY289" s="88">
        <f>IF(全车数据表!BT290="","",全车数据表!BT290)</f>
        <v>1</v>
      </c>
      <c r="AZ289" s="88" t="str">
        <f>IF(全车数据表!BU290="","",全车数据表!BU290)</f>
        <v/>
      </c>
      <c r="BA289" s="88" t="str">
        <f>IF(全车数据表!BV290="","",全车数据表!BV290)</f>
        <v/>
      </c>
      <c r="BB289" s="91" t="str">
        <f>IF(全车数据表!AZ290="","",全车数据表!AZ290)</f>
        <v/>
      </c>
    </row>
    <row r="290" spans="1:54">
      <c r="A290" s="88">
        <f>全车数据表!A291</f>
        <v>289</v>
      </c>
      <c r="B290" s="88" t="str">
        <f>全车数据表!B291</f>
        <v>Mazzanti Evantra Millecavalli</v>
      </c>
      <c r="C290" s="89" t="str">
        <f>全车数据表!E291</f>
        <v>millecavalli</v>
      </c>
      <c r="D290" s="88" t="str">
        <f>IF(全车数据表!D291="","",全车数据表!D291)</f>
        <v>Mazzanti</v>
      </c>
      <c r="E290" s="89" t="str">
        <f>全车数据表!H291</f>
        <v>2.9</v>
      </c>
      <c r="F290" s="89" t="str">
        <f>全车数据表!C291</f>
        <v>皇后</v>
      </c>
      <c r="G290" s="89" t="str">
        <f>全车数据表!F291</f>
        <v>S</v>
      </c>
      <c r="H290" s="88">
        <f>LEN(全车数据表!G291)</f>
        <v>6</v>
      </c>
      <c r="I290" s="88" t="str">
        <f>VLOOKUP(全车数据表!P291,辅助计算!A:B,2,FALSE)</f>
        <v>epic</v>
      </c>
      <c r="J290" s="88">
        <f>全车数据表!Q291</f>
        <v>85</v>
      </c>
      <c r="K290" s="88">
        <f>全车数据表!R291</f>
        <v>25</v>
      </c>
      <c r="L290" s="88">
        <f>全车数据表!S291</f>
        <v>29</v>
      </c>
      <c r="M290" s="88">
        <f>全车数据表!T291</f>
        <v>38</v>
      </c>
      <c r="N290" s="88">
        <f>全车数据表!U291</f>
        <v>54</v>
      </c>
      <c r="O290" s="88">
        <f>全车数据表!V291</f>
        <v>69</v>
      </c>
      <c r="P290" s="88">
        <f>全车数据表!J291</f>
        <v>4790</v>
      </c>
      <c r="Q290" s="88">
        <f>全车数据表!K291</f>
        <v>412.3</v>
      </c>
      <c r="R290" s="88">
        <f>全车数据表!L291</f>
        <v>82.6</v>
      </c>
      <c r="S290" s="88">
        <f>全车数据表!M291</f>
        <v>63.85</v>
      </c>
      <c r="T290" s="88">
        <f>全车数据表!N291</f>
        <v>64.81</v>
      </c>
      <c r="U290" s="88">
        <f>全车数据表!O291</f>
        <v>0</v>
      </c>
      <c r="V290" s="88">
        <f>全车数据表!AL291</f>
        <v>24997400</v>
      </c>
      <c r="W290" s="88">
        <f>全车数据表!AM291</f>
        <v>80000</v>
      </c>
      <c r="X290" s="88">
        <f>全车数据表!AU291</f>
        <v>13120000</v>
      </c>
      <c r="Y290" s="88">
        <f>全车数据表!AV291</f>
        <v>38117400</v>
      </c>
      <c r="Z290" s="88">
        <f>全车数据表!AN291</f>
        <v>7</v>
      </c>
      <c r="AA290" s="88">
        <f>全车数据表!AP291</f>
        <v>5</v>
      </c>
      <c r="AB290" s="88">
        <f>全车数据表!AR291</f>
        <v>4</v>
      </c>
      <c r="AC290" s="88">
        <f>全车数据表!AW291</f>
        <v>432</v>
      </c>
      <c r="AD290" s="88">
        <f>全车数据表!AX291</f>
        <v>0</v>
      </c>
      <c r="AE290" s="88">
        <f>全车数据表!AY291</f>
        <v>563</v>
      </c>
      <c r="AF290" s="88" t="str">
        <f>IF(全车数据表!BA291="","",全车数据表!BA291)</f>
        <v>特殊赛事</v>
      </c>
      <c r="AG290" s="88" t="str">
        <f>IF(全车数据表!BB291="","",全车数据表!BB291)</f>
        <v/>
      </c>
      <c r="AH290" s="88" t="str">
        <f>IF(全车数据表!BC291="","",全车数据表!BC291)</f>
        <v/>
      </c>
      <c r="AI290" s="88" t="str">
        <f>IF(全车数据表!BD291="","",全车数据表!BD291)</f>
        <v/>
      </c>
      <c r="AJ290" s="88" t="str">
        <f>IF(全车数据表!BE291="","",全车数据表!BE291)</f>
        <v/>
      </c>
      <c r="AK290" s="88" t="str">
        <f>IF(全车数据表!BF291="","",全车数据表!BF291)</f>
        <v/>
      </c>
      <c r="AL290" s="88" t="str">
        <f>IF(全车数据表!BG291="","",全车数据表!BG291)</f>
        <v/>
      </c>
      <c r="AM290" s="88" t="str">
        <f>IF(全车数据表!BH291="","",全车数据表!BH291)</f>
        <v/>
      </c>
      <c r="AN290" s="88" t="str">
        <f>IF(全车数据表!BI291="","",全车数据表!BI291)</f>
        <v/>
      </c>
      <c r="AO290" s="88" t="str">
        <f>IF(全车数据表!BJ291="","",全车数据表!BJ291)</f>
        <v/>
      </c>
      <c r="AP290" s="88" t="str">
        <f>IF(全车数据表!BK291="","",全车数据表!BK291)</f>
        <v/>
      </c>
      <c r="AQ290" s="88">
        <f>IF(全车数据表!BL291="","",全车数据表!BL291)</f>
        <v>1</v>
      </c>
      <c r="AR290" s="88" t="str">
        <f>IF(全车数据表!BM291="","",全车数据表!BM291)</f>
        <v/>
      </c>
      <c r="AS290" s="88" t="str">
        <f>IF(全车数据表!BN291="","",全车数据表!BN291)</f>
        <v/>
      </c>
      <c r="AT290" s="88" t="str">
        <f>IF(全车数据表!BO291="","",全车数据表!BO291)</f>
        <v/>
      </c>
      <c r="AU290" s="88" t="str">
        <f>IF(全车数据表!BP291="","",全车数据表!BP291)</f>
        <v/>
      </c>
      <c r="AV290" s="88" t="str">
        <f>IF(全车数据表!BQ291="","",全车数据表!BQ291)</f>
        <v>2款</v>
      </c>
      <c r="AW290" s="88" t="str">
        <f>IF(全车数据表!BR291="","",全车数据表!BR291)</f>
        <v/>
      </c>
      <c r="AX290" s="88" t="str">
        <f>IF(全车数据表!BS291="","",全车数据表!BS291)</f>
        <v/>
      </c>
      <c r="AY290" s="88">
        <f>IF(全车数据表!BT291="","",全车数据表!BT291)</f>
        <v>1</v>
      </c>
      <c r="AZ290" s="88" t="str">
        <f>IF(全车数据表!BU291="","",全车数据表!BU291)</f>
        <v/>
      </c>
      <c r="BA290" s="88" t="str">
        <f>IF(全车数据表!BV291="","",全车数据表!BV291)</f>
        <v>马赞蒂</v>
      </c>
      <c r="BB290" s="91" t="str">
        <f>IF(全车数据表!AZ291="","",全车数据表!AZ291)</f>
        <v/>
      </c>
    </row>
    <row r="291" spans="1:54">
      <c r="A291" s="88">
        <f>全车数据表!A292</f>
        <v>290</v>
      </c>
      <c r="B291" s="88" t="str">
        <f>全车数据表!B292</f>
        <v>Toroidion 1MW</v>
      </c>
      <c r="C291" s="89" t="str">
        <f>全车数据表!E292</f>
        <v>1mw</v>
      </c>
      <c r="D291" s="88" t="str">
        <f>IF(全车数据表!D292="","",全车数据表!D292)</f>
        <v>Toroidion</v>
      </c>
      <c r="E291" s="89" t="str">
        <f>全车数据表!H292</f>
        <v>3.1</v>
      </c>
      <c r="F291" s="89" t="str">
        <f>全车数据表!C292</f>
        <v>1MW</v>
      </c>
      <c r="G291" s="89" t="str">
        <f>全车数据表!F292</f>
        <v>S</v>
      </c>
      <c r="H291" s="88">
        <f>LEN(全车数据表!G292)</f>
        <v>6</v>
      </c>
      <c r="I291" s="88" t="str">
        <f>VLOOKUP(全车数据表!P292,辅助计算!A:B,2,FALSE)</f>
        <v>epic</v>
      </c>
      <c r="J291" s="88">
        <f>全车数据表!Q292</f>
        <v>85</v>
      </c>
      <c r="K291" s="88">
        <f>全车数据表!R292</f>
        <v>25</v>
      </c>
      <c r="L291" s="88">
        <f>全车数据表!S292</f>
        <v>29</v>
      </c>
      <c r="M291" s="88">
        <f>全车数据表!T292</f>
        <v>38</v>
      </c>
      <c r="N291" s="88">
        <f>全车数据表!U292</f>
        <v>54</v>
      </c>
      <c r="O291" s="88">
        <f>全车数据表!V292</f>
        <v>69</v>
      </c>
      <c r="P291" s="88">
        <f>全车数据表!J292</f>
        <v>4808</v>
      </c>
      <c r="Q291" s="88">
        <f>全车数据表!K292</f>
        <v>460.4</v>
      </c>
      <c r="R291" s="88">
        <f>全车数据表!L292</f>
        <v>81.28</v>
      </c>
      <c r="S291" s="88">
        <f>全车数据表!M292</f>
        <v>60.34</v>
      </c>
      <c r="T291" s="88">
        <f>全车数据表!N292</f>
        <v>54.16</v>
      </c>
      <c r="U291" s="88">
        <f>全车数据表!O292</f>
        <v>0</v>
      </c>
      <c r="V291" s="88">
        <f>全车数据表!AL292</f>
        <v>0</v>
      </c>
      <c r="W291" s="88">
        <f>全车数据表!AM292</f>
        <v>0</v>
      </c>
      <c r="X291" s="88">
        <f>全车数据表!AU292</f>
        <v>0</v>
      </c>
      <c r="Y291" s="88">
        <f>全车数据表!AV292</f>
        <v>0</v>
      </c>
      <c r="Z291" s="88">
        <f>全车数据表!AN292</f>
        <v>7</v>
      </c>
      <c r="AA291" s="88">
        <f>全车数据表!AP292</f>
        <v>5</v>
      </c>
      <c r="AB291" s="88">
        <f>全车数据表!AR292</f>
        <v>4</v>
      </c>
      <c r="AC291" s="88">
        <f>全车数据表!AW292</f>
        <v>485</v>
      </c>
      <c r="AD291" s="88">
        <f>全车数据表!AX292</f>
        <v>0</v>
      </c>
      <c r="AE291" s="88">
        <f>全车数据表!AY292</f>
        <v>587</v>
      </c>
      <c r="AF291" s="88" t="str">
        <f>IF(全车数据表!BA292="","",全车数据表!BA292)</f>
        <v>特殊赛事</v>
      </c>
      <c r="AG291" s="88" t="str">
        <f>IF(全车数据表!BB292="","",全车数据表!BB292)</f>
        <v/>
      </c>
      <c r="AH291" s="88" t="str">
        <f>IF(全车数据表!BC292="","",全车数据表!BC292)</f>
        <v/>
      </c>
      <c r="AI291" s="88" t="str">
        <f>IF(全车数据表!BD292="","",全车数据表!BD292)</f>
        <v/>
      </c>
      <c r="AJ291" s="88" t="str">
        <f>IF(全车数据表!BE292="","",全车数据表!BE292)</f>
        <v/>
      </c>
      <c r="AK291" s="88" t="str">
        <f>IF(全车数据表!BF292="","",全车数据表!BF292)</f>
        <v/>
      </c>
      <c r="AL291" s="88" t="str">
        <f>IF(全车数据表!BG292="","",全车数据表!BG292)</f>
        <v/>
      </c>
      <c r="AM291" s="88" t="str">
        <f>IF(全车数据表!BH292="","",全车数据表!BH292)</f>
        <v/>
      </c>
      <c r="AN291" s="88" t="str">
        <f>IF(全车数据表!BI292="","",全车数据表!BI292)</f>
        <v/>
      </c>
      <c r="AO291" s="88" t="str">
        <f>IF(全车数据表!BJ292="","",全车数据表!BJ292)</f>
        <v/>
      </c>
      <c r="AP291" s="88" t="str">
        <f>IF(全车数据表!BK292="","",全车数据表!BK292)</f>
        <v/>
      </c>
      <c r="AQ291" s="88">
        <f>IF(全车数据表!BL292="","",全车数据表!BL292)</f>
        <v>1</v>
      </c>
      <c r="AR291" s="88" t="str">
        <f>IF(全车数据表!BM292="","",全车数据表!BM292)</f>
        <v/>
      </c>
      <c r="AS291" s="88" t="str">
        <f>IF(全车数据表!BN292="","",全车数据表!BN292)</f>
        <v/>
      </c>
      <c r="AT291" s="88" t="str">
        <f>IF(全车数据表!BO292="","",全车数据表!BO292)</f>
        <v/>
      </c>
      <c r="AU291" s="88">
        <f>IF(全车数据表!BP292="","",全车数据表!BP292)</f>
        <v>1</v>
      </c>
      <c r="AV291" s="88" t="str">
        <f>IF(全车数据表!BQ292="","",全车数据表!BQ292)</f>
        <v/>
      </c>
      <c r="AW291" s="88" t="str">
        <f>IF(全车数据表!BR292="","",全车数据表!BR292)</f>
        <v/>
      </c>
      <c r="AX291" s="88" t="str">
        <f>IF(全车数据表!BS292="","",全车数据表!BS292)</f>
        <v/>
      </c>
      <c r="AY291" s="88">
        <f>IF(全车数据表!BT292="","",全车数据表!BT292)</f>
        <v>1</v>
      </c>
      <c r="AZ291" s="88" t="str">
        <f>IF(全车数据表!BU292="","",全车数据表!BU292)</f>
        <v/>
      </c>
      <c r="BA291" s="88" t="str">
        <f>IF(全车数据表!BV292="","",全车数据表!BV292)</f>
        <v>百万马力</v>
      </c>
      <c r="BB291" s="91" t="str">
        <f>IF(全车数据表!AZ292="","",全车数据表!AZ292)</f>
        <v/>
      </c>
    </row>
    <row r="292" spans="1:54">
      <c r="A292" s="88">
        <f>全车数据表!A293</f>
        <v>291</v>
      </c>
      <c r="B292" s="88" t="str">
        <f>全车数据表!B293</f>
        <v>Bugatti Chiron Pur Sport🔑</v>
      </c>
      <c r="C292" s="89" t="str">
        <f>全车数据表!E293</f>
        <v>pursport</v>
      </c>
      <c r="D292" s="88" t="str">
        <f>IF(全车数据表!D293="","",全车数据表!D293)</f>
        <v>Bugatti</v>
      </c>
      <c r="E292" s="89" t="str">
        <f>全车数据表!H293</f>
        <v>5.0</v>
      </c>
      <c r="F292" s="89" t="str">
        <f>全车数据表!C293</f>
        <v>PS龙</v>
      </c>
      <c r="G292" s="89" t="str">
        <f>全车数据表!F293</f>
        <v>S</v>
      </c>
      <c r="H292" s="88">
        <f>LEN(全车数据表!G293)</f>
        <v>6</v>
      </c>
      <c r="I292" s="88" t="str">
        <f>VLOOKUP(全车数据表!P293,辅助计算!A:B,2,FALSE)</f>
        <v>epic</v>
      </c>
      <c r="J292" s="88" t="str">
        <f>全车数据表!Q293</f>
        <v>🔑</v>
      </c>
      <c r="K292" s="88">
        <f>全车数据表!R293</f>
        <v>45</v>
      </c>
      <c r="L292" s="88">
        <f>全车数据表!S293</f>
        <v>56</v>
      </c>
      <c r="M292" s="88">
        <f>全车数据表!T293</f>
        <v>65</v>
      </c>
      <c r="N292" s="88">
        <f>全车数据表!U293</f>
        <v>66</v>
      </c>
      <c r="O292" s="88">
        <f>全车数据表!V293</f>
        <v>68</v>
      </c>
      <c r="P292" s="88">
        <f>全车数据表!J293</f>
        <v>4821</v>
      </c>
      <c r="Q292" s="88">
        <f>全车数据表!K293</f>
        <v>397.8</v>
      </c>
      <c r="R292" s="88">
        <f>全车数据表!L293</f>
        <v>87.01</v>
      </c>
      <c r="S292" s="88">
        <f>全车数据表!M293</f>
        <v>73.62</v>
      </c>
      <c r="T292" s="88">
        <f>全车数据表!N293</f>
        <v>65.319999999999993</v>
      </c>
      <c r="U292" s="88">
        <f>全车数据表!O293</f>
        <v>0</v>
      </c>
      <c r="V292" s="88">
        <f>全车数据表!AL293</f>
        <v>0</v>
      </c>
      <c r="W292" s="88">
        <f>全车数据表!AM293</f>
        <v>100000</v>
      </c>
      <c r="X292" s="88">
        <f>全车数据表!AU293</f>
        <v>0</v>
      </c>
      <c r="Y292" s="88">
        <f>全车数据表!AV293</f>
        <v>0</v>
      </c>
      <c r="Z292" s="88">
        <f>全车数据表!AN293</f>
        <v>7</v>
      </c>
      <c r="AA292" s="88">
        <f>全车数据表!AP293</f>
        <v>5</v>
      </c>
      <c r="AB292" s="88">
        <f>全车数据表!AR293</f>
        <v>4</v>
      </c>
      <c r="AC292" s="88">
        <f>全车数据表!AW293</f>
        <v>413</v>
      </c>
      <c r="AD292" s="88">
        <f>全车数据表!AX293</f>
        <v>0</v>
      </c>
      <c r="AE292" s="88">
        <f>全车数据表!AY293</f>
        <v>554</v>
      </c>
      <c r="AF292" s="88" t="str">
        <f>IF(全车数据表!BA293="","",全车数据表!BA293)</f>
        <v>特殊赛事</v>
      </c>
      <c r="AG292" s="88" t="str">
        <f>IF(全车数据表!BB293="","",全车数据表!BB293)</f>
        <v/>
      </c>
      <c r="AH292" s="88" t="str">
        <f>IF(全车数据表!BC293="","",全车数据表!BC293)</f>
        <v/>
      </c>
      <c r="AI292" s="88" t="str">
        <f>IF(全车数据表!BD293="","",全车数据表!BD293)</f>
        <v/>
      </c>
      <c r="AJ292" s="88" t="str">
        <f>IF(全车数据表!BE293="","",全车数据表!BE293)</f>
        <v/>
      </c>
      <c r="AK292" s="88" t="str">
        <f>IF(全车数据表!BF293="","",全车数据表!BF293)</f>
        <v/>
      </c>
      <c r="AL292" s="88" t="str">
        <f>IF(全车数据表!BG293="","",全车数据表!BG293)</f>
        <v/>
      </c>
      <c r="AM292" s="88" t="str">
        <f>IF(全车数据表!BH293="","",全车数据表!BH293)</f>
        <v/>
      </c>
      <c r="AN292" s="88" t="str">
        <f>IF(全车数据表!BI293="","",全车数据表!BI293)</f>
        <v/>
      </c>
      <c r="AO292" s="88" t="str">
        <f>IF(全车数据表!BJ293="","",全车数据表!BJ293)</f>
        <v/>
      </c>
      <c r="AP292" s="88" t="str">
        <f>IF(全车数据表!BK293="","",全车数据表!BK293)</f>
        <v/>
      </c>
      <c r="AQ292" s="88" t="str">
        <f>IF(全车数据表!BL293="","",全车数据表!BL293)</f>
        <v/>
      </c>
      <c r="AR292" s="88" t="str">
        <f>IF(全车数据表!BM293="","",全车数据表!BM293)</f>
        <v/>
      </c>
      <c r="AS292" s="88" t="str">
        <f>IF(全车数据表!BN293="","",全车数据表!BN293)</f>
        <v/>
      </c>
      <c r="AT292" s="88" t="str">
        <f>IF(全车数据表!BO293="","",全车数据表!BO293)</f>
        <v/>
      </c>
      <c r="AU292" s="88" t="str">
        <f>IF(全车数据表!BP293="","",全车数据表!BP293)</f>
        <v/>
      </c>
      <c r="AV292" s="88" t="str">
        <f>IF(全车数据表!BQ293="","",全车数据表!BQ293)</f>
        <v/>
      </c>
      <c r="AW292" s="88" t="str">
        <f>IF(全车数据表!BR293="","",全车数据表!BR293)</f>
        <v/>
      </c>
      <c r="AX292" s="88" t="str">
        <f>IF(全车数据表!BS293="","",全车数据表!BS293)</f>
        <v/>
      </c>
      <c r="AY292" s="88" t="str">
        <f>IF(全车数据表!BT293="","",全车数据表!BT293)</f>
        <v/>
      </c>
      <c r="AZ292" s="88" t="str">
        <f>IF(全车数据表!BU293="","",全车数据表!BU293)</f>
        <v/>
      </c>
      <c r="BA292" s="88" t="str">
        <f>IF(全车数据表!BV293="","",全车数据表!BV293)</f>
        <v>布加迪奇龙 肥龙 胖龙 凯龙</v>
      </c>
      <c r="BB292" s="91" t="str">
        <f>IF(全车数据表!AZ293="","",全车数据表!AZ293)</f>
        <v/>
      </c>
    </row>
    <row r="293" spans="1:54">
      <c r="A293" s="88">
        <f>全车数据表!A294</f>
        <v>292</v>
      </c>
      <c r="B293" s="88" t="str">
        <f>全车数据表!B294</f>
        <v>Koenigsegg Jesko🔑</v>
      </c>
      <c r="C293" s="89" t="str">
        <f>全车数据表!E294</f>
        <v>jesko</v>
      </c>
      <c r="D293" s="88" t="str">
        <f>IF(全车数据表!D294="","",全车数据表!D294)</f>
        <v>Koenigsegg</v>
      </c>
      <c r="E293" s="89" t="str">
        <f>全车数据表!H294</f>
        <v>1.8</v>
      </c>
      <c r="F293" s="89" t="str">
        <f>全车数据表!C294</f>
        <v>Jesko</v>
      </c>
      <c r="G293" s="89" t="str">
        <f>全车数据表!F294</f>
        <v>S</v>
      </c>
      <c r="H293" s="88">
        <f>LEN(全车数据表!G294)</f>
        <v>6</v>
      </c>
      <c r="I293" s="88" t="str">
        <f>VLOOKUP(全车数据表!P294,辅助计算!A:B,2,FALSE)</f>
        <v>epic</v>
      </c>
      <c r="J293" s="88" t="str">
        <f>全车数据表!Q294</f>
        <v>🔑</v>
      </c>
      <c r="K293" s="88">
        <f>全车数据表!R294</f>
        <v>40</v>
      </c>
      <c r="L293" s="88">
        <f>全车数据表!S294</f>
        <v>45</v>
      </c>
      <c r="M293" s="88">
        <f>全车数据表!T294</f>
        <v>60</v>
      </c>
      <c r="N293" s="88">
        <f>全车数据表!U294</f>
        <v>70</v>
      </c>
      <c r="O293" s="88">
        <f>全车数据表!V294</f>
        <v>85</v>
      </c>
      <c r="P293" s="88">
        <f>全车数据表!J294</f>
        <v>4824</v>
      </c>
      <c r="Q293" s="88">
        <f>全车数据表!K294</f>
        <v>496.6</v>
      </c>
      <c r="R293" s="88">
        <f>全车数据表!L294</f>
        <v>80.069999999999993</v>
      </c>
      <c r="S293" s="88">
        <f>全车数据表!M294</f>
        <v>48.19</v>
      </c>
      <c r="T293" s="88">
        <f>全车数据表!N294</f>
        <v>58.23</v>
      </c>
      <c r="U293" s="88">
        <f>全车数据表!O294</f>
        <v>4.8</v>
      </c>
      <c r="V293" s="88">
        <f>全车数据表!AL294</f>
        <v>24997400</v>
      </c>
      <c r="W293" s="88">
        <f>全车数据表!AM294</f>
        <v>100000</v>
      </c>
      <c r="X293" s="88">
        <f>全车数据表!AU294</f>
        <v>16400000</v>
      </c>
      <c r="Y293" s="88">
        <f>全车数据表!AV294</f>
        <v>41397400</v>
      </c>
      <c r="Z293" s="88">
        <f>全车数据表!AN294</f>
        <v>7</v>
      </c>
      <c r="AA293" s="88">
        <f>全车数据表!AP294</f>
        <v>5</v>
      </c>
      <c r="AB293" s="88">
        <f>全车数据表!AR294</f>
        <v>4</v>
      </c>
      <c r="AC293" s="88">
        <f>全车数据表!AW294</f>
        <v>522</v>
      </c>
      <c r="AD293" s="88">
        <f>全车数据表!AX294</f>
        <v>0</v>
      </c>
      <c r="AE293" s="88">
        <f>全车数据表!AY294</f>
        <v>600</v>
      </c>
      <c r="AF293" s="88" t="str">
        <f>IF(全车数据表!BA294="","",全车数据表!BA294)</f>
        <v>联会赛事</v>
      </c>
      <c r="AG293" s="88" t="str">
        <f>IF(全车数据表!BB294="","",全车数据表!BB294)</f>
        <v/>
      </c>
      <c r="AH293" s="88" t="str">
        <f>IF(全车数据表!BC294="","",全车数据表!BC294)</f>
        <v/>
      </c>
      <c r="AI293" s="88" t="str">
        <f>IF(全车数据表!BD294="","",全车数据表!BD294)</f>
        <v/>
      </c>
      <c r="AJ293" s="88" t="str">
        <f>IF(全车数据表!BE294="","",全车数据表!BE294)</f>
        <v/>
      </c>
      <c r="AK293" s="88" t="str">
        <f>IF(全车数据表!BF294="","",全车数据表!BF294)</f>
        <v/>
      </c>
      <c r="AL293" s="88" t="str">
        <f>IF(全车数据表!BG294="","",全车数据表!BG294)</f>
        <v/>
      </c>
      <c r="AM293" s="88" t="str">
        <f>IF(全车数据表!BH294="","",全车数据表!BH294)</f>
        <v/>
      </c>
      <c r="AN293" s="88" t="str">
        <f>IF(全车数据表!BI294="","",全车数据表!BI294)</f>
        <v/>
      </c>
      <c r="AO293" s="88" t="str">
        <f>IF(全车数据表!BJ294="","",全车数据表!BJ294)</f>
        <v/>
      </c>
      <c r="AP293" s="88" t="str">
        <f>IF(全车数据表!BK294="","",全车数据表!BK294)</f>
        <v/>
      </c>
      <c r="AQ293" s="88" t="str">
        <f>IF(全车数据表!BL294="","",全车数据表!BL294)</f>
        <v/>
      </c>
      <c r="AR293" s="88" t="str">
        <f>IF(全车数据表!BM294="","",全车数据表!BM294)</f>
        <v/>
      </c>
      <c r="AS293" s="88">
        <f>IF(全车数据表!BN294="","",全车数据表!BN294)</f>
        <v>1</v>
      </c>
      <c r="AT293" s="88">
        <f>IF(全车数据表!BO294="","",全车数据表!BO294)</f>
        <v>1</v>
      </c>
      <c r="AU293" s="88">
        <f>IF(全车数据表!BP294="","",全车数据表!BP294)</f>
        <v>1</v>
      </c>
      <c r="AV293" s="88" t="str">
        <f>IF(全车数据表!BQ294="","",全车数据表!BQ294)</f>
        <v>4款</v>
      </c>
      <c r="AW293" s="88" t="str">
        <f>IF(全车数据表!BR294="","",全车数据表!BR294)</f>
        <v/>
      </c>
      <c r="AX293" s="88" t="str">
        <f>IF(全车数据表!BS294="","",全车数据表!BS294)</f>
        <v/>
      </c>
      <c r="AY293" s="88">
        <f>IF(全车数据表!BT294="","",全车数据表!BT294)</f>
        <v>1</v>
      </c>
      <c r="AZ293" s="88" t="str">
        <f>IF(全车数据表!BU294="","",全车数据表!BU294)</f>
        <v/>
      </c>
      <c r="BA293" s="88" t="str">
        <f>IF(全车数据表!BV294="","",全车数据表!BV294)</f>
        <v>杰哥 柯尼塞格</v>
      </c>
      <c r="BB293" s="91" t="str">
        <f>IF(全车数据表!AZ294="","",全车数据表!AZ294)</f>
        <v/>
      </c>
    </row>
    <row r="294" spans="1:54">
      <c r="A294" s="88">
        <f>全车数据表!A295</f>
        <v>293</v>
      </c>
      <c r="B294" s="88" t="str">
        <f>全车数据表!B295</f>
        <v>Bugatti Centodieci🔑</v>
      </c>
      <c r="C294" s="89" t="str">
        <f>全车数据表!E295</f>
        <v>centodieci</v>
      </c>
      <c r="D294" s="88" t="str">
        <f>IF(全车数据表!D295="","",全车数据表!D295)</f>
        <v>Bugatti</v>
      </c>
      <c r="E294" s="89" t="str">
        <f>全车数据表!H295</f>
        <v>3.6</v>
      </c>
      <c r="F294" s="89" t="str">
        <f>全车数据表!C295</f>
        <v>白龙</v>
      </c>
      <c r="G294" s="89" t="str">
        <f>全车数据表!F295</f>
        <v>S</v>
      </c>
      <c r="H294" s="88">
        <f>LEN(全车数据表!G295)</f>
        <v>6</v>
      </c>
      <c r="I294" s="88" t="str">
        <f>VLOOKUP(全车数据表!P295,辅助计算!A:B,2,FALSE)</f>
        <v>epic</v>
      </c>
      <c r="J294" s="88" t="str">
        <f>全车数据表!Q295</f>
        <v>🔑</v>
      </c>
      <c r="K294" s="88">
        <f>全车数据表!R295</f>
        <v>40</v>
      </c>
      <c r="L294" s="88">
        <f>全车数据表!S295</f>
        <v>45</v>
      </c>
      <c r="M294" s="88">
        <f>全车数据表!T295</f>
        <v>60</v>
      </c>
      <c r="N294" s="88">
        <f>全车数据表!U295</f>
        <v>70</v>
      </c>
      <c r="O294" s="88">
        <f>全车数据表!V295</f>
        <v>85</v>
      </c>
      <c r="P294" s="88">
        <f>全车数据表!J295</f>
        <v>4843</v>
      </c>
      <c r="Q294" s="88">
        <f>全车数据表!K295</f>
        <v>402.7</v>
      </c>
      <c r="R294" s="88">
        <f>全车数据表!L295</f>
        <v>86.51</v>
      </c>
      <c r="S294" s="88">
        <f>全车数据表!M295</f>
        <v>62.58</v>
      </c>
      <c r="T294" s="88">
        <f>全车数据表!N295</f>
        <v>77.09</v>
      </c>
      <c r="U294" s="88">
        <f>全车数据表!O295</f>
        <v>0</v>
      </c>
      <c r="V294" s="88">
        <f>全车数据表!AL295</f>
        <v>24997400</v>
      </c>
      <c r="W294" s="88">
        <f>全车数据表!AM295</f>
        <v>100000</v>
      </c>
      <c r="X294" s="88">
        <f>全车数据表!AU295</f>
        <v>16400000</v>
      </c>
      <c r="Y294" s="88">
        <f>全车数据表!AV295</f>
        <v>41397400</v>
      </c>
      <c r="Z294" s="88">
        <f>全车数据表!AN295</f>
        <v>7</v>
      </c>
      <c r="AA294" s="88">
        <f>全车数据表!AP295</f>
        <v>5</v>
      </c>
      <c r="AB294" s="88">
        <f>全车数据表!AR295</f>
        <v>4</v>
      </c>
      <c r="AC294" s="88">
        <f>全车数据表!AW295</f>
        <v>418</v>
      </c>
      <c r="AD294" s="88">
        <f>全车数据表!AX295</f>
        <v>0</v>
      </c>
      <c r="AE294" s="88">
        <f>全车数据表!AY295</f>
        <v>557</v>
      </c>
      <c r="AF294" s="88" t="str">
        <f>IF(全车数据表!BA295="","",全车数据表!BA295)</f>
        <v>联会赛事</v>
      </c>
      <c r="AG294" s="88" t="str">
        <f>IF(全车数据表!BB295="","",全车数据表!BB295)</f>
        <v/>
      </c>
      <c r="AH294" s="88" t="str">
        <f>IF(全车数据表!BC295="","",全车数据表!BC295)</f>
        <v/>
      </c>
      <c r="AI294" s="88" t="str">
        <f>IF(全车数据表!BD295="","",全车数据表!BD295)</f>
        <v/>
      </c>
      <c r="AJ294" s="88" t="str">
        <f>IF(全车数据表!BE295="","",全车数据表!BE295)</f>
        <v/>
      </c>
      <c r="AK294" s="88" t="str">
        <f>IF(全车数据表!BF295="","",全车数据表!BF295)</f>
        <v/>
      </c>
      <c r="AL294" s="88" t="str">
        <f>IF(全车数据表!BG295="","",全车数据表!BG295)</f>
        <v/>
      </c>
      <c r="AM294" s="88" t="str">
        <f>IF(全车数据表!BH295="","",全车数据表!BH295)</f>
        <v/>
      </c>
      <c r="AN294" s="88" t="str">
        <f>IF(全车数据表!BI295="","",全车数据表!BI295)</f>
        <v/>
      </c>
      <c r="AO294" s="88" t="str">
        <f>IF(全车数据表!BJ295="","",全车数据表!BJ295)</f>
        <v/>
      </c>
      <c r="AP294" s="88" t="str">
        <f>IF(全车数据表!BK295="","",全车数据表!BK295)</f>
        <v/>
      </c>
      <c r="AQ294" s="88" t="str">
        <f>IF(全车数据表!BL295="","",全车数据表!BL295)</f>
        <v/>
      </c>
      <c r="AR294" s="88" t="str">
        <f>IF(全车数据表!BM295="","",全车数据表!BM295)</f>
        <v/>
      </c>
      <c r="AS294" s="88">
        <f>IF(全车数据表!BN295="","",全车数据表!BN295)</f>
        <v>1</v>
      </c>
      <c r="AT294" s="88">
        <f>IF(全车数据表!BO295="","",全车数据表!BO295)</f>
        <v>1</v>
      </c>
      <c r="AU294" s="88">
        <f>IF(全车数据表!BP295="","",全车数据表!BP295)</f>
        <v>1</v>
      </c>
      <c r="AV294" s="88" t="str">
        <f>IF(全车数据表!BQ295="","",全车数据表!BQ295)</f>
        <v>1款</v>
      </c>
      <c r="AW294" s="88" t="str">
        <f>IF(全车数据表!BR295="","",全车数据表!BR295)</f>
        <v/>
      </c>
      <c r="AX294" s="88" t="str">
        <f>IF(全车数据表!BS295="","",全车数据表!BS295)</f>
        <v/>
      </c>
      <c r="AY294" s="88" t="str">
        <f>IF(全车数据表!BT295="","",全车数据表!BT295)</f>
        <v/>
      </c>
      <c r="AZ294" s="88" t="str">
        <f>IF(全车数据表!BU295="","",全车数据表!BU295)</f>
        <v/>
      </c>
      <c r="BA294" s="88" t="str">
        <f>IF(全车数据表!BV295="","",全车数据表!BV295)</f>
        <v>布加迪 白龙</v>
      </c>
      <c r="BB294" s="91" t="str">
        <f>IF(全车数据表!AZ295="","",全车数据表!AZ295)</f>
        <v/>
      </c>
    </row>
    <row r="295" spans="1:54">
      <c r="A295" s="88">
        <f>全车数据表!A296</f>
        <v>294</v>
      </c>
      <c r="B295" s="88" t="str">
        <f>全车数据表!B296</f>
        <v>Lamborghini Sian FKP 37🔑</v>
      </c>
      <c r="C295" s="89" t="str">
        <f>全车数据表!E296</f>
        <v>sian</v>
      </c>
      <c r="D295" s="88" t="str">
        <f>IF(全车数据表!D296="","",全车数据表!D296)</f>
        <v>Lamborghini</v>
      </c>
      <c r="E295" s="89" t="str">
        <f>全车数据表!H296</f>
        <v>2.4</v>
      </c>
      <c r="F295" s="89" t="str">
        <f>全车数据表!C296</f>
        <v>Sian</v>
      </c>
      <c r="G295" s="89" t="str">
        <f>全车数据表!F296</f>
        <v>S</v>
      </c>
      <c r="H295" s="88">
        <f>LEN(全车数据表!G296)</f>
        <v>6</v>
      </c>
      <c r="I295" s="88" t="str">
        <f>VLOOKUP(全车数据表!P296,辅助计算!A:B,2,FALSE)</f>
        <v>epic</v>
      </c>
      <c r="J295" s="88" t="str">
        <f>全车数据表!Q296</f>
        <v>🔑</v>
      </c>
      <c r="K295" s="88">
        <f>全车数据表!R296</f>
        <v>40</v>
      </c>
      <c r="L295" s="88">
        <f>全车数据表!S296</f>
        <v>45</v>
      </c>
      <c r="M295" s="88">
        <f>全车数据表!T296</f>
        <v>60</v>
      </c>
      <c r="N295" s="88">
        <f>全车数据表!U296</f>
        <v>70</v>
      </c>
      <c r="O295" s="88">
        <f>全车数据表!V296</f>
        <v>85</v>
      </c>
      <c r="P295" s="88">
        <f>全车数据表!J296</f>
        <v>4860</v>
      </c>
      <c r="Q295" s="88">
        <f>全车数据表!K296</f>
        <v>374</v>
      </c>
      <c r="R295" s="88">
        <f>全车数据表!L296</f>
        <v>82.06</v>
      </c>
      <c r="S295" s="88">
        <f>全车数据表!M296</f>
        <v>92.32</v>
      </c>
      <c r="T295" s="88">
        <f>全车数据表!N296</f>
        <v>81.150000000000006</v>
      </c>
      <c r="U295" s="88">
        <f>全车数据表!O296</f>
        <v>9.36</v>
      </c>
      <c r="V295" s="88">
        <f>全车数据表!AL296</f>
        <v>24997400</v>
      </c>
      <c r="W295" s="88">
        <f>全车数据表!AM296</f>
        <v>100000</v>
      </c>
      <c r="X295" s="88">
        <f>全车数据表!AU296</f>
        <v>16400000</v>
      </c>
      <c r="Y295" s="88">
        <f>全车数据表!AV296</f>
        <v>41397400</v>
      </c>
      <c r="Z295" s="88">
        <f>全车数据表!AN296</f>
        <v>7</v>
      </c>
      <c r="AA295" s="88">
        <f>全车数据表!AP296</f>
        <v>5</v>
      </c>
      <c r="AB295" s="88">
        <f>全车数据表!AR296</f>
        <v>4</v>
      </c>
      <c r="AC295" s="88">
        <f>全车数据表!AW296</f>
        <v>389</v>
      </c>
      <c r="AD295" s="88">
        <f>全车数据表!AX296</f>
        <v>399</v>
      </c>
      <c r="AE295" s="88">
        <f>全车数据表!AY296</f>
        <v>534</v>
      </c>
      <c r="AF295" s="88" t="str">
        <f>IF(全车数据表!BA296="","",全车数据表!BA296)</f>
        <v>惊艳亮相</v>
      </c>
      <c r="AG295" s="88" t="str">
        <f>IF(全车数据表!BB296="","",全车数据表!BB296)</f>
        <v/>
      </c>
      <c r="AH295" s="88" t="str">
        <f>IF(全车数据表!BC296="","",全车数据表!BC296)</f>
        <v/>
      </c>
      <c r="AI295" s="88" t="str">
        <f>IF(全车数据表!BD296="","",全车数据表!BD296)</f>
        <v/>
      </c>
      <c r="AJ295" s="88" t="str">
        <f>IF(全车数据表!BE296="","",全车数据表!BE296)</f>
        <v/>
      </c>
      <c r="AK295" s="88" t="str">
        <f>IF(全车数据表!BF296="","",全车数据表!BF296)</f>
        <v/>
      </c>
      <c r="AL295" s="88" t="str">
        <f>IF(全车数据表!BG296="","",全车数据表!BG296)</f>
        <v/>
      </c>
      <c r="AM295" s="88" t="str">
        <f>IF(全车数据表!BH296="","",全车数据表!BH296)</f>
        <v/>
      </c>
      <c r="AN295" s="88">
        <f>IF(全车数据表!BI296="","",全车数据表!BI296)</f>
        <v>1</v>
      </c>
      <c r="AO295" s="88" t="str">
        <f>IF(全车数据表!BJ296="","",全车数据表!BJ296)</f>
        <v/>
      </c>
      <c r="AP295" s="88" t="str">
        <f>IF(全车数据表!BK296="","",全车数据表!BK296)</f>
        <v/>
      </c>
      <c r="AQ295" s="88" t="str">
        <f>IF(全车数据表!BL296="","",全车数据表!BL296)</f>
        <v/>
      </c>
      <c r="AR295" s="88" t="str">
        <f>IF(全车数据表!BM296="","",全车数据表!BM296)</f>
        <v/>
      </c>
      <c r="AS295" s="88" t="str">
        <f>IF(全车数据表!BN296="","",全车数据表!BN296)</f>
        <v/>
      </c>
      <c r="AT295" s="88">
        <f>IF(全车数据表!BO296="","",全车数据表!BO296)</f>
        <v>1</v>
      </c>
      <c r="AU295" s="88">
        <f>IF(全车数据表!BP296="","",全车数据表!BP296)</f>
        <v>1</v>
      </c>
      <c r="AV295" s="88" t="str">
        <f>IF(全车数据表!BQ296="","",全车数据表!BQ296)</f>
        <v>2款</v>
      </c>
      <c r="AW295" s="88" t="str">
        <f>IF(全车数据表!BR296="","",全车数据表!BR296)</f>
        <v/>
      </c>
      <c r="AX295" s="88" t="str">
        <f>IF(全车数据表!BS296="","",全车数据表!BS296)</f>
        <v/>
      </c>
      <c r="AY295" s="88">
        <f>IF(全车数据表!BT296="","",全车数据表!BT296)</f>
        <v>1</v>
      </c>
      <c r="AZ295" s="88" t="str">
        <f>IF(全车数据表!BU296="","",全车数据表!BU296)</f>
        <v/>
      </c>
      <c r="BA295" s="88" t="str">
        <f>IF(全车数据表!BV296="","",全车数据表!BV296)</f>
        <v>兰博基尼 西安</v>
      </c>
      <c r="BB295" s="91" t="str">
        <f>IF(全车数据表!AZ296="","",全车数据表!AZ296)</f>
        <v/>
      </c>
    </row>
    <row r="296" spans="1:54">
      <c r="A296" s="88">
        <f>全车数据表!A297</f>
        <v>295</v>
      </c>
      <c r="B296" s="88" t="str">
        <f>全车数据表!B297</f>
        <v>Aspark Owl</v>
      </c>
      <c r="C296" s="89" t="str">
        <f>全车数据表!E297</f>
        <v>owl</v>
      </c>
      <c r="D296" s="88" t="str">
        <f>IF(全车数据表!D297="","",全车数据表!D297)</f>
        <v>Aspark</v>
      </c>
      <c r="E296" s="89" t="str">
        <f>全车数据表!H297</f>
        <v>2.8</v>
      </c>
      <c r="F296" s="89" t="str">
        <f>全车数据表!C297</f>
        <v>猫头鹰</v>
      </c>
      <c r="G296" s="89" t="str">
        <f>全车数据表!F297</f>
        <v>S</v>
      </c>
      <c r="H296" s="88">
        <f>LEN(全车数据表!G297)</f>
        <v>6</v>
      </c>
      <c r="I296" s="88" t="str">
        <f>VLOOKUP(全车数据表!P297,辅助计算!A:B,2,FALSE)</f>
        <v>epic</v>
      </c>
      <c r="J296" s="88">
        <f>全车数据表!Q297</f>
        <v>85</v>
      </c>
      <c r="K296" s="88">
        <f>全车数据表!R297</f>
        <v>25</v>
      </c>
      <c r="L296" s="88">
        <f>全车数据表!S297</f>
        <v>29</v>
      </c>
      <c r="M296" s="88">
        <f>全车数据表!T297</f>
        <v>38</v>
      </c>
      <c r="N296" s="88">
        <f>全车数据表!U297</f>
        <v>54</v>
      </c>
      <c r="O296" s="88">
        <f>全车数据表!V297</f>
        <v>69</v>
      </c>
      <c r="P296" s="88">
        <f>全车数据表!J297</f>
        <v>4861</v>
      </c>
      <c r="Q296" s="88">
        <f>全车数据表!K297</f>
        <v>414.8</v>
      </c>
      <c r="R296" s="88">
        <f>全车数据表!L297</f>
        <v>89.34</v>
      </c>
      <c r="S296" s="88">
        <f>全车数据表!M297</f>
        <v>51.72</v>
      </c>
      <c r="T296" s="88">
        <f>全车数据表!N297</f>
        <v>51.29</v>
      </c>
      <c r="U296" s="88">
        <f>全车数据表!O297</f>
        <v>0</v>
      </c>
      <c r="V296" s="88">
        <f>全车数据表!AL297</f>
        <v>24997400</v>
      </c>
      <c r="W296" s="88">
        <f>全车数据表!AM297</f>
        <v>100000</v>
      </c>
      <c r="X296" s="88">
        <f>全车数据表!AU297</f>
        <v>16400000</v>
      </c>
      <c r="Y296" s="88">
        <f>全车数据表!AV297</f>
        <v>41397400</v>
      </c>
      <c r="Z296" s="88">
        <f>全车数据表!AN297</f>
        <v>7</v>
      </c>
      <c r="AA296" s="88">
        <f>全车数据表!AP297</f>
        <v>5</v>
      </c>
      <c r="AB296" s="88">
        <f>全车数据表!AR297</f>
        <v>4</v>
      </c>
      <c r="AC296" s="88">
        <f>全车数据表!AW297</f>
        <v>435</v>
      </c>
      <c r="AD296" s="88">
        <f>全车数据表!AX297</f>
        <v>0</v>
      </c>
      <c r="AE296" s="88">
        <f>全车数据表!AY297</f>
        <v>565</v>
      </c>
      <c r="AF296" s="88" t="str">
        <f>IF(全车数据表!BA297="","",全车数据表!BA297)</f>
        <v>特殊赛事</v>
      </c>
      <c r="AG296" s="88" t="str">
        <f>IF(全车数据表!BB297="","",全车数据表!BB297)</f>
        <v/>
      </c>
      <c r="AH296" s="88" t="str">
        <f>IF(全车数据表!BC297="","",全车数据表!BC297)</f>
        <v/>
      </c>
      <c r="AI296" s="88" t="str">
        <f>IF(全车数据表!BD297="","",全车数据表!BD297)</f>
        <v/>
      </c>
      <c r="AJ296" s="88" t="str">
        <f>IF(全车数据表!BE297="","",全车数据表!BE297)</f>
        <v/>
      </c>
      <c r="AK296" s="88" t="str">
        <f>IF(全车数据表!BF297="","",全车数据表!BF297)</f>
        <v/>
      </c>
      <c r="AL296" s="88" t="str">
        <f>IF(全车数据表!BG297="","",全车数据表!BG297)</f>
        <v/>
      </c>
      <c r="AM296" s="88" t="str">
        <f>IF(全车数据表!BH297="","",全车数据表!BH297)</f>
        <v/>
      </c>
      <c r="AN296" s="88" t="str">
        <f>IF(全车数据表!BI297="","",全车数据表!BI297)</f>
        <v/>
      </c>
      <c r="AO296" s="88">
        <f>IF(全车数据表!BJ297="","",全车数据表!BJ297)</f>
        <v>1</v>
      </c>
      <c r="AP296" s="88" t="str">
        <f>IF(全车数据表!BK297="","",全车数据表!BK297)</f>
        <v/>
      </c>
      <c r="AQ296" s="88">
        <f>IF(全车数据表!BL297="","",全车数据表!BL297)</f>
        <v>1</v>
      </c>
      <c r="AR296" s="88" t="str">
        <f>IF(全车数据表!BM297="","",全车数据表!BM297)</f>
        <v/>
      </c>
      <c r="AS296" s="88" t="str">
        <f>IF(全车数据表!BN297="","",全车数据表!BN297)</f>
        <v/>
      </c>
      <c r="AT296" s="88" t="str">
        <f>IF(全车数据表!BO297="","",全车数据表!BO297)</f>
        <v/>
      </c>
      <c r="AU296" s="88">
        <f>IF(全车数据表!BP297="","",全车数据表!BP297)</f>
        <v>1</v>
      </c>
      <c r="AV296" s="88" t="str">
        <f>IF(全车数据表!BQ297="","",全车数据表!BQ297)</f>
        <v/>
      </c>
      <c r="AW296" s="88" t="str">
        <f>IF(全车数据表!BR297="","",全车数据表!BR297)</f>
        <v/>
      </c>
      <c r="AX296" s="88" t="str">
        <f>IF(全车数据表!BS297="","",全车数据表!BS297)</f>
        <v/>
      </c>
      <c r="AY296" s="88">
        <f>IF(全车数据表!BT297="","",全车数据表!BT297)</f>
        <v>1</v>
      </c>
      <c r="AZ296" s="88" t="str">
        <f>IF(全车数据表!BU297="","",全车数据表!BU297)</f>
        <v/>
      </c>
      <c r="BA296" s="88" t="str">
        <f>IF(全车数据表!BV297="","",全车数据表!BV297)</f>
        <v>猫头鹰</v>
      </c>
      <c r="BB296" s="91" t="str">
        <f>IF(全车数据表!AZ297="","",全车数据表!AZ297)</f>
        <v/>
      </c>
    </row>
    <row r="297" spans="1:54">
      <c r="A297" s="88">
        <f>全车数据表!A298</f>
        <v>296</v>
      </c>
      <c r="B297" s="88" t="str">
        <f>全车数据表!B298</f>
        <v>Icona Vulcano Spyder</v>
      </c>
      <c r="C297" s="89" t="str">
        <f>全车数据表!E298</f>
        <v>icona_vulcano_spyder</v>
      </c>
      <c r="D297" s="88" t="str">
        <f>IF(全车数据表!D298="","",全车数据表!D298)</f>
        <v>Icona</v>
      </c>
      <c r="E297" s="89" t="str">
        <f>全车数据表!H298</f>
        <v>5.8</v>
      </c>
      <c r="F297" s="89" t="str">
        <f>全车数据表!C298</f>
        <v>火山 Spyder</v>
      </c>
      <c r="G297" s="89" t="str">
        <f>全车数据表!F298</f>
        <v>S</v>
      </c>
      <c r="H297" s="88">
        <f>LEN(全车数据表!G298)</f>
        <v>6</v>
      </c>
      <c r="I297" s="88" t="str">
        <f>VLOOKUP(全车数据表!P298,辅助计算!A:B,2,FALSE)</f>
        <v>epic</v>
      </c>
      <c r="J297" s="88" t="str">
        <f>全车数据表!Q298</f>
        <v>?</v>
      </c>
      <c r="K297" s="88" t="str">
        <f>全车数据表!R298</f>
        <v>?</v>
      </c>
      <c r="L297" s="88" t="str">
        <f>全车数据表!S298</f>
        <v>?</v>
      </c>
      <c r="M297" s="88" t="str">
        <f>全车数据表!T298</f>
        <v>?</v>
      </c>
      <c r="N297" s="88" t="str">
        <f>全车数据表!U298</f>
        <v>?</v>
      </c>
      <c r="O297" s="88" t="str">
        <f>全车数据表!V298</f>
        <v>?</v>
      </c>
      <c r="P297" s="88">
        <f>全车数据表!J298</f>
        <v>4868</v>
      </c>
      <c r="Q297" s="88">
        <f>全车数据表!K298</f>
        <v>430.7</v>
      </c>
      <c r="R297" s="88">
        <f>全车数据表!L298</f>
        <v>83.6</v>
      </c>
      <c r="S297" s="88">
        <f>全车数据表!M298</f>
        <v>55.64</v>
      </c>
      <c r="T297" s="88">
        <f>全车数据表!N298</f>
        <v>51.99</v>
      </c>
      <c r="U297" s="88">
        <f>全车数据表!O298</f>
        <v>0</v>
      </c>
      <c r="V297" s="88">
        <f>全车数据表!AL298</f>
        <v>0</v>
      </c>
      <c r="W297" s="88">
        <f>全车数据表!AM298</f>
        <v>0</v>
      </c>
      <c r="X297" s="88">
        <f>全车数据表!AU298</f>
        <v>0</v>
      </c>
      <c r="Y297" s="88">
        <f>全车数据表!AV298</f>
        <v>0</v>
      </c>
      <c r="Z297" s="88">
        <f>全车数据表!AN298</f>
        <v>0</v>
      </c>
      <c r="AA297" s="88">
        <f>全车数据表!AP298</f>
        <v>0</v>
      </c>
      <c r="AB297" s="88">
        <f>全车数据表!AR298</f>
        <v>0</v>
      </c>
      <c r="AC297" s="88">
        <f>全车数据表!AW298</f>
        <v>0</v>
      </c>
      <c r="AD297" s="88">
        <f>全车数据表!AX298</f>
        <v>0</v>
      </c>
      <c r="AE297" s="88">
        <f>全车数据表!AY298</f>
        <v>0</v>
      </c>
      <c r="AF297" s="88" t="str">
        <f>IF(全车数据表!BA298="","",全车数据表!BA298)</f>
        <v>特殊赛事</v>
      </c>
      <c r="AG297" s="88" t="str">
        <f>IF(全车数据表!BB298="","",全车数据表!BB298)</f>
        <v/>
      </c>
      <c r="AH297" s="88" t="str">
        <f>IF(全车数据表!BC298="","",全车数据表!BC298)</f>
        <v/>
      </c>
      <c r="AI297" s="88" t="str">
        <f>IF(全车数据表!BD298="","",全车数据表!BD298)</f>
        <v/>
      </c>
      <c r="AJ297" s="88" t="str">
        <f>IF(全车数据表!BE298="","",全车数据表!BE298)</f>
        <v/>
      </c>
      <c r="AK297" s="88" t="str">
        <f>IF(全车数据表!BF298="","",全车数据表!BF298)</f>
        <v/>
      </c>
      <c r="AL297" s="88" t="str">
        <f>IF(全车数据表!BG298="","",全车数据表!BG298)</f>
        <v/>
      </c>
      <c r="AM297" s="88" t="str">
        <f>IF(全车数据表!BH298="","",全车数据表!BH298)</f>
        <v/>
      </c>
      <c r="AN297" s="88" t="str">
        <f>IF(全车数据表!BI298="","",全车数据表!BI298)</f>
        <v/>
      </c>
      <c r="AO297" s="88" t="str">
        <f>IF(全车数据表!BJ298="","",全车数据表!BJ298)</f>
        <v/>
      </c>
      <c r="AP297" s="88" t="str">
        <f>IF(全车数据表!BK298="","",全车数据表!BK298)</f>
        <v/>
      </c>
      <c r="AQ297" s="88" t="str">
        <f>IF(全车数据表!BL298="","",全车数据表!BL298)</f>
        <v/>
      </c>
      <c r="AR297" s="88" t="str">
        <f>IF(全车数据表!BM298="","",全车数据表!BM298)</f>
        <v/>
      </c>
      <c r="AS297" s="88" t="str">
        <f>IF(全车数据表!BN298="","",全车数据表!BN298)</f>
        <v/>
      </c>
      <c r="AT297" s="88" t="str">
        <f>IF(全车数据表!BO298="","",全车数据表!BO298)</f>
        <v/>
      </c>
      <c r="AU297" s="88" t="str">
        <f>IF(全车数据表!BP298="","",全车数据表!BP298)</f>
        <v/>
      </c>
      <c r="AV297" s="88" t="str">
        <f>IF(全车数据表!BQ298="","",全车数据表!BQ298)</f>
        <v/>
      </c>
      <c r="AW297" s="88" t="str">
        <f>IF(全车数据表!BR298="","",全车数据表!BR298)</f>
        <v/>
      </c>
      <c r="AX297" s="88" t="str">
        <f>IF(全车数据表!BS298="","",全车数据表!BS298)</f>
        <v/>
      </c>
      <c r="AY297" s="88" t="str">
        <f>IF(全车数据表!BT298="","",全车数据表!BT298)</f>
        <v/>
      </c>
      <c r="AZ297" s="88" t="str">
        <f>IF(全车数据表!BU298="","",全车数据表!BU298)</f>
        <v/>
      </c>
      <c r="BA297" s="88" t="str">
        <f>IF(全车数据表!BV298="","",全车数据表!BV298)</f>
        <v/>
      </c>
      <c r="BB297" s="91" t="str">
        <f>IF(全车数据表!AZ298="","",全车数据表!AZ298)</f>
        <v/>
      </c>
    </row>
    <row r="298" spans="1:54">
      <c r="A298" s="88">
        <f>全车数据表!A299</f>
        <v>297</v>
      </c>
      <c r="B298" s="88" t="str">
        <f>全车数据表!B299</f>
        <v>Raesr Aglaia🔑</v>
      </c>
      <c r="C298" s="89" t="str">
        <f>全车数据表!E299</f>
        <v>aglaia</v>
      </c>
      <c r="D298" s="88" t="str">
        <f>IF(全车数据表!D299="","",全车数据表!D299)</f>
        <v>Raesr</v>
      </c>
      <c r="E298" s="89" t="str">
        <f>全车数据表!H299</f>
        <v>5.6</v>
      </c>
      <c r="F298" s="89" t="str">
        <f>全车数据表!C299</f>
        <v>Aglaia</v>
      </c>
      <c r="G298" s="89" t="str">
        <f>全车数据表!F299</f>
        <v>S</v>
      </c>
      <c r="H298" s="88">
        <f>LEN(全车数据表!G299)</f>
        <v>6</v>
      </c>
      <c r="I298" s="88" t="str">
        <f>VLOOKUP(全车数据表!P299,辅助计算!A:B,2,FALSE)</f>
        <v>epic</v>
      </c>
      <c r="J298" s="88" t="str">
        <f>全车数据表!Q299</f>
        <v>🔑</v>
      </c>
      <c r="K298" s="88">
        <f>全车数据表!R299</f>
        <v>45</v>
      </c>
      <c r="L298" s="88">
        <f>全车数据表!S299</f>
        <v>56</v>
      </c>
      <c r="M298" s="88">
        <f>全车数据表!T299</f>
        <v>65</v>
      </c>
      <c r="N298" s="88">
        <f>全车数据表!U299</f>
        <v>66</v>
      </c>
      <c r="O298" s="88">
        <f>全车数据表!V299</f>
        <v>68</v>
      </c>
      <c r="P298" s="88">
        <f>全车数据表!J299</f>
        <v>4880</v>
      </c>
      <c r="Q298" s="88">
        <f>全车数据表!K299</f>
        <v>439.3</v>
      </c>
      <c r="R298" s="88">
        <f>全车数据表!L299</f>
        <v>85.88</v>
      </c>
      <c r="S298" s="88">
        <f>全车数据表!M299</f>
        <v>47.8</v>
      </c>
      <c r="T298" s="88">
        <f>全车数据表!N299</f>
        <v>46.08</v>
      </c>
      <c r="U298" s="88">
        <f>全车数据表!O299</f>
        <v>0</v>
      </c>
      <c r="V298" s="88">
        <f>全车数据表!AL299</f>
        <v>0</v>
      </c>
      <c r="W298" s="88">
        <f>全车数据表!AM299</f>
        <v>0</v>
      </c>
      <c r="X298" s="88">
        <f>全车数据表!AU299</f>
        <v>0</v>
      </c>
      <c r="Y298" s="88">
        <f>全车数据表!AV299</f>
        <v>0</v>
      </c>
      <c r="Z298" s="88">
        <f>全车数据表!AN299</f>
        <v>0</v>
      </c>
      <c r="AA298" s="88">
        <f>全车数据表!AP299</f>
        <v>0</v>
      </c>
      <c r="AB298" s="88">
        <f>全车数据表!AR299</f>
        <v>0</v>
      </c>
      <c r="AC298" s="88">
        <f>全车数据表!AW299</f>
        <v>0</v>
      </c>
      <c r="AD298" s="88">
        <f>全车数据表!AX299</f>
        <v>0</v>
      </c>
      <c r="AE298" s="88">
        <f>全车数据表!AY299</f>
        <v>0</v>
      </c>
      <c r="AF298" s="88" t="str">
        <f>IF(全车数据表!BA299="","",全车数据表!BA299)</f>
        <v>狂飙寻宝</v>
      </c>
      <c r="AG298" s="88" t="str">
        <f>IF(全车数据表!BB299="","",全车数据表!BB299)</f>
        <v/>
      </c>
      <c r="AH298" s="88" t="str">
        <f>IF(全车数据表!BC299="","",全车数据表!BC299)</f>
        <v/>
      </c>
      <c r="AI298" s="88" t="str">
        <f>IF(全车数据表!BD299="","",全车数据表!BD299)</f>
        <v/>
      </c>
      <c r="AJ298" s="88" t="str">
        <f>IF(全车数据表!BE299="","",全车数据表!BE299)</f>
        <v/>
      </c>
      <c r="AK298" s="88" t="str">
        <f>IF(全车数据表!BF299="","",全车数据表!BF299)</f>
        <v/>
      </c>
      <c r="AL298" s="88" t="str">
        <f>IF(全车数据表!BG299="","",全车数据表!BG299)</f>
        <v/>
      </c>
      <c r="AM298" s="88" t="str">
        <f>IF(全车数据表!BH299="","",全车数据表!BH299)</f>
        <v/>
      </c>
      <c r="AN298" s="88" t="str">
        <f>IF(全车数据表!BI299="","",全车数据表!BI299)</f>
        <v/>
      </c>
      <c r="AO298" s="88" t="str">
        <f>IF(全车数据表!BJ299="","",全车数据表!BJ299)</f>
        <v/>
      </c>
      <c r="AP298" s="88" t="str">
        <f>IF(全车数据表!BK299="","",全车数据表!BK299)</f>
        <v/>
      </c>
      <c r="AQ298" s="88" t="str">
        <f>IF(全车数据表!BL299="","",全车数据表!BL299)</f>
        <v/>
      </c>
      <c r="AR298" s="88" t="str">
        <f>IF(全车数据表!BM299="","",全车数据表!BM299)</f>
        <v/>
      </c>
      <c r="AS298" s="88" t="str">
        <f>IF(全车数据表!BN299="","",全车数据表!BN299)</f>
        <v/>
      </c>
      <c r="AT298" s="88" t="str">
        <f>IF(全车数据表!BO299="","",全车数据表!BO299)</f>
        <v/>
      </c>
      <c r="AU298" s="88" t="str">
        <f>IF(全车数据表!BP299="","",全车数据表!BP299)</f>
        <v/>
      </c>
      <c r="AV298" s="88" t="str">
        <f>IF(全车数据表!BQ299="","",全车数据表!BQ299)</f>
        <v/>
      </c>
      <c r="AW298" s="88" t="str">
        <f>IF(全车数据表!BR299="","",全车数据表!BR299)</f>
        <v/>
      </c>
      <c r="AX298" s="88" t="str">
        <f>IF(全车数据表!BS299="","",全车数据表!BS299)</f>
        <v/>
      </c>
      <c r="AY298" s="88" t="str">
        <f>IF(全车数据表!BT299="","",全车数据表!BT299)</f>
        <v/>
      </c>
      <c r="AZ298" s="88" t="str">
        <f>IF(全车数据表!BU299="","",全车数据表!BU299)</f>
        <v/>
      </c>
      <c r="BA298" s="88" t="str">
        <f>IF(全车数据表!BV299="","",全车数据表!BV299)</f>
        <v/>
      </c>
      <c r="BB298" s="91" t="str">
        <f>IF(全车数据表!AZ299="","",全车数据表!AZ299)</f>
        <v/>
      </c>
    </row>
    <row r="299" spans="1:54">
      <c r="A299" s="88">
        <f>全车数据表!A300</f>
        <v>298</v>
      </c>
      <c r="B299" s="88" t="str">
        <f>全车数据表!B300</f>
        <v>Rimac Nevera🔑</v>
      </c>
      <c r="C299" s="89" t="str">
        <f>全车数据表!E300</f>
        <v>c2</v>
      </c>
      <c r="D299" s="88" t="str">
        <f>IF(全车数据表!D300="","",全车数据表!D300)</f>
        <v>Rimac</v>
      </c>
      <c r="E299" s="89" t="str">
        <f>全车数据表!H300</f>
        <v>2.1</v>
      </c>
      <c r="F299" s="89" t="str">
        <f>全车数据表!C300</f>
        <v>C2</v>
      </c>
      <c r="G299" s="89" t="str">
        <f>全车数据表!F300</f>
        <v>S</v>
      </c>
      <c r="H299" s="88">
        <f>LEN(全车数据表!G300)</f>
        <v>6</v>
      </c>
      <c r="I299" s="88" t="str">
        <f>VLOOKUP(全车数据表!P300,辅助计算!A:B,2,FALSE)</f>
        <v>epic</v>
      </c>
      <c r="J299" s="88" t="str">
        <f>全车数据表!Q300</f>
        <v>🔑</v>
      </c>
      <c r="K299" s="88">
        <f>全车数据表!R300</f>
        <v>40</v>
      </c>
      <c r="L299" s="88">
        <f>全车数据表!S300</f>
        <v>45</v>
      </c>
      <c r="M299" s="88">
        <f>全车数据表!T300</f>
        <v>60</v>
      </c>
      <c r="N299" s="88">
        <f>全车数据表!U300</f>
        <v>70</v>
      </c>
      <c r="O299" s="88">
        <f>全车数据表!V300</f>
        <v>85</v>
      </c>
      <c r="P299" s="88">
        <f>全车数据表!J300</f>
        <v>4897</v>
      </c>
      <c r="Q299" s="88">
        <f>全车数据表!K300</f>
        <v>421.6</v>
      </c>
      <c r="R299" s="88">
        <f>全车数据表!L300</f>
        <v>87.71</v>
      </c>
      <c r="S299" s="88">
        <f>全车数据表!M300</f>
        <v>51.33</v>
      </c>
      <c r="T299" s="88">
        <f>全车数据表!N300</f>
        <v>56.51</v>
      </c>
      <c r="U299" s="88">
        <f>全车数据表!O300</f>
        <v>5</v>
      </c>
      <c r="V299" s="88">
        <f>全车数据表!AL300</f>
        <v>24997400</v>
      </c>
      <c r="W299" s="88">
        <f>全车数据表!AM300</f>
        <v>100000</v>
      </c>
      <c r="X299" s="88">
        <f>全车数据表!AU300</f>
        <v>16400000</v>
      </c>
      <c r="Y299" s="88">
        <f>全车数据表!AV300</f>
        <v>41397400</v>
      </c>
      <c r="Z299" s="88">
        <f>全车数据表!AN300</f>
        <v>7</v>
      </c>
      <c r="AA299" s="88">
        <f>全车数据表!AP300</f>
        <v>5</v>
      </c>
      <c r="AB299" s="88">
        <f>全车数据表!AR300</f>
        <v>4</v>
      </c>
      <c r="AC299" s="88">
        <f>全车数据表!AW300</f>
        <v>444</v>
      </c>
      <c r="AD299" s="88">
        <f>全车数据表!AX300</f>
        <v>0</v>
      </c>
      <c r="AE299" s="88">
        <f>全车数据表!AY300</f>
        <v>569</v>
      </c>
      <c r="AF299" s="88" t="str">
        <f>IF(全车数据表!BA300="","",全车数据表!BA300)</f>
        <v>联会赛事</v>
      </c>
      <c r="AG299" s="88" t="str">
        <f>IF(全车数据表!BB300="","",全车数据表!BB300)</f>
        <v/>
      </c>
      <c r="AH299" s="88" t="str">
        <f>IF(全车数据表!BC300="","",全车数据表!BC300)</f>
        <v/>
      </c>
      <c r="AI299" s="88" t="str">
        <f>IF(全车数据表!BD300="","",全车数据表!BD300)</f>
        <v/>
      </c>
      <c r="AJ299" s="88" t="str">
        <f>IF(全车数据表!BE300="","",全车数据表!BE300)</f>
        <v/>
      </c>
      <c r="AK299" s="88" t="str">
        <f>IF(全车数据表!BF300="","",全车数据表!BF300)</f>
        <v/>
      </c>
      <c r="AL299" s="88" t="str">
        <f>IF(全车数据表!BG300="","",全车数据表!BG300)</f>
        <v/>
      </c>
      <c r="AM299" s="88" t="str">
        <f>IF(全车数据表!BH300="","",全车数据表!BH300)</f>
        <v/>
      </c>
      <c r="AN299" s="88" t="str">
        <f>IF(全车数据表!BI300="","",全车数据表!BI300)</f>
        <v/>
      </c>
      <c r="AO299" s="88" t="str">
        <f>IF(全车数据表!BJ300="","",全车数据表!BJ300)</f>
        <v/>
      </c>
      <c r="AP299" s="88" t="str">
        <f>IF(全车数据表!BK300="","",全车数据表!BK300)</f>
        <v/>
      </c>
      <c r="AQ299" s="88" t="str">
        <f>IF(全车数据表!BL300="","",全车数据表!BL300)</f>
        <v/>
      </c>
      <c r="AR299" s="88" t="str">
        <f>IF(全车数据表!BM300="","",全车数据表!BM300)</f>
        <v/>
      </c>
      <c r="AS299" s="88">
        <f>IF(全车数据表!BN300="","",全车数据表!BN300)</f>
        <v>1</v>
      </c>
      <c r="AT299" s="88">
        <f>IF(全车数据表!BO300="","",全车数据表!BO300)</f>
        <v>1</v>
      </c>
      <c r="AU299" s="88">
        <f>IF(全车数据表!BP300="","",全车数据表!BP300)</f>
        <v>1</v>
      </c>
      <c r="AV299" s="88" t="str">
        <f>IF(全车数据表!BQ300="","",全车数据表!BQ300)</f>
        <v>4款</v>
      </c>
      <c r="AW299" s="88" t="str">
        <f>IF(全车数据表!BR300="","",全车数据表!BR300)</f>
        <v/>
      </c>
      <c r="AX299" s="88" t="str">
        <f>IF(全车数据表!BS300="","",全车数据表!BS300)</f>
        <v/>
      </c>
      <c r="AY299" s="88">
        <f>IF(全车数据表!BT300="","",全车数据表!BT300)</f>
        <v>1</v>
      </c>
      <c r="AZ299" s="88" t="str">
        <f>IF(全车数据表!BU300="","",全车数据表!BU300)</f>
        <v/>
      </c>
      <c r="BA299" s="88" t="str">
        <f>IF(全车数据表!BV300="","",全车数据表!BV300)</f>
        <v>兔子 c2</v>
      </c>
      <c r="BB299" s="91" t="str">
        <f>IF(全车数据表!AZ300="","",全车数据表!AZ300)</f>
        <v/>
      </c>
    </row>
    <row r="300" spans="1:54">
      <c r="A300" s="88">
        <f>全车数据表!A301</f>
        <v>299</v>
      </c>
      <c r="B300" s="88" t="str">
        <f>全车数据表!B301</f>
        <v>SSC Tuatara</v>
      </c>
      <c r="C300" s="89" t="str">
        <f>全车数据表!E301</f>
        <v>ssc</v>
      </c>
      <c r="D300" s="88" t="str">
        <f>IF(全车数据表!D301="","",全车数据表!D301)</f>
        <v>SSC</v>
      </c>
      <c r="E300" s="89" t="str">
        <f>全车数据表!H301</f>
        <v>2.7</v>
      </c>
      <c r="F300" s="89" t="str">
        <f>全车数据表!C301</f>
        <v>大蜥蜴</v>
      </c>
      <c r="G300" s="89" t="str">
        <f>全车数据表!F301</f>
        <v>S</v>
      </c>
      <c r="H300" s="88">
        <f>LEN(全车数据表!G301)</f>
        <v>6</v>
      </c>
      <c r="I300" s="88" t="str">
        <f>VLOOKUP(全车数据表!P301,辅助计算!A:B,2,FALSE)</f>
        <v>epic</v>
      </c>
      <c r="J300" s="88">
        <f>全车数据表!Q301</f>
        <v>40</v>
      </c>
      <c r="K300" s="88">
        <f>全车数据表!R301</f>
        <v>45</v>
      </c>
      <c r="L300" s="88">
        <f>全车数据表!S301</f>
        <v>55</v>
      </c>
      <c r="M300" s="88">
        <f>全车数据表!T301</f>
        <v>48</v>
      </c>
      <c r="N300" s="88">
        <f>全车数据表!U301</f>
        <v>56</v>
      </c>
      <c r="O300" s="88">
        <f>全车数据表!V301</f>
        <v>56</v>
      </c>
      <c r="P300" s="88">
        <f>全车数据表!J301</f>
        <v>4930</v>
      </c>
      <c r="Q300" s="88">
        <f>全车数据表!K301</f>
        <v>487</v>
      </c>
      <c r="R300" s="88">
        <f>全车数据表!L301</f>
        <v>82.51</v>
      </c>
      <c r="S300" s="88">
        <f>全车数据表!M301</f>
        <v>48.74</v>
      </c>
      <c r="T300" s="88">
        <f>全车数据表!N301</f>
        <v>62.05</v>
      </c>
      <c r="U300" s="88">
        <f>全车数据表!O301</f>
        <v>5.17</v>
      </c>
      <c r="V300" s="88">
        <f>全车数据表!AL301</f>
        <v>0</v>
      </c>
      <c r="W300" s="88">
        <f>全车数据表!AM301</f>
        <v>100000</v>
      </c>
      <c r="X300" s="88">
        <f>全车数据表!AU301</f>
        <v>16400000</v>
      </c>
      <c r="Y300" s="88">
        <f>全车数据表!AV301</f>
        <v>0</v>
      </c>
      <c r="Z300" s="88">
        <f>全车数据表!AN301</f>
        <v>7</v>
      </c>
      <c r="AA300" s="88">
        <f>全车数据表!AP301</f>
        <v>5</v>
      </c>
      <c r="AB300" s="88">
        <f>全车数据表!AR301</f>
        <v>4</v>
      </c>
      <c r="AC300" s="88">
        <f>全车数据表!AW301</f>
        <v>512</v>
      </c>
      <c r="AD300" s="88">
        <f>全车数据表!AX301</f>
        <v>0</v>
      </c>
      <c r="AE300" s="88">
        <f>全车数据表!AY301</f>
        <v>599</v>
      </c>
      <c r="AF300" s="88" t="str">
        <f>IF(全车数据表!BA301="","",全车数据表!BA301)</f>
        <v>多人</v>
      </c>
      <c r="AG300" s="88" t="str">
        <f>IF(全车数据表!BB301="","",全车数据表!BB301)</f>
        <v/>
      </c>
      <c r="AH300" s="88" t="str">
        <f>IF(全车数据表!BC301="","",全车数据表!BC301)</f>
        <v/>
      </c>
      <c r="AI300" s="88" t="str">
        <f>IF(全车数据表!BD301="","",全车数据表!BD301)</f>
        <v/>
      </c>
      <c r="AJ300" s="88" t="str">
        <f>IF(全车数据表!BE301="","",全车数据表!BE301)</f>
        <v/>
      </c>
      <c r="AK300" s="88" t="str">
        <f>IF(全车数据表!BF301="","",全车数据表!BF301)</f>
        <v/>
      </c>
      <c r="AL300" s="88" t="str">
        <f>IF(全车数据表!BG301="","",全车数据表!BG301)</f>
        <v/>
      </c>
      <c r="AM300" s="88" t="str">
        <f>IF(全车数据表!BH301="","",全车数据表!BH301)</f>
        <v/>
      </c>
      <c r="AN300" s="88" t="str">
        <f>IF(全车数据表!BI301="","",全车数据表!BI301)</f>
        <v/>
      </c>
      <c r="AO300" s="88">
        <f>IF(全车数据表!BJ301="","",全车数据表!BJ301)</f>
        <v>1</v>
      </c>
      <c r="AP300" s="88" t="str">
        <f>IF(全车数据表!BK301="","",全车数据表!BK301)</f>
        <v/>
      </c>
      <c r="AQ300" s="88" t="str">
        <f>IF(全车数据表!BL301="","",全车数据表!BL301)</f>
        <v/>
      </c>
      <c r="AR300" s="88" t="str">
        <f>IF(全车数据表!BM301="","",全车数据表!BM301)</f>
        <v/>
      </c>
      <c r="AS300" s="88" t="str">
        <f>IF(全车数据表!BN301="","",全车数据表!BN301)</f>
        <v/>
      </c>
      <c r="AT300" s="88" t="str">
        <f>IF(全车数据表!BO301="","",全车数据表!BO301)</f>
        <v/>
      </c>
      <c r="AU300" s="88">
        <f>IF(全车数据表!BP301="","",全车数据表!BP301)</f>
        <v>1</v>
      </c>
      <c r="AV300" s="88" t="str">
        <f>IF(全车数据表!BQ301="","",全车数据表!BQ301)</f>
        <v>2款</v>
      </c>
      <c r="AW300" s="88" t="str">
        <f>IF(全车数据表!BR301="","",全车数据表!BR301)</f>
        <v/>
      </c>
      <c r="AX300" s="88" t="str">
        <f>IF(全车数据表!BS301="","",全车数据表!BS301)</f>
        <v/>
      </c>
      <c r="AY300" s="88">
        <f>IF(全车数据表!BT301="","",全车数据表!BT301)</f>
        <v>1</v>
      </c>
      <c r="AZ300" s="88" t="str">
        <f>IF(全车数据表!BU301="","",全车数据表!BU301)</f>
        <v/>
      </c>
      <c r="BA300" s="88" t="str">
        <f>IF(全车数据表!BV301="","",全车数据表!BV301)</f>
        <v>大蜥蜴</v>
      </c>
      <c r="BB300" s="91" t="str">
        <f>IF(全车数据表!AZ301="","",全车数据表!AZ301)</f>
        <v/>
      </c>
    </row>
    <row r="301" spans="1:54">
      <c r="A301" s="88">
        <f>全车数据表!A302</f>
        <v>300</v>
      </c>
      <c r="B301" s="88" t="str">
        <f>全车数据表!B302</f>
        <v>Koenigsegg Agera RS</v>
      </c>
      <c r="C301" s="89" t="str">
        <f>全车数据表!E302</f>
        <v>agerars</v>
      </c>
      <c r="D301" s="88" t="str">
        <f>IF(全车数据表!D302="","",全车数据表!D302)</f>
        <v>Koenigsegg</v>
      </c>
      <c r="E301" s="89" t="str">
        <f>全车数据表!H302</f>
        <v>3.8</v>
      </c>
      <c r="F301" s="89" t="str">
        <f>全车数据表!C302</f>
        <v>Agera RS</v>
      </c>
      <c r="G301" s="89" t="str">
        <f>全车数据表!F302</f>
        <v>S</v>
      </c>
      <c r="H301" s="88">
        <f>LEN(全车数据表!G302)</f>
        <v>6</v>
      </c>
      <c r="I301" s="88" t="str">
        <f>VLOOKUP(全车数据表!P302,辅助计算!A:B,2,FALSE)</f>
        <v>epic</v>
      </c>
      <c r="J301" s="88">
        <f>全车数据表!Q302</f>
        <v>85</v>
      </c>
      <c r="K301" s="88">
        <f>全车数据表!R302</f>
        <v>40</v>
      </c>
      <c r="L301" s="88">
        <f>全车数据表!S302</f>
        <v>48</v>
      </c>
      <c r="M301" s="88">
        <f>全车数据表!T302</f>
        <v>50</v>
      </c>
      <c r="N301" s="88">
        <f>全车数据表!U302</f>
        <v>52</v>
      </c>
      <c r="O301" s="88">
        <f>全车数据表!V302</f>
        <v>55</v>
      </c>
      <c r="P301" s="88">
        <f>全车数据表!J302</f>
        <v>4940</v>
      </c>
      <c r="Q301" s="88">
        <f>全车数据表!K302</f>
        <v>484.8</v>
      </c>
      <c r="R301" s="88">
        <f>全车数据表!L302</f>
        <v>79.67</v>
      </c>
      <c r="S301" s="88">
        <f>全车数据表!M302</f>
        <v>60.03</v>
      </c>
      <c r="T301" s="88">
        <f>全车数据表!N302</f>
        <v>58.86</v>
      </c>
      <c r="U301" s="88">
        <f>全车数据表!O302</f>
        <v>4.75</v>
      </c>
      <c r="V301" s="88">
        <f>全车数据表!AL302</f>
        <v>34288000</v>
      </c>
      <c r="W301" s="88">
        <f>全车数据表!AM302</f>
        <v>100000</v>
      </c>
      <c r="X301" s="88">
        <f>全车数据表!AU302</f>
        <v>20000000</v>
      </c>
      <c r="Y301" s="88">
        <f>全车数据表!AV302</f>
        <v>54288000</v>
      </c>
      <c r="Z301" s="88">
        <f>全车数据表!AN302</f>
        <v>8</v>
      </c>
      <c r="AA301" s="88">
        <f>全车数据表!AP302</f>
        <v>6</v>
      </c>
      <c r="AB301" s="88">
        <f>全车数据表!AR302</f>
        <v>5</v>
      </c>
      <c r="AC301" s="88">
        <f>全车数据表!AW302</f>
        <v>510</v>
      </c>
      <c r="AD301" s="88">
        <f>全车数据表!AX302</f>
        <v>0</v>
      </c>
      <c r="AE301" s="88">
        <f>全车数据表!AY302</f>
        <v>598</v>
      </c>
      <c r="AF301" s="88" t="str">
        <f>IF(全车数据表!BA302="","",全车数据表!BA302)</f>
        <v>特殊赛事</v>
      </c>
      <c r="AG301" s="88" t="str">
        <f>IF(全车数据表!BB302="","",全车数据表!BB302)</f>
        <v/>
      </c>
      <c r="AH301" s="88" t="str">
        <f>IF(全车数据表!BC302="","",全车数据表!BC302)</f>
        <v/>
      </c>
      <c r="AI301" s="88" t="str">
        <f>IF(全车数据表!BD302="","",全车数据表!BD302)</f>
        <v/>
      </c>
      <c r="AJ301" s="88" t="str">
        <f>IF(全车数据表!BE302="","",全车数据表!BE302)</f>
        <v/>
      </c>
      <c r="AK301" s="88" t="str">
        <f>IF(全车数据表!BF302="","",全车数据表!BF302)</f>
        <v/>
      </c>
      <c r="AL301" s="88" t="str">
        <f>IF(全车数据表!BG302="","",全车数据表!BG302)</f>
        <v/>
      </c>
      <c r="AM301" s="88" t="str">
        <f>IF(全车数据表!BH302="","",全车数据表!BH302)</f>
        <v/>
      </c>
      <c r="AN301" s="88" t="str">
        <f>IF(全车数据表!BI302="","",全车数据表!BI302)</f>
        <v/>
      </c>
      <c r="AO301" s="88" t="str">
        <f>IF(全车数据表!BJ302="","",全车数据表!BJ302)</f>
        <v/>
      </c>
      <c r="AP301" s="88" t="str">
        <f>IF(全车数据表!BK302="","",全车数据表!BK302)</f>
        <v/>
      </c>
      <c r="AQ301" s="88">
        <f>IF(全车数据表!BL302="","",全车数据表!BL302)</f>
        <v>1</v>
      </c>
      <c r="AR301" s="88" t="str">
        <f>IF(全车数据表!BM302="","",全车数据表!BM302)</f>
        <v/>
      </c>
      <c r="AS301" s="88" t="str">
        <f>IF(全车数据表!BN302="","",全车数据表!BN302)</f>
        <v/>
      </c>
      <c r="AT301" s="88" t="str">
        <f>IF(全车数据表!BO302="","",全车数据表!BO302)</f>
        <v/>
      </c>
      <c r="AU301" s="88" t="str">
        <f>IF(全车数据表!BP302="","",全车数据表!BP302)</f>
        <v/>
      </c>
      <c r="AV301" s="88" t="str">
        <f>IF(全车数据表!BQ302="","",全车数据表!BQ302)</f>
        <v/>
      </c>
      <c r="AW301" s="88" t="str">
        <f>IF(全车数据表!BR302="","",全车数据表!BR302)</f>
        <v/>
      </c>
      <c r="AX301" s="88" t="str">
        <f>IF(全车数据表!BS302="","",全车数据表!BS302)</f>
        <v/>
      </c>
      <c r="AY301" s="88" t="str">
        <f>IF(全车数据表!BT302="","",全车数据表!BT302)</f>
        <v/>
      </c>
      <c r="AZ301" s="88" t="str">
        <f>IF(全车数据表!BU302="","",全车数据表!BU302)</f>
        <v/>
      </c>
      <c r="BA301" s="88" t="str">
        <f>IF(全车数据表!BV302="","",全车数据表!BV302)</f>
        <v>柯尼塞格</v>
      </c>
      <c r="BB301" s="91" t="str">
        <f>IF(全车数据表!AZ302="","",全车数据表!AZ302)</f>
        <v/>
      </c>
    </row>
    <row r="302" spans="1:54">
      <c r="A302" s="88">
        <f>全车数据表!A303</f>
        <v>301</v>
      </c>
      <c r="B302" s="88" t="str">
        <f>全车数据表!B303</f>
        <v>HTT Locus Plethore LC750</v>
      </c>
      <c r="C302" s="89" t="str">
        <f>全车数据表!E303</f>
        <v>htt</v>
      </c>
      <c r="D302" s="88" t="str">
        <f>IF(全车数据表!D303="","",全车数据表!D303)</f>
        <v>HTT</v>
      </c>
      <c r="E302" s="89" t="str">
        <f>全车数据表!H303</f>
        <v>5.2</v>
      </c>
      <c r="F302" s="89" t="str">
        <f>全车数据表!C303</f>
        <v>HTT</v>
      </c>
      <c r="G302" s="89" t="str">
        <f>全车数据表!F303</f>
        <v>S</v>
      </c>
      <c r="H302" s="88">
        <f>LEN(全车数据表!G303)</f>
        <v>6</v>
      </c>
      <c r="I302" s="88" t="str">
        <f>VLOOKUP(全车数据表!P303,辅助计算!A:B,2,FALSE)</f>
        <v>epic</v>
      </c>
      <c r="J302" s="88">
        <f>全车数据表!Q303</f>
        <v>60</v>
      </c>
      <c r="K302" s="88">
        <f>全车数据表!R303</f>
        <v>35</v>
      </c>
      <c r="L302" s="88">
        <f>全车数据表!S303</f>
        <v>40</v>
      </c>
      <c r="M302" s="88">
        <f>全车数据表!T303</f>
        <v>50</v>
      </c>
      <c r="N302" s="88">
        <f>全车数据表!U303</f>
        <v>55</v>
      </c>
      <c r="O302" s="88">
        <f>全车数据表!V303</f>
        <v>60</v>
      </c>
      <c r="P302" s="88">
        <f>全车数据表!J303</f>
        <v>4955</v>
      </c>
      <c r="Q302" s="88">
        <f>全车数据表!K303</f>
        <v>414.5</v>
      </c>
      <c r="R302" s="88">
        <f>全车数据表!L303</f>
        <v>78.040000000000006</v>
      </c>
      <c r="S302" s="88">
        <f>全车数据表!M303</f>
        <v>75.86</v>
      </c>
      <c r="T302" s="88">
        <f>全车数据表!N303</f>
        <v>84.58</v>
      </c>
      <c r="U302" s="88">
        <f>全车数据表!O303</f>
        <v>0</v>
      </c>
      <c r="V302" s="88">
        <f>全车数据表!AL303</f>
        <v>0</v>
      </c>
      <c r="W302" s="88">
        <f>全车数据表!AM303</f>
        <v>0</v>
      </c>
      <c r="X302" s="88">
        <f>全车数据表!AU303</f>
        <v>0</v>
      </c>
      <c r="Y302" s="88">
        <f>全车数据表!AV303</f>
        <v>0</v>
      </c>
      <c r="Z302" s="88">
        <f>全车数据表!AN303</f>
        <v>0</v>
      </c>
      <c r="AA302" s="88">
        <f>全车数据表!AP303</f>
        <v>0</v>
      </c>
      <c r="AB302" s="88">
        <f>全车数据表!AR303</f>
        <v>0</v>
      </c>
      <c r="AC302" s="88">
        <f>全车数据表!AW303</f>
        <v>435</v>
      </c>
      <c r="AD302" s="88">
        <f>全车数据表!AX303</f>
        <v>0</v>
      </c>
      <c r="AE302" s="88">
        <f>全车数据表!AY303</f>
        <v>565</v>
      </c>
      <c r="AF302" s="88" t="str">
        <f>IF(全车数据表!BA303="","",全车数据表!BA303)</f>
        <v>特殊赛事</v>
      </c>
      <c r="AG302" s="88" t="str">
        <f>IF(全车数据表!BB303="","",全车数据表!BB303)</f>
        <v/>
      </c>
      <c r="AH302" s="88" t="str">
        <f>IF(全车数据表!BC303="","",全车数据表!BC303)</f>
        <v/>
      </c>
      <c r="AI302" s="88" t="str">
        <f>IF(全车数据表!BD303="","",全车数据表!BD303)</f>
        <v/>
      </c>
      <c r="AJ302" s="88" t="str">
        <f>IF(全车数据表!BE303="","",全车数据表!BE303)</f>
        <v/>
      </c>
      <c r="AK302" s="88" t="str">
        <f>IF(全车数据表!BF303="","",全车数据表!BF303)</f>
        <v/>
      </c>
      <c r="AL302" s="88" t="str">
        <f>IF(全车数据表!BG303="","",全车数据表!BG303)</f>
        <v/>
      </c>
      <c r="AM302" s="88" t="str">
        <f>IF(全车数据表!BH303="","",全车数据表!BH303)</f>
        <v/>
      </c>
      <c r="AN302" s="88" t="str">
        <f>IF(全车数据表!BI303="","",全车数据表!BI303)</f>
        <v/>
      </c>
      <c r="AO302" s="88" t="str">
        <f>IF(全车数据表!BJ303="","",全车数据表!BJ303)</f>
        <v/>
      </c>
      <c r="AP302" s="88" t="str">
        <f>IF(全车数据表!BK303="","",全车数据表!BK303)</f>
        <v/>
      </c>
      <c r="AQ302" s="88" t="str">
        <f>IF(全车数据表!BL303="","",全车数据表!BL303)</f>
        <v/>
      </c>
      <c r="AR302" s="88" t="str">
        <f>IF(全车数据表!BM303="","",全车数据表!BM303)</f>
        <v/>
      </c>
      <c r="AS302" s="88" t="str">
        <f>IF(全车数据表!BN303="","",全车数据表!BN303)</f>
        <v/>
      </c>
      <c r="AT302" s="88" t="str">
        <f>IF(全车数据表!BO303="","",全车数据表!BO303)</f>
        <v/>
      </c>
      <c r="AU302" s="88" t="str">
        <f>IF(全车数据表!BP303="","",全车数据表!BP303)</f>
        <v/>
      </c>
      <c r="AV302" s="88" t="str">
        <f>IF(全车数据表!BQ303="","",全车数据表!BQ303)</f>
        <v/>
      </c>
      <c r="AW302" s="88" t="str">
        <f>IF(全车数据表!BR303="","",全车数据表!BR303)</f>
        <v/>
      </c>
      <c r="AX302" s="88" t="str">
        <f>IF(全车数据表!BS303="","",全车数据表!BS303)</f>
        <v/>
      </c>
      <c r="AY302" s="88" t="str">
        <f>IF(全车数据表!BT303="","",全车数据表!BT303)</f>
        <v/>
      </c>
      <c r="AZ302" s="88" t="str">
        <f>IF(全车数据表!BU303="","",全车数据表!BU303)</f>
        <v/>
      </c>
      <c r="BA302" s="88" t="str">
        <f>IF(全车数据表!BV303="","",全车数据表!BV303)</f>
        <v>红彤彤</v>
      </c>
      <c r="BB302" s="91" t="str">
        <f>IF(全车数据表!AZ303="","",全车数据表!AZ303)</f>
        <v/>
      </c>
    </row>
    <row r="303" spans="1:54">
      <c r="A303" s="88">
        <f>全车数据表!A304</f>
        <v>302</v>
      </c>
      <c r="B303" s="88" t="str">
        <f>全车数据表!B304</f>
        <v>Hennessey Venom GT</v>
      </c>
      <c r="C303" s="89" t="str">
        <f>全车数据表!E304</f>
        <v>venomgt</v>
      </c>
      <c r="D303" s="88" t="str">
        <f>IF(全车数据表!D304="","",全车数据表!D304)</f>
        <v>Hennessey</v>
      </c>
      <c r="E303" s="89" t="str">
        <f>全车数据表!H304</f>
        <v>5.4</v>
      </c>
      <c r="F303" s="89" t="str">
        <f>全车数据表!C304</f>
        <v>毒液GT</v>
      </c>
      <c r="G303" s="89" t="str">
        <f>全车数据表!F304</f>
        <v>S</v>
      </c>
      <c r="H303" s="88">
        <f>LEN(全车数据表!G304)</f>
        <v>6</v>
      </c>
      <c r="I303" s="88" t="str">
        <f>VLOOKUP(全车数据表!P304,辅助计算!A:B,2,FALSE)</f>
        <v>epic</v>
      </c>
      <c r="J303" s="88" t="str">
        <f>全车数据表!Q304</f>
        <v>🔑</v>
      </c>
      <c r="K303" s="88">
        <f>全车数据表!R304</f>
        <v>38</v>
      </c>
      <c r="L303" s="88">
        <f>全车数据表!S304</f>
        <v>48</v>
      </c>
      <c r="M303" s="88">
        <f>全车数据表!T304</f>
        <v>58</v>
      </c>
      <c r="N303" s="88">
        <f>全车数据表!U304</f>
        <v>68</v>
      </c>
      <c r="O303" s="88">
        <f>全车数据表!V304</f>
        <v>88</v>
      </c>
      <c r="P303" s="88">
        <f>全车数据表!J304</f>
        <v>4963</v>
      </c>
      <c r="Q303" s="88">
        <f>全车数据表!K304</f>
        <v>468.4</v>
      </c>
      <c r="R303" s="88">
        <f>全车数据表!L304</f>
        <v>78.540000000000006</v>
      </c>
      <c r="S303" s="88">
        <f>全车数据表!M304</f>
        <v>47.88</v>
      </c>
      <c r="T303" s="88">
        <f>全车数据表!N304</f>
        <v>46.91</v>
      </c>
      <c r="U303" s="88">
        <f>全车数据表!O304</f>
        <v>0</v>
      </c>
      <c r="V303" s="88">
        <f>全车数据表!AL304</f>
        <v>0</v>
      </c>
      <c r="W303" s="88">
        <f>全车数据表!AM304</f>
        <v>0</v>
      </c>
      <c r="X303" s="88">
        <f>全车数据表!AU304</f>
        <v>0</v>
      </c>
      <c r="Y303" s="88">
        <f>全车数据表!AV304</f>
        <v>0</v>
      </c>
      <c r="Z303" s="88">
        <f>全车数据表!AN304</f>
        <v>0</v>
      </c>
      <c r="AA303" s="88">
        <f>全车数据表!AP304</f>
        <v>0</v>
      </c>
      <c r="AB303" s="88">
        <f>全车数据表!AR304</f>
        <v>0</v>
      </c>
      <c r="AC303" s="88">
        <f>全车数据表!AW304</f>
        <v>0</v>
      </c>
      <c r="AD303" s="88">
        <f>全车数据表!AX304</f>
        <v>0</v>
      </c>
      <c r="AE303" s="88">
        <f>全车数据表!AY304</f>
        <v>0</v>
      </c>
      <c r="AF303" s="88" t="str">
        <f>IF(全车数据表!BA304="","",全车数据表!BA304)</f>
        <v>狂飙寻宝</v>
      </c>
      <c r="AG303" s="88" t="str">
        <f>IF(全车数据表!BB304="","",全车数据表!BB304)</f>
        <v/>
      </c>
      <c r="AH303" s="88" t="str">
        <f>IF(全车数据表!BC304="","",全车数据表!BC304)</f>
        <v/>
      </c>
      <c r="AI303" s="88" t="str">
        <f>IF(全车数据表!BD304="","",全车数据表!BD304)</f>
        <v/>
      </c>
      <c r="AJ303" s="88" t="str">
        <f>IF(全车数据表!BE304="","",全车数据表!BE304)</f>
        <v/>
      </c>
      <c r="AK303" s="88" t="str">
        <f>IF(全车数据表!BF304="","",全车数据表!BF304)</f>
        <v/>
      </c>
      <c r="AL303" s="88" t="str">
        <f>IF(全车数据表!BG304="","",全车数据表!BG304)</f>
        <v/>
      </c>
      <c r="AM303" s="88" t="str">
        <f>IF(全车数据表!BH304="","",全车数据表!BH304)</f>
        <v/>
      </c>
      <c r="AN303" s="88" t="str">
        <f>IF(全车数据表!BI304="","",全车数据表!BI304)</f>
        <v/>
      </c>
      <c r="AO303" s="88" t="str">
        <f>IF(全车数据表!BJ304="","",全车数据表!BJ304)</f>
        <v/>
      </c>
      <c r="AP303" s="88" t="str">
        <f>IF(全车数据表!BK304="","",全车数据表!BK304)</f>
        <v/>
      </c>
      <c r="AQ303" s="88" t="str">
        <f>IF(全车数据表!BL304="","",全车数据表!BL304)</f>
        <v/>
      </c>
      <c r="AR303" s="88" t="str">
        <f>IF(全车数据表!BM304="","",全车数据表!BM304)</f>
        <v/>
      </c>
      <c r="AS303" s="88" t="str">
        <f>IF(全车数据表!BN304="","",全车数据表!BN304)</f>
        <v/>
      </c>
      <c r="AT303" s="88" t="str">
        <f>IF(全车数据表!BO304="","",全车数据表!BO304)</f>
        <v/>
      </c>
      <c r="AU303" s="88" t="str">
        <f>IF(全车数据表!BP304="","",全车数据表!BP304)</f>
        <v/>
      </c>
      <c r="AV303" s="88" t="str">
        <f>IF(全车数据表!BQ304="","",全车数据表!BQ304)</f>
        <v/>
      </c>
      <c r="AW303" s="88" t="str">
        <f>IF(全车数据表!BR304="","",全车数据表!BR304)</f>
        <v/>
      </c>
      <c r="AX303" s="88" t="str">
        <f>IF(全车数据表!BS304="","",全车数据表!BS304)</f>
        <v/>
      </c>
      <c r="AY303" s="88" t="str">
        <f>IF(全车数据表!BT304="","",全车数据表!BT304)</f>
        <v/>
      </c>
      <c r="AZ303" s="88" t="str">
        <f>IF(全车数据表!BU304="","",全车数据表!BU304)</f>
        <v/>
      </c>
      <c r="BA303" s="88" t="str">
        <f>IF(全车数据表!BV304="","",全车数据表!BV304)</f>
        <v/>
      </c>
      <c r="BB303" s="91" t="str">
        <f>IF(全车数据表!AZ304="","",全车数据表!AZ304)</f>
        <v/>
      </c>
    </row>
    <row r="304" spans="1:54">
      <c r="A304" s="88">
        <f>全车数据表!A305</f>
        <v>303</v>
      </c>
      <c r="B304" s="88" t="str">
        <f>全车数据表!B305</f>
        <v>W Motors Lykan Security</v>
      </c>
      <c r="C304" s="89" t="str">
        <f>全车数据表!E305</f>
        <v>lykansecurity</v>
      </c>
      <c r="D304" s="88" t="str">
        <f>IF(全车数据表!D305="","",全车数据表!D305)</f>
        <v>W Motors</v>
      </c>
      <c r="E304" s="89" t="str">
        <f>全车数据表!H305</f>
        <v>3.6</v>
      </c>
      <c r="F304" s="89" t="str">
        <f>全车数据表!C305</f>
        <v>拦路狼</v>
      </c>
      <c r="G304" s="89" t="str">
        <f>全车数据表!F305</f>
        <v>S</v>
      </c>
      <c r="H304" s="88">
        <f>LEN(全车数据表!G305)</f>
        <v>6</v>
      </c>
      <c r="I304" s="88" t="str">
        <f>VLOOKUP(全车数据表!P305,辅助计算!A:B,2,FALSE)</f>
        <v>epic</v>
      </c>
      <c r="J304" s="88" t="str">
        <f>全车数据表!Q305</f>
        <v>🔑</v>
      </c>
      <c r="K304" s="88">
        <f>全车数据表!R305</f>
        <v>38</v>
      </c>
      <c r="L304" s="88" t="str">
        <f>全车数据表!S305</f>
        <v>?</v>
      </c>
      <c r="M304" s="88" t="str">
        <f>全车数据表!T305</f>
        <v>?</v>
      </c>
      <c r="N304" s="88" t="str">
        <f>全车数据表!U305</f>
        <v>?</v>
      </c>
      <c r="O304" s="88" t="str">
        <f>全车数据表!V305</f>
        <v>?</v>
      </c>
      <c r="P304" s="88">
        <f>全车数据表!J305</f>
        <v>4977</v>
      </c>
      <c r="Q304" s="88">
        <f>全车数据表!K305</f>
        <v>445.8</v>
      </c>
      <c r="R304" s="88">
        <f>全车数据表!L305</f>
        <v>86.33</v>
      </c>
      <c r="S304" s="88">
        <f>全车数据表!M305</f>
        <v>61.08</v>
      </c>
      <c r="T304" s="88">
        <f>全车数据表!N305</f>
        <v>29.38</v>
      </c>
      <c r="U304" s="88">
        <f>全车数据表!O305</f>
        <v>0</v>
      </c>
      <c r="V304" s="88">
        <f>全车数据表!AL305</f>
        <v>0</v>
      </c>
      <c r="W304" s="88">
        <f>全车数据表!AM305</f>
        <v>0</v>
      </c>
      <c r="X304" s="88">
        <f>全车数据表!AU305</f>
        <v>0</v>
      </c>
      <c r="Y304" s="88">
        <f>全车数据表!AV305</f>
        <v>0</v>
      </c>
      <c r="Z304" s="88">
        <f>全车数据表!AN305</f>
        <v>0</v>
      </c>
      <c r="AA304" s="88">
        <f>全车数据表!AP305</f>
        <v>0</v>
      </c>
      <c r="AB304" s="88">
        <f>全车数据表!AR305</f>
        <v>0</v>
      </c>
      <c r="AC304" s="88">
        <f>全车数据表!AW305</f>
        <v>0</v>
      </c>
      <c r="AD304" s="88">
        <f>全车数据表!AX305</f>
        <v>0</v>
      </c>
      <c r="AE304" s="88">
        <f>全车数据表!AY305</f>
        <v>581</v>
      </c>
      <c r="AF304" s="88" t="str">
        <f>IF(全车数据表!BA305="","",全车数据表!BA305)</f>
        <v>联会赛事</v>
      </c>
      <c r="AG304" s="88" t="str">
        <f>IF(全车数据表!BB305="","",全车数据表!BB305)</f>
        <v/>
      </c>
      <c r="AH304" s="88" t="str">
        <f>IF(全车数据表!BC305="","",全车数据表!BC305)</f>
        <v/>
      </c>
      <c r="AI304" s="88" t="str">
        <f>IF(全车数据表!BD305="","",全车数据表!BD305)</f>
        <v/>
      </c>
      <c r="AJ304" s="88" t="str">
        <f>IF(全车数据表!BE305="","",全车数据表!BE305)</f>
        <v/>
      </c>
      <c r="AK304" s="88" t="str">
        <f>IF(全车数据表!BF305="","",全车数据表!BF305)</f>
        <v/>
      </c>
      <c r="AL304" s="88" t="str">
        <f>IF(全车数据表!BG305="","",全车数据表!BG305)</f>
        <v/>
      </c>
      <c r="AM304" s="88" t="str">
        <f>IF(全车数据表!BH305="","",全车数据表!BH305)</f>
        <v/>
      </c>
      <c r="AN304" s="88" t="str">
        <f>IF(全车数据表!BI305="","",全车数据表!BI305)</f>
        <v/>
      </c>
      <c r="AO304" s="88" t="str">
        <f>IF(全车数据表!BJ305="","",全车数据表!BJ305)</f>
        <v/>
      </c>
      <c r="AP304" s="88" t="str">
        <f>IF(全车数据表!BK305="","",全车数据表!BK305)</f>
        <v/>
      </c>
      <c r="AQ304" s="88" t="str">
        <f>IF(全车数据表!BL305="","",全车数据表!BL305)</f>
        <v/>
      </c>
      <c r="AR304" s="88" t="str">
        <f>IF(全车数据表!BM305="","",全车数据表!BM305)</f>
        <v/>
      </c>
      <c r="AS304" s="88">
        <f>IF(全车数据表!BN305="","",全车数据表!BN305)</f>
        <v>1</v>
      </c>
      <c r="AT304" s="88" t="str">
        <f>IF(全车数据表!BO305="","",全车数据表!BO305)</f>
        <v/>
      </c>
      <c r="AU304" s="88" t="str">
        <f>IF(全车数据表!BP305="","",全车数据表!BP305)</f>
        <v/>
      </c>
      <c r="AV304" s="88" t="str">
        <f>IF(全车数据表!BQ305="","",全车数据表!BQ305)</f>
        <v/>
      </c>
      <c r="AW304" s="88" t="str">
        <f>IF(全车数据表!BR305="","",全车数据表!BR305)</f>
        <v/>
      </c>
      <c r="AX304" s="88" t="str">
        <f>IF(全车数据表!BS305="","",全车数据表!BS305)</f>
        <v/>
      </c>
      <c r="AY304" s="88" t="str">
        <f>IF(全车数据表!BT305="","",全车数据表!BT305)</f>
        <v/>
      </c>
      <c r="AZ304" s="88" t="str">
        <f>IF(全车数据表!BU305="","",全车数据表!BU305)</f>
        <v/>
      </c>
      <c r="BA304" s="88" t="str">
        <f>IF(全车数据表!BV305="","",全车数据表!BV305)</f>
        <v>狼崽</v>
      </c>
      <c r="BB304" s="91" t="str">
        <f>IF(全车数据表!AZ305="","",全车数据表!AZ305)</f>
        <v/>
      </c>
    </row>
    <row r="305" spans="1:54">
      <c r="A305" s="88">
        <f>全车数据表!A306</f>
        <v>304</v>
      </c>
      <c r="B305" s="88" t="str">
        <f>全车数据表!B306</f>
        <v>Koenigsegg CCXR🔑</v>
      </c>
      <c r="C305" s="89" t="str">
        <f>全车数据表!E306</f>
        <v>ccxr</v>
      </c>
      <c r="D305" s="88" t="str">
        <f>IF(全车数据表!D306="","",全车数据表!D306)</f>
        <v>Koenigsegg</v>
      </c>
      <c r="E305" s="89" t="str">
        <f>全车数据表!H306</f>
        <v>4.1</v>
      </c>
      <c r="F305" s="89" t="str">
        <f>全车数据表!C306</f>
        <v>CCXR</v>
      </c>
      <c r="G305" s="89" t="str">
        <f>全车数据表!F306</f>
        <v>S</v>
      </c>
      <c r="H305" s="88">
        <f>LEN(全车数据表!G306)</f>
        <v>6</v>
      </c>
      <c r="I305" s="88" t="str">
        <f>VLOOKUP(全车数据表!P306,辅助计算!A:B,2,FALSE)</f>
        <v>epic</v>
      </c>
      <c r="J305" s="88" t="str">
        <f>全车数据表!Q306</f>
        <v>🔑</v>
      </c>
      <c r="K305" s="88">
        <f>全车数据表!R306</f>
        <v>45</v>
      </c>
      <c r="L305" s="88">
        <f>全车数据表!S306</f>
        <v>56</v>
      </c>
      <c r="M305" s="88">
        <f>全车数据表!T306</f>
        <v>65</v>
      </c>
      <c r="N305" s="88">
        <f>全车数据表!U306</f>
        <v>66</v>
      </c>
      <c r="O305" s="88">
        <f>全车数据表!V306</f>
        <v>68</v>
      </c>
      <c r="P305" s="88">
        <f>全车数据表!J306</f>
        <v>4998</v>
      </c>
      <c r="Q305" s="88">
        <f>全车数据表!K306</f>
        <v>412.2</v>
      </c>
      <c r="R305" s="88">
        <f>全车数据表!L306</f>
        <v>79.400000000000006</v>
      </c>
      <c r="S305" s="88">
        <f>全车数据表!M306</f>
        <v>79.09</v>
      </c>
      <c r="T305" s="88">
        <f>全车数据表!N306</f>
        <v>71.510000000000005</v>
      </c>
      <c r="U305" s="88">
        <f>全车数据表!O306</f>
        <v>0</v>
      </c>
      <c r="V305" s="88">
        <f>全车数据表!AL306</f>
        <v>0</v>
      </c>
      <c r="W305" s="88">
        <f>全车数据表!AM306</f>
        <v>100000</v>
      </c>
      <c r="X305" s="88">
        <f>全车数据表!AU306</f>
        <v>0</v>
      </c>
      <c r="Y305" s="88">
        <f>全车数据表!AV306</f>
        <v>0</v>
      </c>
      <c r="Z305" s="88">
        <f>全车数据表!AN306</f>
        <v>7</v>
      </c>
      <c r="AA305" s="88">
        <f>全车数据表!AP306</f>
        <v>5</v>
      </c>
      <c r="AB305" s="88">
        <f>全车数据表!AR306</f>
        <v>4</v>
      </c>
      <c r="AC305" s="88">
        <f>全车数据表!AW306</f>
        <v>432</v>
      </c>
      <c r="AD305" s="88">
        <f>全车数据表!AX306</f>
        <v>0</v>
      </c>
      <c r="AE305" s="88">
        <f>全车数据表!AY306</f>
        <v>563</v>
      </c>
      <c r="AF305" s="88" t="str">
        <f>IF(全车数据表!BA306="","",全车数据表!BA306)</f>
        <v>特殊赛事</v>
      </c>
      <c r="AG305" s="88" t="str">
        <f>IF(全车数据表!BB306="","",全车数据表!BB306)</f>
        <v/>
      </c>
      <c r="AH305" s="88" t="str">
        <f>IF(全车数据表!BC306="","",全车数据表!BC306)</f>
        <v/>
      </c>
      <c r="AI305" s="88" t="str">
        <f>IF(全车数据表!BD306="","",全车数据表!BD306)</f>
        <v/>
      </c>
      <c r="AJ305" s="88" t="str">
        <f>IF(全车数据表!BE306="","",全车数据表!BE306)</f>
        <v/>
      </c>
      <c r="AK305" s="88" t="str">
        <f>IF(全车数据表!BF306="","",全车数据表!BF306)</f>
        <v/>
      </c>
      <c r="AL305" s="88" t="str">
        <f>IF(全车数据表!BG306="","",全车数据表!BG306)</f>
        <v/>
      </c>
      <c r="AM305" s="88" t="str">
        <f>IF(全车数据表!BH306="","",全车数据表!BH306)</f>
        <v/>
      </c>
      <c r="AN305" s="88" t="str">
        <f>IF(全车数据表!BI306="","",全车数据表!BI306)</f>
        <v/>
      </c>
      <c r="AO305" s="88" t="str">
        <f>IF(全车数据表!BJ306="","",全车数据表!BJ306)</f>
        <v/>
      </c>
      <c r="AP305" s="88" t="str">
        <f>IF(全车数据表!BK306="","",全车数据表!BK306)</f>
        <v/>
      </c>
      <c r="AQ305" s="88">
        <f>IF(全车数据表!BL306="","",全车数据表!BL306)</f>
        <v>1</v>
      </c>
      <c r="AR305" s="88" t="str">
        <f>IF(全车数据表!BM306="","",全车数据表!BM306)</f>
        <v/>
      </c>
      <c r="AS305" s="88" t="str">
        <f>IF(全车数据表!BN306="","",全车数据表!BN306)</f>
        <v/>
      </c>
      <c r="AT305" s="88">
        <f>IF(全车数据表!BO306="","",全车数据表!BO306)</f>
        <v>1</v>
      </c>
      <c r="AU305" s="88" t="str">
        <f>IF(全车数据表!BP306="","",全车数据表!BP306)</f>
        <v/>
      </c>
      <c r="AV305" s="88" t="str">
        <f>IF(全车数据表!BQ306="","",全车数据表!BQ306)</f>
        <v/>
      </c>
      <c r="AW305" s="88" t="str">
        <f>IF(全车数据表!BR306="","",全车数据表!BR306)</f>
        <v/>
      </c>
      <c r="AX305" s="88" t="str">
        <f>IF(全车数据表!BS306="","",全车数据表!BS306)</f>
        <v/>
      </c>
      <c r="AY305" s="88" t="str">
        <f>IF(全车数据表!BT306="","",全车数据表!BT306)</f>
        <v/>
      </c>
      <c r="AZ305" s="88" t="str">
        <f>IF(全车数据表!BU306="","",全车数据表!BU306)</f>
        <v/>
      </c>
      <c r="BA305" s="88" t="str">
        <f>IF(全车数据表!BV306="","",全车数据表!BV306)</f>
        <v>柯尼塞格</v>
      </c>
      <c r="BB305" s="91" t="str">
        <f>IF(全车数据表!AZ306="","",全车数据表!AZ306)</f>
        <v/>
      </c>
    </row>
    <row r="306" spans="1:54">
      <c r="A306" s="88">
        <f>全车数据表!A307</f>
        <v>305</v>
      </c>
      <c r="B306" s="88" t="str">
        <f>全车数据表!B307</f>
        <v>Tushek Aeon E</v>
      </c>
      <c r="C306" s="89" t="str">
        <f>全车数据表!E307</f>
        <v>tushek_aeon_e</v>
      </c>
      <c r="D306" s="88" t="str">
        <f>IF(全车数据表!D307="","",全车数据表!D307)</f>
        <v>Tushek</v>
      </c>
      <c r="E306" s="89" t="str">
        <f>全车数据表!H307</f>
        <v>5.8</v>
      </c>
      <c r="F306" s="89" t="str">
        <f>全车数据表!C307</f>
        <v>Aeon E</v>
      </c>
      <c r="G306" s="89" t="str">
        <f>全车数据表!F307</f>
        <v>S</v>
      </c>
      <c r="H306" s="88">
        <f>LEN(全车数据表!G307)</f>
        <v>6</v>
      </c>
      <c r="I306" s="88" t="str">
        <f>VLOOKUP(全车数据表!P307,辅助计算!A:B,2,FALSE)</f>
        <v>epic</v>
      </c>
      <c r="J306" s="88" t="str">
        <f>全车数据表!Q307</f>
        <v>🔑</v>
      </c>
      <c r="K306" s="88" t="str">
        <f>全车数据表!R307</f>
        <v>?</v>
      </c>
      <c r="L306" s="88" t="str">
        <f>全车数据表!S307</f>
        <v>?</v>
      </c>
      <c r="M306" s="88" t="str">
        <f>全车数据表!T307</f>
        <v>?</v>
      </c>
      <c r="N306" s="88" t="str">
        <f>全车数据表!U307</f>
        <v>?</v>
      </c>
      <c r="O306" s="88" t="str">
        <f>全车数据表!V307</f>
        <v>?</v>
      </c>
      <c r="P306" s="88">
        <f>全车数据表!J307</f>
        <v>5025</v>
      </c>
      <c r="Q306" s="88">
        <f>全车数据表!K307</f>
        <v>491.5</v>
      </c>
      <c r="R306" s="88">
        <f>全车数据表!L307</f>
        <v>86.23</v>
      </c>
      <c r="S306" s="88">
        <f>全车数据表!M307</f>
        <v>46.43</v>
      </c>
      <c r="T306" s="88">
        <f>全车数据表!N307</f>
        <v>35.369999999999997</v>
      </c>
      <c r="U306" s="88">
        <f>全车数据表!O307</f>
        <v>0</v>
      </c>
      <c r="V306" s="88">
        <f>全车数据表!AL307</f>
        <v>0</v>
      </c>
      <c r="W306" s="88">
        <f>全车数据表!AM307</f>
        <v>0</v>
      </c>
      <c r="X306" s="88">
        <f>全车数据表!AU307</f>
        <v>0</v>
      </c>
      <c r="Y306" s="88">
        <f>全车数据表!AV307</f>
        <v>0</v>
      </c>
      <c r="Z306" s="88">
        <f>全车数据表!AN307</f>
        <v>0</v>
      </c>
      <c r="AA306" s="88">
        <f>全车数据表!AP307</f>
        <v>0</v>
      </c>
      <c r="AB306" s="88">
        <f>全车数据表!AR307</f>
        <v>0</v>
      </c>
      <c r="AC306" s="88">
        <f>全车数据表!AW307</f>
        <v>0</v>
      </c>
      <c r="AD306" s="88">
        <f>全车数据表!AX307</f>
        <v>0</v>
      </c>
      <c r="AE306" s="88">
        <f>全车数据表!AY307</f>
        <v>0</v>
      </c>
      <c r="AF306" s="88" t="str">
        <f>IF(全车数据表!BA307="","",全车数据表!BA307)</f>
        <v>狂飙寻宝</v>
      </c>
      <c r="AG306" s="88" t="str">
        <f>IF(全车数据表!BB307="","",全车数据表!BB307)</f>
        <v/>
      </c>
      <c r="AH306" s="88" t="str">
        <f>IF(全车数据表!BC307="","",全车数据表!BC307)</f>
        <v/>
      </c>
      <c r="AI306" s="88" t="str">
        <f>IF(全车数据表!BD307="","",全车数据表!BD307)</f>
        <v/>
      </c>
      <c r="AJ306" s="88" t="str">
        <f>IF(全车数据表!BE307="","",全车数据表!BE307)</f>
        <v/>
      </c>
      <c r="AK306" s="88" t="str">
        <f>IF(全车数据表!BF307="","",全车数据表!BF307)</f>
        <v/>
      </c>
      <c r="AL306" s="88" t="str">
        <f>IF(全车数据表!BG307="","",全车数据表!BG307)</f>
        <v/>
      </c>
      <c r="AM306" s="88" t="str">
        <f>IF(全车数据表!BH307="","",全车数据表!BH307)</f>
        <v/>
      </c>
      <c r="AN306" s="88" t="str">
        <f>IF(全车数据表!BI307="","",全车数据表!BI307)</f>
        <v/>
      </c>
      <c r="AO306" s="88" t="str">
        <f>IF(全车数据表!BJ307="","",全车数据表!BJ307)</f>
        <v/>
      </c>
      <c r="AP306" s="88" t="str">
        <f>IF(全车数据表!BK307="","",全车数据表!BK307)</f>
        <v/>
      </c>
      <c r="AQ306" s="88" t="str">
        <f>IF(全车数据表!BL307="","",全车数据表!BL307)</f>
        <v/>
      </c>
      <c r="AR306" s="88" t="str">
        <f>IF(全车数据表!BM307="","",全车数据表!BM307)</f>
        <v/>
      </c>
      <c r="AS306" s="88" t="str">
        <f>IF(全车数据表!BN307="","",全车数据表!BN307)</f>
        <v/>
      </c>
      <c r="AT306" s="88" t="str">
        <f>IF(全车数据表!BO307="","",全车数据表!BO307)</f>
        <v/>
      </c>
      <c r="AU306" s="88" t="str">
        <f>IF(全车数据表!BP307="","",全车数据表!BP307)</f>
        <v/>
      </c>
      <c r="AV306" s="88" t="str">
        <f>IF(全车数据表!BQ307="","",全车数据表!BQ307)</f>
        <v/>
      </c>
      <c r="AW306" s="88" t="str">
        <f>IF(全车数据表!BR307="","",全车数据表!BR307)</f>
        <v/>
      </c>
      <c r="AX306" s="88" t="str">
        <f>IF(全车数据表!BS307="","",全车数据表!BS307)</f>
        <v/>
      </c>
      <c r="AY306" s="88" t="str">
        <f>IF(全车数据表!BT307="","",全车数据表!BT307)</f>
        <v/>
      </c>
      <c r="AZ306" s="88" t="str">
        <f>IF(全车数据表!BU307="","",全车数据表!BU307)</f>
        <v/>
      </c>
      <c r="BA306" s="88" t="str">
        <f>IF(全车数据表!BV307="","",全车数据表!BV307)</f>
        <v/>
      </c>
      <c r="BB306" s="91" t="str">
        <f>IF(全车数据表!AZ307="","",全车数据表!AZ307)</f>
        <v/>
      </c>
    </row>
    <row r="307" spans="1:54">
      <c r="A307" s="88">
        <f>全车数据表!A308</f>
        <v>306</v>
      </c>
      <c r="B307" s="88" t="str">
        <f>全车数据表!B308</f>
        <v>Bugatti LA Voiture Noire🔑</v>
      </c>
      <c r="C307" s="89" t="str">
        <f>全车数据表!E308</f>
        <v>lvn</v>
      </c>
      <c r="D307" s="88" t="str">
        <f>IF(全车数据表!D308="","",全车数据表!D308)</f>
        <v>Bugatti</v>
      </c>
      <c r="E307" s="89" t="str">
        <f>全车数据表!H308</f>
        <v>2.7</v>
      </c>
      <c r="F307" s="89" t="str">
        <f>全车数据表!C308</f>
        <v>黑龙</v>
      </c>
      <c r="G307" s="89" t="str">
        <f>全车数据表!F308</f>
        <v>S</v>
      </c>
      <c r="H307" s="88">
        <f>LEN(全车数据表!G308)</f>
        <v>6</v>
      </c>
      <c r="I307" s="88" t="str">
        <f>VLOOKUP(全车数据表!P308,辅助计算!A:B,2,FALSE)</f>
        <v>epic</v>
      </c>
      <c r="J307" s="88" t="str">
        <f>全车数据表!Q308</f>
        <v>🔑</v>
      </c>
      <c r="K307" s="88">
        <f>全车数据表!R308</f>
        <v>38</v>
      </c>
      <c r="L307" s="88">
        <f>全车数据表!S308</f>
        <v>53</v>
      </c>
      <c r="M307" s="88">
        <f>全车数据表!T308</f>
        <v>58</v>
      </c>
      <c r="N307" s="88">
        <f>全车数据表!U308</f>
        <v>68</v>
      </c>
      <c r="O307" s="88">
        <f>全车数据表!V308</f>
        <v>88</v>
      </c>
      <c r="P307" s="88">
        <f>全车数据表!J308</f>
        <v>5055</v>
      </c>
      <c r="Q307" s="88">
        <f>全车数据表!K308</f>
        <v>443.2</v>
      </c>
      <c r="R307" s="88">
        <f>全车数据表!L308</f>
        <v>84.88</v>
      </c>
      <c r="S307" s="88">
        <f>全车数据表!M308</f>
        <v>54.68</v>
      </c>
      <c r="T307" s="88">
        <f>全车数据表!N308</f>
        <v>63.8</v>
      </c>
      <c r="U307" s="88">
        <f>全车数据表!O308</f>
        <v>0</v>
      </c>
      <c r="V307" s="88">
        <f>全车数据表!AL308</f>
        <v>35868000</v>
      </c>
      <c r="W307" s="88">
        <f>全车数据表!AM308</f>
        <v>120000</v>
      </c>
      <c r="X307" s="88">
        <f>全车数据表!AU308</f>
        <v>17760000</v>
      </c>
      <c r="Y307" s="88">
        <f>全车数据表!AV308</f>
        <v>53628000</v>
      </c>
      <c r="Z307" s="88">
        <f>全车数据表!AN308</f>
        <v>7</v>
      </c>
      <c r="AA307" s="88">
        <f>全车数据表!AP308</f>
        <v>5</v>
      </c>
      <c r="AB307" s="88">
        <f>全车数据表!AR308</f>
        <v>4</v>
      </c>
      <c r="AC307" s="88">
        <f>全车数据表!AW308</f>
        <v>467</v>
      </c>
      <c r="AD307" s="88">
        <f>全车数据表!AX308</f>
        <v>0</v>
      </c>
      <c r="AE307" s="88">
        <f>全车数据表!AY308</f>
        <v>579</v>
      </c>
      <c r="AF307" s="88" t="str">
        <f>IF(全车数据表!BA308="","",全车数据表!BA308)</f>
        <v>联会赛事</v>
      </c>
      <c r="AG307" s="88" t="str">
        <f>IF(全车数据表!BB308="","",全车数据表!BB308)</f>
        <v/>
      </c>
      <c r="AH307" s="88" t="str">
        <f>IF(全车数据表!BC308="","",全车数据表!BC308)</f>
        <v/>
      </c>
      <c r="AI307" s="88" t="str">
        <f>IF(全车数据表!BD308="","",全车数据表!BD308)</f>
        <v/>
      </c>
      <c r="AJ307" s="88" t="str">
        <f>IF(全车数据表!BE308="","",全车数据表!BE308)</f>
        <v/>
      </c>
      <c r="AK307" s="88" t="str">
        <f>IF(全车数据表!BF308="","",全车数据表!BF308)</f>
        <v/>
      </c>
      <c r="AL307" s="88" t="str">
        <f>IF(全车数据表!BG308="","",全车数据表!BG308)</f>
        <v/>
      </c>
      <c r="AM307" s="88" t="str">
        <f>IF(全车数据表!BH308="","",全车数据表!BH308)</f>
        <v/>
      </c>
      <c r="AN307" s="88" t="str">
        <f>IF(全车数据表!BI308="","",全车数据表!BI308)</f>
        <v/>
      </c>
      <c r="AO307" s="88" t="str">
        <f>IF(全车数据表!BJ308="","",全车数据表!BJ308)</f>
        <v/>
      </c>
      <c r="AP307" s="88" t="str">
        <f>IF(全车数据表!BK308="","",全车数据表!BK308)</f>
        <v/>
      </c>
      <c r="AQ307" s="88" t="str">
        <f>IF(全车数据表!BL308="","",全车数据表!BL308)</f>
        <v/>
      </c>
      <c r="AR307" s="88" t="str">
        <f>IF(全车数据表!BM308="","",全车数据表!BM308)</f>
        <v/>
      </c>
      <c r="AS307" s="88">
        <f>IF(全车数据表!BN308="","",全车数据表!BN308)</f>
        <v>1</v>
      </c>
      <c r="AT307" s="88">
        <f>IF(全车数据表!BO308="","",全车数据表!BO308)</f>
        <v>1</v>
      </c>
      <c r="AU307" s="88">
        <f>IF(全车数据表!BP308="","",全车数据表!BP308)</f>
        <v>1</v>
      </c>
      <c r="AV307" s="88" t="str">
        <f>IF(全车数据表!BQ308="","",全车数据表!BQ308)</f>
        <v>2款</v>
      </c>
      <c r="AW307" s="88" t="str">
        <f>IF(全车数据表!BR308="","",全车数据表!BR308)</f>
        <v/>
      </c>
      <c r="AX307" s="88" t="str">
        <f>IF(全车数据表!BS308="","",全车数据表!BS308)</f>
        <v/>
      </c>
      <c r="AY307" s="88">
        <f>IF(全车数据表!BT308="","",全车数据表!BT308)</f>
        <v>1</v>
      </c>
      <c r="AZ307" s="88" t="str">
        <f>IF(全车数据表!BU308="","",全车数据表!BU308)</f>
        <v/>
      </c>
      <c r="BA307" s="88" t="str">
        <f>IF(全车数据表!BV308="","",全车数据表!BV308)</f>
        <v>布加迪 黑龙 lvn</v>
      </c>
      <c r="BB307" s="91" t="str">
        <f>IF(全车数据表!AZ308="","",全车数据表!AZ308)</f>
        <v/>
      </c>
    </row>
    <row r="308" spans="1:54">
      <c r="A308" s="88">
        <f>全车数据表!A309</f>
        <v>307</v>
      </c>
      <c r="B308" s="88" t="str">
        <f>全车数据表!B309</f>
        <v>Koenigsegg One:1🔑</v>
      </c>
      <c r="C308" s="89" t="str">
        <f>全车数据表!E309</f>
        <v>one1</v>
      </c>
      <c r="D308" s="88" t="str">
        <f>IF(全车数据表!D309="","",全车数据表!D309)</f>
        <v>Koenigsegg</v>
      </c>
      <c r="E308" s="89" t="str">
        <f>全车数据表!H309</f>
        <v>5.6</v>
      </c>
      <c r="F308" s="89" t="str">
        <f>全车数据表!C309</f>
        <v>旺旺</v>
      </c>
      <c r="G308" s="89" t="str">
        <f>全车数据表!F309</f>
        <v>S</v>
      </c>
      <c r="H308" s="88">
        <f>LEN(全车数据表!G309)</f>
        <v>6</v>
      </c>
      <c r="I308" s="88" t="str">
        <f>VLOOKUP(全车数据表!P309,辅助计算!A:B,2,FALSE)</f>
        <v>epic</v>
      </c>
      <c r="J308" s="88" t="str">
        <f>全车数据表!Q309</f>
        <v>🔑</v>
      </c>
      <c r="K308" s="88">
        <f>全车数据表!R309</f>
        <v>45</v>
      </c>
      <c r="L308" s="88">
        <f>全车数据表!S309</f>
        <v>56</v>
      </c>
      <c r="M308" s="88">
        <f>全车数据表!T309</f>
        <v>65</v>
      </c>
      <c r="N308" s="88">
        <f>全车数据表!U309</f>
        <v>66</v>
      </c>
      <c r="O308" s="88">
        <f>全车数据表!V309</f>
        <v>68</v>
      </c>
      <c r="P308" s="88">
        <f>全车数据表!J309</f>
        <v>5076</v>
      </c>
      <c r="Q308" s="88">
        <f>全车数据表!K309</f>
        <v>454.8</v>
      </c>
      <c r="R308" s="88">
        <f>全车数据表!L309</f>
        <v>83.18</v>
      </c>
      <c r="S308" s="88">
        <f>全车数据表!M309</f>
        <v>59.7</v>
      </c>
      <c r="T308" s="88">
        <f>全车数据表!N309</f>
        <v>43.83</v>
      </c>
      <c r="U308" s="88">
        <f>全车数据表!O309</f>
        <v>0</v>
      </c>
      <c r="V308" s="88">
        <f>全车数据表!AL309</f>
        <v>0</v>
      </c>
      <c r="W308" s="88">
        <f>全车数据表!AM309</f>
        <v>0</v>
      </c>
      <c r="X308" s="88">
        <f>全车数据表!AU309</f>
        <v>0</v>
      </c>
      <c r="Y308" s="88">
        <f>全车数据表!AV309</f>
        <v>0</v>
      </c>
      <c r="Z308" s="88">
        <f>全车数据表!AN309</f>
        <v>0</v>
      </c>
      <c r="AA308" s="88">
        <f>全车数据表!AP309</f>
        <v>0</v>
      </c>
      <c r="AB308" s="88">
        <f>全车数据表!AR309</f>
        <v>0</v>
      </c>
      <c r="AC308" s="88">
        <f>全车数据表!AW309</f>
        <v>0</v>
      </c>
      <c r="AD308" s="88">
        <f>全车数据表!AX309</f>
        <v>0</v>
      </c>
      <c r="AE308" s="88">
        <f>全车数据表!AY309</f>
        <v>0</v>
      </c>
      <c r="AF308" s="88" t="str">
        <f>IF(全车数据表!BA309="","",全车数据表!BA309)</f>
        <v>狂飙寻宝</v>
      </c>
      <c r="AG308" s="88" t="str">
        <f>IF(全车数据表!BB309="","",全车数据表!BB309)</f>
        <v/>
      </c>
      <c r="AH308" s="88" t="str">
        <f>IF(全车数据表!BC309="","",全车数据表!BC309)</f>
        <v/>
      </c>
      <c r="AI308" s="88" t="str">
        <f>IF(全车数据表!BD309="","",全车数据表!BD309)</f>
        <v/>
      </c>
      <c r="AJ308" s="88" t="str">
        <f>IF(全车数据表!BE309="","",全车数据表!BE309)</f>
        <v/>
      </c>
      <c r="AK308" s="88" t="str">
        <f>IF(全车数据表!BF309="","",全车数据表!BF309)</f>
        <v/>
      </c>
      <c r="AL308" s="88" t="str">
        <f>IF(全车数据表!BG309="","",全车数据表!BG309)</f>
        <v/>
      </c>
      <c r="AM308" s="88" t="str">
        <f>IF(全车数据表!BH309="","",全车数据表!BH309)</f>
        <v/>
      </c>
      <c r="AN308" s="88" t="str">
        <f>IF(全车数据表!BI309="","",全车数据表!BI309)</f>
        <v/>
      </c>
      <c r="AO308" s="88" t="str">
        <f>IF(全车数据表!BJ309="","",全车数据表!BJ309)</f>
        <v/>
      </c>
      <c r="AP308" s="88" t="str">
        <f>IF(全车数据表!BK309="","",全车数据表!BK309)</f>
        <v/>
      </c>
      <c r="AQ308" s="88" t="str">
        <f>IF(全车数据表!BL309="","",全车数据表!BL309)</f>
        <v/>
      </c>
      <c r="AR308" s="88" t="str">
        <f>IF(全车数据表!BM309="","",全车数据表!BM309)</f>
        <v/>
      </c>
      <c r="AS308" s="88" t="str">
        <f>IF(全车数据表!BN309="","",全车数据表!BN309)</f>
        <v/>
      </c>
      <c r="AT308" s="88" t="str">
        <f>IF(全车数据表!BO309="","",全车数据表!BO309)</f>
        <v/>
      </c>
      <c r="AU308" s="88" t="str">
        <f>IF(全车数据表!BP309="","",全车数据表!BP309)</f>
        <v/>
      </c>
      <c r="AV308" s="88" t="str">
        <f>IF(全车数据表!BQ309="","",全车数据表!BQ309)</f>
        <v/>
      </c>
      <c r="AW308" s="88" t="str">
        <f>IF(全车数据表!BR309="","",全车数据表!BR309)</f>
        <v/>
      </c>
      <c r="AX308" s="88" t="str">
        <f>IF(全车数据表!BS309="","",全车数据表!BS309)</f>
        <v/>
      </c>
      <c r="AY308" s="88" t="str">
        <f>IF(全车数据表!BT309="","",全车数据表!BT309)</f>
        <v/>
      </c>
      <c r="AZ308" s="88" t="str">
        <f>IF(全车数据表!BU309="","",全车数据表!BU309)</f>
        <v/>
      </c>
      <c r="BA308" s="88" t="str">
        <f>IF(全车数据表!BV309="","",全车数据表!BV309)</f>
        <v>一比一 金龙鱼</v>
      </c>
      <c r="BB308" s="91" t="str">
        <f>IF(全车数据表!AZ309="","",全车数据表!AZ309)</f>
        <v/>
      </c>
    </row>
    <row r="309" spans="1:54">
      <c r="A309" s="88">
        <f>全车数据表!A310</f>
        <v>308</v>
      </c>
      <c r="B309" s="88" t="str">
        <f>全车数据表!B310</f>
        <v>Deus Vayanne</v>
      </c>
      <c r="C309" s="89" t="str">
        <f>全车数据表!E310</f>
        <v>vayanne</v>
      </c>
      <c r="D309" s="88" t="str">
        <f>IF(全车数据表!D310="","",全车数据表!D310)</f>
        <v>Deus</v>
      </c>
      <c r="E309" s="89" t="str">
        <f>全车数据表!H310</f>
        <v>4.4</v>
      </c>
      <c r="F309" s="89" t="str">
        <f>全车数据表!C310</f>
        <v>Vayanne</v>
      </c>
      <c r="G309" s="89" t="str">
        <f>全车数据表!F310</f>
        <v>S</v>
      </c>
      <c r="H309" s="88">
        <f>LEN(全车数据表!G310)</f>
        <v>6</v>
      </c>
      <c r="I309" s="88" t="str">
        <f>VLOOKUP(全车数据表!P310,辅助计算!A:B,2,FALSE)</f>
        <v>epic</v>
      </c>
      <c r="J309" s="88">
        <f>全车数据表!Q310</f>
        <v>60</v>
      </c>
      <c r="K309" s="88">
        <f>全车数据表!R310</f>
        <v>35</v>
      </c>
      <c r="L309" s="88">
        <f>全车数据表!S310</f>
        <v>40</v>
      </c>
      <c r="M309" s="88">
        <f>全车数据表!T310</f>
        <v>50</v>
      </c>
      <c r="N309" s="88">
        <f>全车数据表!U310</f>
        <v>55</v>
      </c>
      <c r="O309" s="88">
        <f>全车数据表!V310</f>
        <v>60</v>
      </c>
      <c r="P309" s="88">
        <f>全车数据表!J310</f>
        <v>5082</v>
      </c>
      <c r="Q309" s="88">
        <f>全车数据表!K310</f>
        <v>438.7</v>
      </c>
      <c r="R309" s="88">
        <f>全车数据表!L310</f>
        <v>86.55</v>
      </c>
      <c r="S309" s="88">
        <f>全车数据表!M310</f>
        <v>47.61</v>
      </c>
      <c r="T309" s="88">
        <f>全车数据表!N310</f>
        <v>47.08</v>
      </c>
      <c r="U309" s="88">
        <f>全车数据表!O310</f>
        <v>0</v>
      </c>
      <c r="V309" s="88">
        <f>全车数据表!AL310</f>
        <v>0</v>
      </c>
      <c r="W309" s="88">
        <f>全车数据表!AM310</f>
        <v>0</v>
      </c>
      <c r="X309" s="88">
        <f>全车数据表!AU310</f>
        <v>0</v>
      </c>
      <c r="Y309" s="88">
        <f>全车数据表!AV310</f>
        <v>0</v>
      </c>
      <c r="Z309" s="88">
        <f>全车数据表!AN310</f>
        <v>7</v>
      </c>
      <c r="AA309" s="88">
        <f>全车数据表!AP310</f>
        <v>5</v>
      </c>
      <c r="AB309" s="88">
        <f>全车数据表!AR310</f>
        <v>4</v>
      </c>
      <c r="AC309" s="88">
        <f>全车数据表!AW310</f>
        <v>462</v>
      </c>
      <c r="AD309" s="88">
        <f>全车数据表!AX310</f>
        <v>0</v>
      </c>
      <c r="AE309" s="88">
        <f>全车数据表!AY310</f>
        <v>577</v>
      </c>
      <c r="AF309" s="88" t="str">
        <f>IF(全车数据表!BA310="","",全车数据表!BA310)</f>
        <v>特殊赛事</v>
      </c>
      <c r="AG309" s="88" t="str">
        <f>IF(全车数据表!BB310="","",全车数据表!BB310)</f>
        <v/>
      </c>
      <c r="AH309" s="88" t="str">
        <f>IF(全车数据表!BC310="","",全车数据表!BC310)</f>
        <v/>
      </c>
      <c r="AI309" s="88" t="str">
        <f>IF(全车数据表!BD310="","",全车数据表!BD310)</f>
        <v/>
      </c>
      <c r="AJ309" s="88" t="str">
        <f>IF(全车数据表!BE310="","",全车数据表!BE310)</f>
        <v/>
      </c>
      <c r="AK309" s="88" t="str">
        <f>IF(全车数据表!BF310="","",全车数据表!BF310)</f>
        <v/>
      </c>
      <c r="AL309" s="88" t="str">
        <f>IF(全车数据表!BG310="","",全车数据表!BG310)</f>
        <v/>
      </c>
      <c r="AM309" s="88" t="str">
        <f>IF(全车数据表!BH310="","",全车数据表!BH310)</f>
        <v/>
      </c>
      <c r="AN309" s="88" t="str">
        <f>IF(全车数据表!BI310="","",全车数据表!BI310)</f>
        <v/>
      </c>
      <c r="AO309" s="88" t="str">
        <f>IF(全车数据表!BJ310="","",全车数据表!BJ310)</f>
        <v/>
      </c>
      <c r="AP309" s="88" t="str">
        <f>IF(全车数据表!BK310="","",全车数据表!BK310)</f>
        <v/>
      </c>
      <c r="AQ309" s="88">
        <f>IF(全车数据表!BL310="","",全车数据表!BL310)</f>
        <v>1</v>
      </c>
      <c r="AR309" s="88" t="str">
        <f>IF(全车数据表!BM310="","",全车数据表!BM310)</f>
        <v/>
      </c>
      <c r="AS309" s="88" t="str">
        <f>IF(全车数据表!BN310="","",全车数据表!BN310)</f>
        <v/>
      </c>
      <c r="AT309" s="88" t="str">
        <f>IF(全车数据表!BO310="","",全车数据表!BO310)</f>
        <v/>
      </c>
      <c r="AU309" s="88" t="str">
        <f>IF(全车数据表!BP310="","",全车数据表!BP310)</f>
        <v/>
      </c>
      <c r="AV309" s="88" t="str">
        <f>IF(全车数据表!BQ310="","",全车数据表!BQ310)</f>
        <v/>
      </c>
      <c r="AW309" s="88" t="str">
        <f>IF(全车数据表!BR310="","",全车数据表!BR310)</f>
        <v/>
      </c>
      <c r="AX309" s="88" t="str">
        <f>IF(全车数据表!BS310="","",全车数据表!BS310)</f>
        <v/>
      </c>
      <c r="AY309" s="88" t="str">
        <f>IF(全车数据表!BT310="","",全车数据表!BT310)</f>
        <v/>
      </c>
      <c r="AZ309" s="88" t="str">
        <f>IF(全车数据表!BU310="","",全车数据表!BU310)</f>
        <v/>
      </c>
      <c r="BA309" s="88" t="str">
        <f>IF(全车数据表!BV310="","",全车数据表!BV310)</f>
        <v/>
      </c>
      <c r="BB309" s="91" t="str">
        <f>IF(全车数据表!AZ310="","",全车数据表!AZ310)</f>
        <v/>
      </c>
    </row>
    <row r="310" spans="1:54">
      <c r="A310" s="88">
        <f>全车数据表!A311</f>
        <v>309</v>
      </c>
      <c r="B310" s="88" t="str">
        <f>全车数据表!B311</f>
        <v>Koenigsegg Gemera🔑</v>
      </c>
      <c r="C310" s="89" t="str">
        <f>全车数据表!E311</f>
        <v>gemera</v>
      </c>
      <c r="D310" s="88" t="str">
        <f>IF(全车数据表!D311="","",全车数据表!D311)</f>
        <v>Koenigsegg</v>
      </c>
      <c r="E310" s="89" t="str">
        <f>全车数据表!H311</f>
        <v>3.3</v>
      </c>
      <c r="F310" s="89" t="str">
        <f>全车数据表!C311</f>
        <v>Gemera</v>
      </c>
      <c r="G310" s="89" t="str">
        <f>全车数据表!F311</f>
        <v>S</v>
      </c>
      <c r="H310" s="88">
        <f>LEN(全车数据表!G311)</f>
        <v>6</v>
      </c>
      <c r="I310" s="88" t="str">
        <f>VLOOKUP(全车数据表!P311,辅助计算!A:B,2,FALSE)</f>
        <v>epic</v>
      </c>
      <c r="J310" s="88" t="str">
        <f>全车数据表!Q311</f>
        <v>🔑</v>
      </c>
      <c r="K310" s="88">
        <f>全车数据表!R311</f>
        <v>38</v>
      </c>
      <c r="L310" s="88">
        <f>全车数据表!S311</f>
        <v>48</v>
      </c>
      <c r="M310" s="88">
        <f>全车数据表!T311</f>
        <v>58</v>
      </c>
      <c r="N310" s="88">
        <f>全车数据表!U311</f>
        <v>68</v>
      </c>
      <c r="O310" s="88">
        <f>全车数据表!V311</f>
        <v>88</v>
      </c>
      <c r="P310" s="88">
        <f>全车数据表!J311</f>
        <v>5092</v>
      </c>
      <c r="Q310" s="88">
        <f>全车数据表!K311</f>
        <v>413.1</v>
      </c>
      <c r="R310" s="88">
        <f>全车数据表!L311</f>
        <v>88.58</v>
      </c>
      <c r="S310" s="88">
        <f>全车数据表!M311</f>
        <v>66.06</v>
      </c>
      <c r="T310" s="88">
        <f>全车数据表!N311</f>
        <v>48.36</v>
      </c>
      <c r="U310" s="88">
        <f>全车数据表!O311</f>
        <v>0</v>
      </c>
      <c r="V310" s="88">
        <f>全车数据表!AL311</f>
        <v>35868000</v>
      </c>
      <c r="W310" s="88">
        <f>全车数据表!AM311</f>
        <v>120000</v>
      </c>
      <c r="X310" s="88">
        <f>全车数据表!AU311</f>
        <v>17760000</v>
      </c>
      <c r="Y310" s="88">
        <f>全车数据表!AV311</f>
        <v>53628000</v>
      </c>
      <c r="Z310" s="88">
        <f>全车数据表!AN311</f>
        <v>7</v>
      </c>
      <c r="AA310" s="88">
        <f>全车数据表!AP311</f>
        <v>5</v>
      </c>
      <c r="AB310" s="88">
        <f>全车数据表!AR311</f>
        <v>4</v>
      </c>
      <c r="AC310" s="88">
        <f>全车数据表!AW311</f>
        <v>433</v>
      </c>
      <c r="AD310" s="88">
        <f>全车数据表!AX311</f>
        <v>0</v>
      </c>
      <c r="AE310" s="88">
        <f>全车数据表!AY311</f>
        <v>564</v>
      </c>
      <c r="AF310" s="88" t="str">
        <f>IF(全车数据表!BA311="","",全车数据表!BA311)</f>
        <v>联会赛事</v>
      </c>
      <c r="AG310" s="88" t="str">
        <f>IF(全车数据表!BB311="","",全车数据表!BB311)</f>
        <v/>
      </c>
      <c r="AH310" s="88" t="str">
        <f>IF(全车数据表!BC311="","",全车数据表!BC311)</f>
        <v/>
      </c>
      <c r="AI310" s="88" t="str">
        <f>IF(全车数据表!BD311="","",全车数据表!BD311)</f>
        <v/>
      </c>
      <c r="AJ310" s="88" t="str">
        <f>IF(全车数据表!BE311="","",全车数据表!BE311)</f>
        <v/>
      </c>
      <c r="AK310" s="88" t="str">
        <f>IF(全车数据表!BF311="","",全车数据表!BF311)</f>
        <v/>
      </c>
      <c r="AL310" s="88" t="str">
        <f>IF(全车数据表!BG311="","",全车数据表!BG311)</f>
        <v/>
      </c>
      <c r="AM310" s="88" t="str">
        <f>IF(全车数据表!BH311="","",全车数据表!BH311)</f>
        <v/>
      </c>
      <c r="AN310" s="88" t="str">
        <f>IF(全车数据表!BI311="","",全车数据表!BI311)</f>
        <v/>
      </c>
      <c r="AO310" s="88" t="str">
        <f>IF(全车数据表!BJ311="","",全车数据表!BJ311)</f>
        <v/>
      </c>
      <c r="AP310" s="88" t="str">
        <f>IF(全车数据表!BK311="","",全车数据表!BK311)</f>
        <v/>
      </c>
      <c r="AQ310" s="88" t="str">
        <f>IF(全车数据表!BL311="","",全车数据表!BL311)</f>
        <v/>
      </c>
      <c r="AR310" s="88" t="str">
        <f>IF(全车数据表!BM311="","",全车数据表!BM311)</f>
        <v/>
      </c>
      <c r="AS310" s="88">
        <f>IF(全车数据表!BN311="","",全车数据表!BN311)</f>
        <v>1</v>
      </c>
      <c r="AT310" s="88">
        <f>IF(全车数据表!BO311="","",全车数据表!BO311)</f>
        <v>1</v>
      </c>
      <c r="AU310" s="88">
        <f>IF(全车数据表!BP311="","",全车数据表!BP311)</f>
        <v>1</v>
      </c>
      <c r="AV310" s="88" t="str">
        <f>IF(全车数据表!BQ311="","",全车数据表!BQ311)</f>
        <v>1款</v>
      </c>
      <c r="AW310" s="88" t="str">
        <f>IF(全车数据表!BR311="","",全车数据表!BR311)</f>
        <v/>
      </c>
      <c r="AX310" s="88" t="str">
        <f>IF(全车数据表!BS311="","",全车数据表!BS311)</f>
        <v/>
      </c>
      <c r="AY310" s="88">
        <f>IF(全车数据表!BT311="","",全车数据表!BT311)</f>
        <v>1</v>
      </c>
      <c r="AZ310" s="88" t="str">
        <f>IF(全车数据表!BU311="","",全车数据表!BU311)</f>
        <v/>
      </c>
      <c r="BA310" s="88" t="str">
        <f>IF(全车数据表!BV311="","",全车数据表!BV311)</f>
        <v>杰弟 柯尼塞格</v>
      </c>
      <c r="BB310" s="91" t="str">
        <f>IF(全车数据表!AZ311="","",全车数据表!AZ311)</f>
        <v/>
      </c>
    </row>
    <row r="311" spans="1:54">
      <c r="A311" s="88">
        <f>全车数据表!A312</f>
        <v>310</v>
      </c>
      <c r="B311" s="88" t="str">
        <f>全车数据表!B312</f>
        <v>Bugatti Mistral🔑</v>
      </c>
      <c r="C311" s="89" t="str">
        <f>全车数据表!E312</f>
        <v>mistral</v>
      </c>
      <c r="D311" s="88" t="str">
        <f>IF(全车数据表!D312="","",全车数据表!D312)</f>
        <v>Bugatti</v>
      </c>
      <c r="E311" s="89" t="str">
        <f>全车数据表!H312</f>
        <v>4.6</v>
      </c>
      <c r="F311" s="89" t="str">
        <f>全车数据表!C312</f>
        <v>Mistral</v>
      </c>
      <c r="G311" s="89" t="str">
        <f>全车数据表!F312</f>
        <v>S</v>
      </c>
      <c r="H311" s="88">
        <f>LEN(全车数据表!G312)</f>
        <v>6</v>
      </c>
      <c r="I311" s="88" t="str">
        <f>VLOOKUP(全车数据表!P312,辅助计算!A:B,2,FALSE)</f>
        <v>epic</v>
      </c>
      <c r="J311" s="88" t="str">
        <f>全车数据表!Q312</f>
        <v>🔑</v>
      </c>
      <c r="K311" s="88">
        <f>全车数据表!R312</f>
        <v>38</v>
      </c>
      <c r="L311" s="88">
        <f>全车数据表!S312</f>
        <v>48</v>
      </c>
      <c r="M311" s="88">
        <f>全车数据表!T312</f>
        <v>58</v>
      </c>
      <c r="N311" s="88">
        <f>全车数据表!U312</f>
        <v>68</v>
      </c>
      <c r="O311" s="88">
        <f>全车数据表!V312</f>
        <v>88</v>
      </c>
      <c r="P311" s="88">
        <f>全车数据表!J312</f>
        <v>5096</v>
      </c>
      <c r="Q311" s="88">
        <f>全车数据表!K312</f>
        <v>431.7</v>
      </c>
      <c r="R311" s="88">
        <f>全车数据表!L312</f>
        <v>84.4</v>
      </c>
      <c r="S311" s="88">
        <f>全车数据表!M312</f>
        <v>60.79</v>
      </c>
      <c r="T311" s="88">
        <f>全车数据表!N312</f>
        <v>65.81</v>
      </c>
      <c r="U311" s="88">
        <f>全车数据表!O312</f>
        <v>0</v>
      </c>
      <c r="V311" s="88">
        <f>全车数据表!AL312</f>
        <v>0</v>
      </c>
      <c r="W311" s="88">
        <f>全车数据表!AM312</f>
        <v>0</v>
      </c>
      <c r="X311" s="88">
        <f>全车数据表!AU312</f>
        <v>0</v>
      </c>
      <c r="Y311" s="88">
        <f>全车数据表!AV312</f>
        <v>0</v>
      </c>
      <c r="Z311" s="88">
        <f>全车数据表!AN312</f>
        <v>7</v>
      </c>
      <c r="AA311" s="88">
        <f>全车数据表!AP312</f>
        <v>5</v>
      </c>
      <c r="AB311" s="88">
        <f>全车数据表!AR312</f>
        <v>4</v>
      </c>
      <c r="AC311" s="88">
        <f>全车数据表!AW312</f>
        <v>0</v>
      </c>
      <c r="AD311" s="88">
        <f>全车数据表!AX312</f>
        <v>0</v>
      </c>
      <c r="AE311" s="88">
        <f>全车数据表!AY312</f>
        <v>574</v>
      </c>
      <c r="AF311" s="88" t="str">
        <f>IF(全车数据表!BA312="","",全车数据表!BA312)</f>
        <v>狂飙赏金</v>
      </c>
      <c r="AG311" s="88" t="str">
        <f>IF(全车数据表!BB312="","",全车数据表!BB312)</f>
        <v/>
      </c>
      <c r="AH311" s="88" t="str">
        <f>IF(全车数据表!BC312="","",全车数据表!BC312)</f>
        <v/>
      </c>
      <c r="AI311" s="88" t="str">
        <f>IF(全车数据表!BD312="","",全车数据表!BD312)</f>
        <v/>
      </c>
      <c r="AJ311" s="88" t="str">
        <f>IF(全车数据表!BE312="","",全车数据表!BE312)</f>
        <v/>
      </c>
      <c r="AK311" s="88" t="str">
        <f>IF(全车数据表!BF312="","",全车数据表!BF312)</f>
        <v/>
      </c>
      <c r="AL311" s="88" t="str">
        <f>IF(全车数据表!BG312="","",全车数据表!BG312)</f>
        <v/>
      </c>
      <c r="AM311" s="88" t="str">
        <f>IF(全车数据表!BH312="","",全车数据表!BH312)</f>
        <v/>
      </c>
      <c r="AN311" s="88" t="str">
        <f>IF(全车数据表!BI312="","",全车数据表!BI312)</f>
        <v/>
      </c>
      <c r="AO311" s="88" t="str">
        <f>IF(全车数据表!BJ312="","",全车数据表!BJ312)</f>
        <v/>
      </c>
      <c r="AP311" s="88" t="str">
        <f>IF(全车数据表!BK312="","",全车数据表!BK312)</f>
        <v/>
      </c>
      <c r="AQ311" s="88" t="str">
        <f>IF(全车数据表!BL312="","",全车数据表!BL312)</f>
        <v/>
      </c>
      <c r="AR311" s="88" t="str">
        <f>IF(全车数据表!BM312="","",全车数据表!BM312)</f>
        <v/>
      </c>
      <c r="AS311" s="88" t="str">
        <f>IF(全车数据表!BN312="","",全车数据表!BN312)</f>
        <v/>
      </c>
      <c r="AT311" s="88">
        <f>IF(全车数据表!BO312="","",全车数据表!BO312)</f>
        <v>1</v>
      </c>
      <c r="AU311" s="88" t="str">
        <f>IF(全车数据表!BP312="","",全车数据表!BP312)</f>
        <v/>
      </c>
      <c r="AV311" s="88" t="str">
        <f>IF(全车数据表!BQ312="","",全车数据表!BQ312)</f>
        <v/>
      </c>
      <c r="AW311" s="88" t="str">
        <f>IF(全车数据表!BR312="","",全车数据表!BR312)</f>
        <v/>
      </c>
      <c r="AX311" s="88" t="str">
        <f>IF(全车数据表!BS312="","",全车数据表!BS312)</f>
        <v/>
      </c>
      <c r="AY311" s="88" t="str">
        <f>IF(全车数据表!BT312="","",全车数据表!BT312)</f>
        <v/>
      </c>
      <c r="AZ311" s="88" t="str">
        <f>IF(全车数据表!BU312="","",全车数据表!BU312)</f>
        <v/>
      </c>
      <c r="BA311" s="88" t="str">
        <f>IF(全车数据表!BV312="","",全车数据表!BV312)</f>
        <v>布加迪 风龙</v>
      </c>
      <c r="BB311" s="91" t="str">
        <f>IF(全车数据表!AZ312="","",全车数据表!AZ312)</f>
        <v/>
      </c>
    </row>
    <row r="312" spans="1:54">
      <c r="A312" s="88">
        <f>全车数据表!A313</f>
        <v>311</v>
      </c>
      <c r="B312" s="88" t="str">
        <f>全车数据表!B313</f>
        <v>Zenvo Aurora Tur</v>
      </c>
      <c r="C312" s="89" t="str">
        <f>全车数据表!E313</f>
        <v>tur</v>
      </c>
      <c r="D312" s="88" t="str">
        <f>IF(全车数据表!D313="","",全车数据表!D313)</f>
        <v>Zenvo</v>
      </c>
      <c r="E312" s="89" t="str">
        <f>全车数据表!H313</f>
        <v>4.8</v>
      </c>
      <c r="F312" s="89" t="str">
        <f>全车数据表!C313</f>
        <v>极光</v>
      </c>
      <c r="G312" s="89" t="str">
        <f>全车数据表!F313</f>
        <v>S</v>
      </c>
      <c r="H312" s="88">
        <f>LEN(全车数据表!G313)</f>
        <v>6</v>
      </c>
      <c r="I312" s="88" t="str">
        <f>VLOOKUP(全车数据表!P313,辅助计算!A:B,2,FALSE)</f>
        <v>epic</v>
      </c>
      <c r="J312" s="88">
        <f>全车数据表!Q313</f>
        <v>60</v>
      </c>
      <c r="K312" s="88">
        <f>全车数据表!R313</f>
        <v>35</v>
      </c>
      <c r="L312" s="88">
        <f>全车数据表!S313</f>
        <v>40</v>
      </c>
      <c r="M312" s="88">
        <f>全车数据表!T313</f>
        <v>50</v>
      </c>
      <c r="N312" s="88">
        <f>全车数据表!U313</f>
        <v>55</v>
      </c>
      <c r="O312" s="88">
        <f>全车数据表!V313</f>
        <v>60</v>
      </c>
      <c r="P312" s="88">
        <f>全车数据表!J313</f>
        <v>5100</v>
      </c>
      <c r="Q312" s="88">
        <f>全车数据表!K313</f>
        <v>467.5</v>
      </c>
      <c r="R312" s="88">
        <f>全车数据表!L313</f>
        <v>81.73</v>
      </c>
      <c r="S312" s="88">
        <f>全车数据表!M313</f>
        <v>56.53</v>
      </c>
      <c r="T312" s="88">
        <f>全车数据表!N313</f>
        <v>42.65</v>
      </c>
      <c r="U312" s="88">
        <f>全车数据表!O313</f>
        <v>0</v>
      </c>
      <c r="V312" s="88">
        <f>全车数据表!AL313</f>
        <v>0</v>
      </c>
      <c r="W312" s="88">
        <f>全车数据表!AM313</f>
        <v>180000</v>
      </c>
      <c r="X312" s="88">
        <f>全车数据表!AU313</f>
        <v>0</v>
      </c>
      <c r="Y312" s="88">
        <f>全车数据表!AV313</f>
        <v>0</v>
      </c>
      <c r="Z312" s="88">
        <f>全车数据表!AN313</f>
        <v>7</v>
      </c>
      <c r="AA312" s="88">
        <f>全车数据表!AP313</f>
        <v>5</v>
      </c>
      <c r="AB312" s="88">
        <f>全车数据表!AR313</f>
        <v>4</v>
      </c>
      <c r="AC312" s="88">
        <f>全车数据表!AW313</f>
        <v>492</v>
      </c>
      <c r="AD312" s="88">
        <f>全车数据表!AX313</f>
        <v>0</v>
      </c>
      <c r="AE312" s="88">
        <f>全车数据表!AY313</f>
        <v>590</v>
      </c>
      <c r="AF312" s="88" t="str">
        <f>IF(全车数据表!BA313="","",全车数据表!BA313)</f>
        <v>特殊赛事</v>
      </c>
      <c r="AG312" s="88" t="str">
        <f>IF(全车数据表!BB313="","",全车数据表!BB313)</f>
        <v/>
      </c>
      <c r="AH312" s="88" t="str">
        <f>IF(全车数据表!BC313="","",全车数据表!BC313)</f>
        <v/>
      </c>
      <c r="AI312" s="88" t="str">
        <f>IF(全车数据表!BD313="","",全车数据表!BD313)</f>
        <v/>
      </c>
      <c r="AJ312" s="88" t="str">
        <f>IF(全车数据表!BE313="","",全车数据表!BE313)</f>
        <v/>
      </c>
      <c r="AK312" s="88" t="str">
        <f>IF(全车数据表!BF313="","",全车数据表!BF313)</f>
        <v/>
      </c>
      <c r="AL312" s="88" t="str">
        <f>IF(全车数据表!BG313="","",全车数据表!BG313)</f>
        <v/>
      </c>
      <c r="AM312" s="88" t="str">
        <f>IF(全车数据表!BH313="","",全车数据表!BH313)</f>
        <v/>
      </c>
      <c r="AN312" s="88" t="str">
        <f>IF(全车数据表!BI313="","",全车数据表!BI313)</f>
        <v/>
      </c>
      <c r="AO312" s="88" t="str">
        <f>IF(全车数据表!BJ313="","",全车数据表!BJ313)</f>
        <v/>
      </c>
      <c r="AP312" s="88" t="str">
        <f>IF(全车数据表!BK313="","",全车数据表!BK313)</f>
        <v/>
      </c>
      <c r="AQ312" s="88">
        <f>IF(全车数据表!BL313="","",全车数据表!BL313)</f>
        <v>1</v>
      </c>
      <c r="AR312" s="88" t="str">
        <f>IF(全车数据表!BM313="","",全车数据表!BM313)</f>
        <v/>
      </c>
      <c r="AS312" s="88" t="str">
        <f>IF(全车数据表!BN313="","",全车数据表!BN313)</f>
        <v/>
      </c>
      <c r="AT312" s="88" t="str">
        <f>IF(全车数据表!BO313="","",全车数据表!BO313)</f>
        <v/>
      </c>
      <c r="AU312" s="88" t="str">
        <f>IF(全车数据表!BP313="","",全车数据表!BP313)</f>
        <v/>
      </c>
      <c r="AV312" s="88" t="str">
        <f>IF(全车数据表!BQ313="","",全车数据表!BQ313)</f>
        <v/>
      </c>
      <c r="AW312" s="88" t="str">
        <f>IF(全车数据表!BR313="","",全车数据表!BR313)</f>
        <v/>
      </c>
      <c r="AX312" s="88" t="str">
        <f>IF(全车数据表!BS313="","",全车数据表!BS313)</f>
        <v/>
      </c>
      <c r="AY312" s="88" t="str">
        <f>IF(全车数据表!BT313="","",全车数据表!BT313)</f>
        <v/>
      </c>
      <c r="AZ312" s="88" t="str">
        <f>IF(全车数据表!BU313="","",全车数据表!BU313)</f>
        <v/>
      </c>
      <c r="BA312" s="88" t="str">
        <f>IF(全车数据表!BV313="","",全车数据表!BV313)</f>
        <v/>
      </c>
      <c r="BB312" s="91" t="str">
        <f>IF(全车数据表!AZ313="","",全车数据表!AZ313)</f>
        <v/>
      </c>
    </row>
    <row r="313" spans="1:54">
      <c r="A313" s="88">
        <f>全车数据表!A314</f>
        <v>312</v>
      </c>
      <c r="B313" s="88" t="str">
        <f>全车数据表!B314</f>
        <v>Hennessey Venom F5</v>
      </c>
      <c r="C313" s="89" t="str">
        <f>全车数据表!E314</f>
        <v>venomf5</v>
      </c>
      <c r="D313" s="88" t="str">
        <f>IF(全车数据表!D314="","",全车数据表!D314)</f>
        <v>Hennessey</v>
      </c>
      <c r="E313" s="89" t="str">
        <f>全车数据表!H314</f>
        <v>3.2</v>
      </c>
      <c r="F313" s="89" t="str">
        <f>全车数据表!C314</f>
        <v>毒液F5</v>
      </c>
      <c r="G313" s="89" t="str">
        <f>全车数据表!F314</f>
        <v>S</v>
      </c>
      <c r="H313" s="88">
        <f>LEN(全车数据表!G314)</f>
        <v>6</v>
      </c>
      <c r="I313" s="88" t="str">
        <f>VLOOKUP(全车数据表!P314,辅助计算!A:B,2,FALSE)</f>
        <v>epic</v>
      </c>
      <c r="J313" s="88">
        <f>全车数据表!Q314</f>
        <v>85</v>
      </c>
      <c r="K313" s="88">
        <f>全车数据表!R314</f>
        <v>25</v>
      </c>
      <c r="L313" s="88">
        <f>全车数据表!S314</f>
        <v>29</v>
      </c>
      <c r="M313" s="88">
        <f>全车数据表!T314</f>
        <v>38</v>
      </c>
      <c r="N313" s="88">
        <f>全车数据表!U314</f>
        <v>54</v>
      </c>
      <c r="O313" s="88">
        <f>全车数据表!V314</f>
        <v>69</v>
      </c>
      <c r="P313" s="88">
        <f>全车数据表!J314</f>
        <v>5128</v>
      </c>
      <c r="Q313" s="88">
        <f>全车数据表!K314</f>
        <v>512.4</v>
      </c>
      <c r="R313" s="88">
        <f>全车数据表!L314</f>
        <v>80.680000000000007</v>
      </c>
      <c r="S313" s="88">
        <f>全车数据表!M314</f>
        <v>49.02</v>
      </c>
      <c r="T313" s="88">
        <f>全车数据表!N314</f>
        <v>49.52</v>
      </c>
      <c r="U313" s="88">
        <f>全车数据表!O314</f>
        <v>4.2</v>
      </c>
      <c r="V313" s="88">
        <f>全车数据表!AL314</f>
        <v>0</v>
      </c>
      <c r="W313" s="88">
        <f>全车数据表!AM314</f>
        <v>120000</v>
      </c>
      <c r="X313" s="88">
        <f>全车数据表!AU314</f>
        <v>0</v>
      </c>
      <c r="Y313" s="88">
        <f>全车数据表!AV314</f>
        <v>0</v>
      </c>
      <c r="Z313" s="88">
        <f>全车数据表!AN314</f>
        <v>7</v>
      </c>
      <c r="AA313" s="88">
        <f>全车数据表!AP314</f>
        <v>5</v>
      </c>
      <c r="AB313" s="88">
        <f>全车数据表!AR314</f>
        <v>4</v>
      </c>
      <c r="AC313" s="88">
        <f>全车数据表!AW314</f>
        <v>538</v>
      </c>
      <c r="AD313" s="88">
        <f>全车数据表!AX314</f>
        <v>0</v>
      </c>
      <c r="AE313" s="88">
        <f>全车数据表!AY314</f>
        <v>600</v>
      </c>
      <c r="AF313" s="88" t="str">
        <f>IF(全车数据表!BA314="","",全车数据表!BA314)</f>
        <v>特殊赛事</v>
      </c>
      <c r="AG313" s="88" t="str">
        <f>IF(全车数据表!BB314="","",全车数据表!BB314)</f>
        <v/>
      </c>
      <c r="AH313" s="88" t="str">
        <f>IF(全车数据表!BC314="","",全车数据表!BC314)</f>
        <v/>
      </c>
      <c r="AI313" s="88" t="str">
        <f>IF(全车数据表!BD314="","",全车数据表!BD314)</f>
        <v/>
      </c>
      <c r="AJ313" s="88" t="str">
        <f>IF(全车数据表!BE314="","",全车数据表!BE314)</f>
        <v/>
      </c>
      <c r="AK313" s="88" t="str">
        <f>IF(全车数据表!BF314="","",全车数据表!BF314)</f>
        <v/>
      </c>
      <c r="AL313" s="88" t="str">
        <f>IF(全车数据表!BG314="","",全车数据表!BG314)</f>
        <v/>
      </c>
      <c r="AM313" s="88" t="str">
        <f>IF(全车数据表!BH314="","",全车数据表!BH314)</f>
        <v/>
      </c>
      <c r="AN313" s="88" t="str">
        <f>IF(全车数据表!BI314="","",全车数据表!BI314)</f>
        <v/>
      </c>
      <c r="AO313" s="88" t="str">
        <f>IF(全车数据表!BJ314="","",全车数据表!BJ314)</f>
        <v/>
      </c>
      <c r="AP313" s="88" t="str">
        <f>IF(全车数据表!BK314="","",全车数据表!BK314)</f>
        <v/>
      </c>
      <c r="AQ313" s="88">
        <f>IF(全车数据表!BL314="","",全车数据表!BL314)</f>
        <v>1</v>
      </c>
      <c r="AR313" s="88" t="str">
        <f>IF(全车数据表!BM314="","",全车数据表!BM314)</f>
        <v/>
      </c>
      <c r="AS313" s="88" t="str">
        <f>IF(全车数据表!BN314="","",全车数据表!BN314)</f>
        <v/>
      </c>
      <c r="AT313" s="88" t="str">
        <f>IF(全车数据表!BO314="","",全车数据表!BO314)</f>
        <v/>
      </c>
      <c r="AU313" s="88" t="str">
        <f>IF(全车数据表!BP314="","",全车数据表!BP314)</f>
        <v/>
      </c>
      <c r="AV313" s="88" t="str">
        <f>IF(全车数据表!BQ314="","",全车数据表!BQ314)</f>
        <v>2款</v>
      </c>
      <c r="AW313" s="88" t="str">
        <f>IF(全车数据表!BR314="","",全车数据表!BR314)</f>
        <v/>
      </c>
      <c r="AX313" s="88" t="str">
        <f>IF(全车数据表!BS314="","",全车数据表!BS314)</f>
        <v>无顶</v>
      </c>
      <c r="AY313" s="88">
        <f>IF(全车数据表!BT314="","",全车数据表!BT314)</f>
        <v>1</v>
      </c>
      <c r="AZ313" s="88" t="str">
        <f>IF(全车数据表!BU314="","",全车数据表!BU314)</f>
        <v/>
      </c>
      <c r="BA313" s="88" t="str">
        <f>IF(全车数据表!BV314="","",全车数据表!BV314)</f>
        <v>轩尼诗</v>
      </c>
      <c r="BB313" s="91" t="str">
        <f>IF(全车数据表!AZ314="","",全车数据表!AZ314)</f>
        <v/>
      </c>
    </row>
    <row r="314" spans="1:54">
      <c r="A314" s="88">
        <f>全车数据表!A315</f>
        <v>313</v>
      </c>
      <c r="B314" s="88" t="str">
        <f>全车数据表!B315</f>
        <v>Koenigsegg CC850🔑</v>
      </c>
      <c r="C314" s="89" t="str">
        <f>全车数据表!E315</f>
        <v>cc850</v>
      </c>
      <c r="D314" s="88" t="str">
        <f>IF(全车数据表!D315="","",全车数据表!D315)</f>
        <v>Koenigsegg</v>
      </c>
      <c r="E314" s="89" t="str">
        <f>全车数据表!H315</f>
        <v>4.3</v>
      </c>
      <c r="F314" s="89" t="str">
        <f>全车数据表!C315</f>
        <v>CC850</v>
      </c>
      <c r="G314" s="89" t="str">
        <f>全车数据表!F315</f>
        <v>S</v>
      </c>
      <c r="H314" s="88">
        <f>LEN(全车数据表!G315)</f>
        <v>6</v>
      </c>
      <c r="I314" s="88" t="str">
        <f>VLOOKUP(全车数据表!P315,辅助计算!A:B,2,FALSE)</f>
        <v>epic</v>
      </c>
      <c r="J314" s="88" t="str">
        <f>全车数据表!Q315</f>
        <v>🔑</v>
      </c>
      <c r="K314" s="88">
        <f>全车数据表!R315</f>
        <v>45</v>
      </c>
      <c r="L314" s="88">
        <f>全车数据表!S315</f>
        <v>56</v>
      </c>
      <c r="M314" s="88">
        <f>全车数据表!T315</f>
        <v>65</v>
      </c>
      <c r="N314" s="88">
        <f>全车数据表!U315</f>
        <v>66</v>
      </c>
      <c r="O314" s="88">
        <f>全车数据表!V315</f>
        <v>68</v>
      </c>
      <c r="P314" s="88">
        <f>全车数据表!J315</f>
        <v>5146</v>
      </c>
      <c r="Q314" s="88">
        <f>全车数据表!K315</f>
        <v>478.3</v>
      </c>
      <c r="R314" s="88">
        <f>全车数据表!L315</f>
        <v>82.37</v>
      </c>
      <c r="S314" s="88">
        <f>全车数据表!M315</f>
        <v>54.39</v>
      </c>
      <c r="T314" s="88">
        <f>全车数据表!N315</f>
        <v>49.63</v>
      </c>
      <c r="U314" s="88">
        <f>全车数据表!O315</f>
        <v>0</v>
      </c>
      <c r="V314" s="88">
        <f>全车数据表!AL315</f>
        <v>0</v>
      </c>
      <c r="W314" s="88">
        <f>全车数据表!AM315</f>
        <v>120000</v>
      </c>
      <c r="X314" s="88">
        <f>全车数据表!AU315</f>
        <v>0</v>
      </c>
      <c r="Y314" s="88">
        <f>全车数据表!AV315</f>
        <v>0</v>
      </c>
      <c r="Z314" s="88">
        <f>全车数据表!AN315</f>
        <v>7</v>
      </c>
      <c r="AA314" s="88">
        <f>全车数据表!AP315</f>
        <v>5</v>
      </c>
      <c r="AB314" s="88">
        <f>全车数据表!AR315</f>
        <v>4</v>
      </c>
      <c r="AC314" s="88">
        <f>全车数据表!AW315</f>
        <v>0</v>
      </c>
      <c r="AD314" s="88">
        <f>全车数据表!AX315</f>
        <v>0</v>
      </c>
      <c r="AE314" s="88">
        <f>全车数据表!AY315</f>
        <v>0</v>
      </c>
      <c r="AF314" s="88" t="str">
        <f>IF(全车数据表!BA315="","",全车数据表!BA315)</f>
        <v>联会赛事</v>
      </c>
      <c r="AG314" s="88" t="str">
        <f>IF(全车数据表!BB315="","",全车数据表!BB315)</f>
        <v/>
      </c>
      <c r="AH314" s="88" t="str">
        <f>IF(全车数据表!BC315="","",全车数据表!BC315)</f>
        <v/>
      </c>
      <c r="AI314" s="88" t="str">
        <f>IF(全车数据表!BD315="","",全车数据表!BD315)</f>
        <v/>
      </c>
      <c r="AJ314" s="88" t="str">
        <f>IF(全车数据表!BE315="","",全车数据表!BE315)</f>
        <v/>
      </c>
      <c r="AK314" s="88" t="str">
        <f>IF(全车数据表!BF315="","",全车数据表!BF315)</f>
        <v/>
      </c>
      <c r="AL314" s="88" t="str">
        <f>IF(全车数据表!BG315="","",全车数据表!BG315)</f>
        <v/>
      </c>
      <c r="AM314" s="88" t="str">
        <f>IF(全车数据表!BH315="","",全车数据表!BH315)</f>
        <v/>
      </c>
      <c r="AN314" s="88" t="str">
        <f>IF(全车数据表!BI315="","",全车数据表!BI315)</f>
        <v/>
      </c>
      <c r="AO314" s="88" t="str">
        <f>IF(全车数据表!BJ315="","",全车数据表!BJ315)</f>
        <v/>
      </c>
      <c r="AP314" s="88" t="str">
        <f>IF(全车数据表!BK315="","",全车数据表!BK315)</f>
        <v/>
      </c>
      <c r="AQ314" s="88" t="str">
        <f>IF(全车数据表!BL315="","",全车数据表!BL315)</f>
        <v/>
      </c>
      <c r="AR314" s="88" t="str">
        <f>IF(全车数据表!BM315="","",全车数据表!BM315)</f>
        <v/>
      </c>
      <c r="AS314" s="88">
        <f>IF(全车数据表!BN315="","",全车数据表!BN315)</f>
        <v>1</v>
      </c>
      <c r="AT314" s="88">
        <f>IF(全车数据表!BO315="","",全车数据表!BO315)</f>
        <v>1</v>
      </c>
      <c r="AU314" s="88" t="str">
        <f>IF(全车数据表!BP315="","",全车数据表!BP315)</f>
        <v/>
      </c>
      <c r="AV314" s="88" t="str">
        <f>IF(全车数据表!BQ315="","",全车数据表!BQ315)</f>
        <v/>
      </c>
      <c r="AW314" s="88" t="str">
        <f>IF(全车数据表!BR315="","",全车数据表!BR315)</f>
        <v/>
      </c>
      <c r="AX314" s="88" t="str">
        <f>IF(全车数据表!BS315="","",全车数据表!BS315)</f>
        <v/>
      </c>
      <c r="AY314" s="88" t="str">
        <f>IF(全车数据表!BT315="","",全车数据表!BT315)</f>
        <v/>
      </c>
      <c r="AZ314" s="88" t="str">
        <f>IF(全车数据表!BU315="","",全车数据表!BU315)</f>
        <v/>
      </c>
      <c r="BA314" s="88" t="str">
        <f>IF(全车数据表!BV315="","",全车数据表!BV315)</f>
        <v>柯尼塞格</v>
      </c>
      <c r="BB314" s="91" t="str">
        <f>IF(全车数据表!AZ315="","",全车数据表!AZ315)</f>
        <v/>
      </c>
    </row>
    <row r="315" spans="1:54">
      <c r="A315" s="88">
        <f>全车数据表!A316</f>
        <v>314</v>
      </c>
      <c r="B315" s="88" t="str">
        <f>全车数据表!B316</f>
        <v>Czinger 21C</v>
      </c>
      <c r="C315" s="89" t="str">
        <f>全车数据表!E316</f>
        <v>21c</v>
      </c>
      <c r="D315" s="88" t="str">
        <f>IF(全车数据表!D316="","",全车数据表!D316)</f>
        <v>Czinger</v>
      </c>
      <c r="E315" s="89" t="str">
        <f>全车数据表!H316</f>
        <v>5.1</v>
      </c>
      <c r="F315" s="89" t="str">
        <f>全车数据表!C316</f>
        <v>21C</v>
      </c>
      <c r="G315" s="89" t="str">
        <f>全车数据表!F316</f>
        <v>S</v>
      </c>
      <c r="H315" s="88">
        <f>LEN(全车数据表!G316)</f>
        <v>6</v>
      </c>
      <c r="I315" s="88" t="str">
        <f>VLOOKUP(全车数据表!P316,辅助计算!A:B,2,FALSE)</f>
        <v>epic</v>
      </c>
      <c r="J315" s="88">
        <f>全车数据表!Q316</f>
        <v>60</v>
      </c>
      <c r="K315" s="88">
        <f>全车数据表!R316</f>
        <v>35</v>
      </c>
      <c r="L315" s="88">
        <f>全车数据表!S316</f>
        <v>40</v>
      </c>
      <c r="M315" s="88">
        <f>全车数据表!T316</f>
        <v>50</v>
      </c>
      <c r="N315" s="88">
        <f>全车数据表!U316</f>
        <v>55</v>
      </c>
      <c r="O315" s="88">
        <f>全车数据表!V316</f>
        <v>60</v>
      </c>
      <c r="P315" s="88">
        <f>全车数据表!J316</f>
        <v>5149</v>
      </c>
      <c r="Q315" s="88">
        <f>全车数据表!K316</f>
        <v>417.1</v>
      </c>
      <c r="R315" s="88">
        <f>全车数据表!L316</f>
        <v>89.07</v>
      </c>
      <c r="S315" s="88">
        <f>全车数据表!M316</f>
        <v>54.43</v>
      </c>
      <c r="T315" s="88">
        <f>全车数据表!N316</f>
        <v>51.03</v>
      </c>
      <c r="U315" s="88">
        <f>全车数据表!O316</f>
        <v>0</v>
      </c>
      <c r="V315" s="88">
        <f>全车数据表!AL316</f>
        <v>0</v>
      </c>
      <c r="W315" s="88">
        <f>全车数据表!AM316</f>
        <v>120000</v>
      </c>
      <c r="X315" s="88">
        <f>全车数据表!AU316</f>
        <v>0</v>
      </c>
      <c r="Y315" s="88">
        <f>全车数据表!AV316</f>
        <v>0</v>
      </c>
      <c r="Z315" s="88">
        <f>全车数据表!AN316</f>
        <v>7</v>
      </c>
      <c r="AA315" s="88">
        <f>全车数据表!AP316</f>
        <v>5</v>
      </c>
      <c r="AB315" s="88">
        <f>全车数据表!AR316</f>
        <v>4</v>
      </c>
      <c r="AC315" s="88">
        <f>全车数据表!AW316</f>
        <v>439</v>
      </c>
      <c r="AD315" s="88">
        <f>全车数据表!AX316</f>
        <v>0</v>
      </c>
      <c r="AE315" s="88">
        <f>全车数据表!AY316</f>
        <v>566</v>
      </c>
      <c r="AF315" s="88" t="str">
        <f>IF(全车数据表!BA316="","",全车数据表!BA316)</f>
        <v>狂飙寻宝</v>
      </c>
      <c r="AG315" s="88" t="str">
        <f>IF(全车数据表!BB316="","",全车数据表!BB316)</f>
        <v/>
      </c>
      <c r="AH315" s="88" t="str">
        <f>IF(全车数据表!BC316="","",全车数据表!BC316)</f>
        <v/>
      </c>
      <c r="AI315" s="88" t="str">
        <f>IF(全车数据表!BD316="","",全车数据表!BD316)</f>
        <v/>
      </c>
      <c r="AJ315" s="88" t="str">
        <f>IF(全车数据表!BE316="","",全车数据表!BE316)</f>
        <v/>
      </c>
      <c r="AK315" s="88" t="str">
        <f>IF(全车数据表!BF316="","",全车数据表!BF316)</f>
        <v/>
      </c>
      <c r="AL315" s="88" t="str">
        <f>IF(全车数据表!BG316="","",全车数据表!BG316)</f>
        <v/>
      </c>
      <c r="AM315" s="88" t="str">
        <f>IF(全车数据表!BH316="","",全车数据表!BH316)</f>
        <v/>
      </c>
      <c r="AN315" s="88" t="str">
        <f>IF(全车数据表!BI316="","",全车数据表!BI316)</f>
        <v/>
      </c>
      <c r="AO315" s="88" t="str">
        <f>IF(全车数据表!BJ316="","",全车数据表!BJ316)</f>
        <v/>
      </c>
      <c r="AP315" s="88" t="str">
        <f>IF(全车数据表!BK316="","",全车数据表!BK316)</f>
        <v/>
      </c>
      <c r="AQ315" s="88" t="str">
        <f>IF(全车数据表!BL316="","",全车数据表!BL316)</f>
        <v/>
      </c>
      <c r="AR315" s="88" t="str">
        <f>IF(全车数据表!BM316="","",全车数据表!BM316)</f>
        <v/>
      </c>
      <c r="AS315" s="88" t="str">
        <f>IF(全车数据表!BN316="","",全车数据表!BN316)</f>
        <v/>
      </c>
      <c r="AT315" s="88" t="str">
        <f>IF(全车数据表!BO316="","",全车数据表!BO316)</f>
        <v/>
      </c>
      <c r="AU315" s="88" t="str">
        <f>IF(全车数据表!BP316="","",全车数据表!BP316)</f>
        <v/>
      </c>
      <c r="AV315" s="88" t="str">
        <f>IF(全车数据表!BQ316="","",全车数据表!BQ316)</f>
        <v/>
      </c>
      <c r="AW315" s="88" t="str">
        <f>IF(全车数据表!BR316="","",全车数据表!BR316)</f>
        <v/>
      </c>
      <c r="AX315" s="88" t="str">
        <f>IF(全车数据表!BS316="","",全车数据表!BS316)</f>
        <v/>
      </c>
      <c r="AY315" s="88" t="str">
        <f>IF(全车数据表!BT316="","",全车数据表!BT316)</f>
        <v/>
      </c>
      <c r="AZ315" s="88" t="str">
        <f>IF(全车数据表!BU316="","",全车数据表!BU316)</f>
        <v/>
      </c>
      <c r="BA315" s="88" t="str">
        <f>IF(全车数据表!BV316="","",全车数据表!BV316)</f>
        <v/>
      </c>
      <c r="BB315" s="91" t="str">
        <f>IF(全车数据表!AZ316="","",全车数据表!AZ316)</f>
        <v/>
      </c>
    </row>
    <row r="316" spans="1:54">
      <c r="A316" s="88">
        <f>全车数据表!A317</f>
        <v>315</v>
      </c>
      <c r="B316" s="88" t="str">
        <f>全车数据表!B317</f>
        <v>Mosler Super GT</v>
      </c>
      <c r="C316" s="89" t="str">
        <f>全车数据表!E317</f>
        <v>mosler_super_gt</v>
      </c>
      <c r="D316" s="88" t="str">
        <f>IF(全车数据表!D317="","",全车数据表!D317)</f>
        <v>Mosler</v>
      </c>
      <c r="E316" s="89" t="str">
        <f>全车数据表!H317</f>
        <v>5.7</v>
      </c>
      <c r="F316" s="89" t="str">
        <f>全车数据表!C317</f>
        <v>莫斯勒 SuperGT</v>
      </c>
      <c r="G316" s="89" t="str">
        <f>全车数据表!F317</f>
        <v>S</v>
      </c>
      <c r="H316" s="88">
        <f>LEN(全车数据表!G317)</f>
        <v>6</v>
      </c>
      <c r="I316" s="88" t="str">
        <f>VLOOKUP(全车数据表!P317,辅助计算!A:B,2,FALSE)</f>
        <v>epic</v>
      </c>
      <c r="J316" s="88">
        <f>全车数据表!Q317</f>
        <v>60</v>
      </c>
      <c r="K316" s="88">
        <f>全车数据表!R317</f>
        <v>48</v>
      </c>
      <c r="L316" s="88">
        <f>全车数据表!S317</f>
        <v>50</v>
      </c>
      <c r="M316" s="88">
        <f>全车数据表!T317</f>
        <v>52</v>
      </c>
      <c r="N316" s="88">
        <f>全车数据表!U317</f>
        <v>54</v>
      </c>
      <c r="O316" s="88">
        <f>全车数据表!V317</f>
        <v>56</v>
      </c>
      <c r="P316" s="88">
        <f>全车数据表!J317</f>
        <v>5169</v>
      </c>
      <c r="Q316" s="88">
        <f>全车数据表!K317</f>
        <v>506.7</v>
      </c>
      <c r="R316" s="88">
        <f>全车数据表!L317</f>
        <v>83.27</v>
      </c>
      <c r="S316" s="88">
        <f>全车数据表!M317</f>
        <v>49.79</v>
      </c>
      <c r="T316" s="88">
        <f>全车数据表!N317</f>
        <v>44.54</v>
      </c>
      <c r="U316" s="88">
        <f>全车数据表!O317</f>
        <v>0</v>
      </c>
      <c r="V316" s="88">
        <f>全车数据表!AL317</f>
        <v>0</v>
      </c>
      <c r="W316" s="88">
        <f>全车数据表!AM317</f>
        <v>0</v>
      </c>
      <c r="X316" s="88">
        <f>全车数据表!AU317</f>
        <v>0</v>
      </c>
      <c r="Y316" s="88">
        <f>全车数据表!AV317</f>
        <v>0</v>
      </c>
      <c r="Z316" s="88">
        <f>全车数据表!AN317</f>
        <v>7</v>
      </c>
      <c r="AA316" s="88">
        <f>全车数据表!AP317</f>
        <v>5</v>
      </c>
      <c r="AB316" s="88">
        <f>全车数据表!AR317</f>
        <v>4</v>
      </c>
      <c r="AC316" s="88">
        <f>全车数据表!AW317</f>
        <v>0</v>
      </c>
      <c r="AD316" s="88">
        <f>全车数据表!AX317</f>
        <v>0</v>
      </c>
      <c r="AE316" s="88">
        <f>全车数据表!AY317</f>
        <v>0</v>
      </c>
      <c r="AF316" s="88" t="str">
        <f>IF(全车数据表!BA317="","",全车数据表!BA317)</f>
        <v>狂飙寻宝</v>
      </c>
      <c r="AG316" s="88" t="str">
        <f>IF(全车数据表!BB317="","",全车数据表!BB317)</f>
        <v/>
      </c>
      <c r="AH316" s="88" t="str">
        <f>IF(全车数据表!BC317="","",全车数据表!BC317)</f>
        <v/>
      </c>
      <c r="AI316" s="88" t="str">
        <f>IF(全车数据表!BD317="","",全车数据表!BD317)</f>
        <v/>
      </c>
      <c r="AJ316" s="88" t="str">
        <f>IF(全车数据表!BE317="","",全车数据表!BE317)</f>
        <v/>
      </c>
      <c r="AK316" s="88" t="str">
        <f>IF(全车数据表!BF317="","",全车数据表!BF317)</f>
        <v/>
      </c>
      <c r="AL316" s="88" t="str">
        <f>IF(全车数据表!BG317="","",全车数据表!BG317)</f>
        <v/>
      </c>
      <c r="AM316" s="88" t="str">
        <f>IF(全车数据表!BH317="","",全车数据表!BH317)</f>
        <v/>
      </c>
      <c r="AN316" s="88" t="str">
        <f>IF(全车数据表!BI317="","",全车数据表!BI317)</f>
        <v/>
      </c>
      <c r="AO316" s="88" t="str">
        <f>IF(全车数据表!BJ317="","",全车数据表!BJ317)</f>
        <v/>
      </c>
      <c r="AP316" s="88" t="str">
        <f>IF(全车数据表!BK317="","",全车数据表!BK317)</f>
        <v/>
      </c>
      <c r="AQ316" s="88" t="str">
        <f>IF(全车数据表!BL317="","",全车数据表!BL317)</f>
        <v/>
      </c>
      <c r="AR316" s="88" t="str">
        <f>IF(全车数据表!BM317="","",全车数据表!BM317)</f>
        <v/>
      </c>
      <c r="AS316" s="88" t="str">
        <f>IF(全车数据表!BN317="","",全车数据表!BN317)</f>
        <v/>
      </c>
      <c r="AT316" s="88" t="str">
        <f>IF(全车数据表!BO317="","",全车数据表!BO317)</f>
        <v/>
      </c>
      <c r="AU316" s="88" t="str">
        <f>IF(全车数据表!BP317="","",全车数据表!BP317)</f>
        <v/>
      </c>
      <c r="AV316" s="88" t="str">
        <f>IF(全车数据表!BQ317="","",全车数据表!BQ317)</f>
        <v/>
      </c>
      <c r="AW316" s="88" t="str">
        <f>IF(全车数据表!BR317="","",全车数据表!BR317)</f>
        <v/>
      </c>
      <c r="AX316" s="88" t="str">
        <f>IF(全车数据表!BS317="","",全车数据表!BS317)</f>
        <v/>
      </c>
      <c r="AY316" s="88" t="str">
        <f>IF(全车数据表!BT317="","",全车数据表!BT317)</f>
        <v/>
      </c>
      <c r="AZ316" s="88" t="str">
        <f>IF(全车数据表!BU317="","",全车数据表!BU317)</f>
        <v/>
      </c>
      <c r="BA316" s="88" t="str">
        <f>IF(全车数据表!BV317="","",全车数据表!BV317)</f>
        <v/>
      </c>
      <c r="BB316" s="91" t="str">
        <f>IF(全车数据表!AZ317="","",全车数据表!AZ317)</f>
        <v/>
      </c>
    </row>
    <row r="317" spans="1:54">
      <c r="A317" s="88">
        <f>全车数据表!A318</f>
        <v>316</v>
      </c>
      <c r="B317" s="88" t="str">
        <f>全车数据表!B318</f>
        <v>Raesr Tartarus</v>
      </c>
      <c r="C317" s="89" t="str">
        <f>全车数据表!E318</f>
        <v>tartarus</v>
      </c>
      <c r="D317" s="88" t="str">
        <f>IF(全车数据表!D318="","",全车数据表!D318)</f>
        <v>Raesr</v>
      </c>
      <c r="E317" s="89" t="str">
        <f>全车数据表!H318</f>
        <v>5.3</v>
      </c>
      <c r="F317" s="89" t="str">
        <f>全车数据表!C318</f>
        <v>Tartarus</v>
      </c>
      <c r="G317" s="89" t="str">
        <f>全车数据表!F318</f>
        <v>S</v>
      </c>
      <c r="H317" s="88">
        <f>LEN(全车数据表!G318)</f>
        <v>6</v>
      </c>
      <c r="I317" s="88" t="str">
        <f>VLOOKUP(全车数据表!P318,辅助计算!A:B,2,FALSE)</f>
        <v>epic</v>
      </c>
      <c r="J317" s="88">
        <f>全车数据表!Q318</f>
        <v>40</v>
      </c>
      <c r="K317" s="88">
        <f>全车数据表!R318</f>
        <v>45</v>
      </c>
      <c r="L317" s="88">
        <f>全车数据表!S318</f>
        <v>55</v>
      </c>
      <c r="M317" s="88">
        <f>全车数据表!T318</f>
        <v>48</v>
      </c>
      <c r="N317" s="88">
        <f>全车数据表!U318</f>
        <v>56</v>
      </c>
      <c r="O317" s="88">
        <f>全车数据表!V318</f>
        <v>56</v>
      </c>
      <c r="P317" s="88">
        <f>全车数据表!J318</f>
        <v>5355</v>
      </c>
      <c r="Q317" s="88">
        <f>全车数据表!K318</f>
        <v>538.70000000000005</v>
      </c>
      <c r="R317" s="88">
        <f>全车数据表!L318</f>
        <v>90.64</v>
      </c>
      <c r="S317" s="88">
        <f>全车数据表!M318</f>
        <v>61.77</v>
      </c>
      <c r="T317" s="88">
        <f>全车数据表!N318</f>
        <v>42.69</v>
      </c>
      <c r="U317" s="88">
        <f>全车数据表!O318</f>
        <v>0</v>
      </c>
      <c r="V317" s="88">
        <f>全车数据表!AL318</f>
        <v>0</v>
      </c>
      <c r="W317" s="88">
        <f>全车数据表!AM318</f>
        <v>120000</v>
      </c>
      <c r="X317" s="88">
        <f>全车数据表!AU318</f>
        <v>0</v>
      </c>
      <c r="Y317" s="88">
        <f>全车数据表!AV318</f>
        <v>0</v>
      </c>
      <c r="Z317" s="88">
        <f>全车数据表!AN318</f>
        <v>7</v>
      </c>
      <c r="AA317" s="88">
        <f>全车数据表!AP318</f>
        <v>5</v>
      </c>
      <c r="AB317" s="88">
        <f>全车数据表!AR318</f>
        <v>4</v>
      </c>
      <c r="AC317" s="88">
        <f>全车数据表!AW318</f>
        <v>550</v>
      </c>
      <c r="AD317" s="88">
        <f>全车数据表!AX318</f>
        <v>0</v>
      </c>
      <c r="AE317" s="88">
        <f>全车数据表!AY318</f>
        <v>600</v>
      </c>
      <c r="AF317" s="88" t="str">
        <f>IF(全车数据表!BA318="","",全车数据表!BA318)</f>
        <v>狂飙寻宝</v>
      </c>
      <c r="AG317" s="88" t="str">
        <f>IF(全车数据表!BB318="","",全车数据表!BB318)</f>
        <v/>
      </c>
      <c r="AH317" s="88" t="str">
        <f>IF(全车数据表!BC318="","",全车数据表!BC318)</f>
        <v/>
      </c>
      <c r="AI317" s="88" t="str">
        <f>IF(全车数据表!BD318="","",全车数据表!BD318)</f>
        <v/>
      </c>
      <c r="AJ317" s="88" t="str">
        <f>IF(全车数据表!BE318="","",全车数据表!BE318)</f>
        <v/>
      </c>
      <c r="AK317" s="88" t="str">
        <f>IF(全车数据表!BF318="","",全车数据表!BF318)</f>
        <v/>
      </c>
      <c r="AL317" s="88" t="str">
        <f>IF(全车数据表!BG318="","",全车数据表!BG318)</f>
        <v/>
      </c>
      <c r="AM317" s="88" t="str">
        <f>IF(全车数据表!BH318="","",全车数据表!BH318)</f>
        <v/>
      </c>
      <c r="AN317" s="88" t="str">
        <f>IF(全车数据表!BI318="","",全车数据表!BI318)</f>
        <v/>
      </c>
      <c r="AO317" s="88" t="str">
        <f>IF(全车数据表!BJ318="","",全车数据表!BJ318)</f>
        <v/>
      </c>
      <c r="AP317" s="88" t="str">
        <f>IF(全车数据表!BK318="","",全车数据表!BK318)</f>
        <v/>
      </c>
      <c r="AQ317" s="88" t="str">
        <f>IF(全车数据表!BL318="","",全车数据表!BL318)</f>
        <v/>
      </c>
      <c r="AR317" s="88" t="str">
        <f>IF(全车数据表!BM318="","",全车数据表!BM318)</f>
        <v/>
      </c>
      <c r="AS317" s="88" t="str">
        <f>IF(全车数据表!BN318="","",全车数据表!BN318)</f>
        <v/>
      </c>
      <c r="AT317" s="88" t="str">
        <f>IF(全车数据表!BO318="","",全车数据表!BO318)</f>
        <v/>
      </c>
      <c r="AU317" s="88" t="str">
        <f>IF(全车数据表!BP318="","",全车数据表!BP318)</f>
        <v/>
      </c>
      <c r="AV317" s="88" t="str">
        <f>IF(全车数据表!BQ318="","",全车数据表!BQ318)</f>
        <v/>
      </c>
      <c r="AW317" s="88" t="str">
        <f>IF(全车数据表!BR318="","",全车数据表!BR318)</f>
        <v/>
      </c>
      <c r="AX317" s="88" t="str">
        <f>IF(全车数据表!BS318="","",全车数据表!BS318)</f>
        <v/>
      </c>
      <c r="AY317" s="88" t="str">
        <f>IF(全车数据表!BT318="","",全车数据表!BT318)</f>
        <v/>
      </c>
      <c r="AZ317" s="88" t="str">
        <f>IF(全车数据表!BU318="","",全车数据表!BU318)</f>
        <v/>
      </c>
      <c r="BA317" s="88" t="str">
        <f>IF(全车数据表!BV318="","",全车数据表!BV318)</f>
        <v>超光孙</v>
      </c>
      <c r="BB317" s="91" t="str">
        <f>IF(全车数据表!AZ318="","",全车数据表!AZ318)</f>
        <v/>
      </c>
    </row>
    <row r="318" spans="1:54">
      <c r="A318" s="88">
        <f>全车数据表!A319</f>
        <v>317</v>
      </c>
      <c r="B318" s="88" t="str">
        <f>全车数据表!B319</f>
        <v>Devel Sixteen🔑</v>
      </c>
      <c r="C318" s="89" t="str">
        <f>全车数据表!E319</f>
        <v>sixteen</v>
      </c>
      <c r="D318" s="88" t="str">
        <f>IF(全车数据表!D319="","",全车数据表!D319)</f>
        <v>Devel</v>
      </c>
      <c r="E318" s="89" t="str">
        <f>全车数据表!H319</f>
        <v>4.6</v>
      </c>
      <c r="F318" s="89" t="str">
        <f>全车数据表!C319</f>
        <v>恶魔</v>
      </c>
      <c r="G318" s="89" t="str">
        <f>全车数据表!F319</f>
        <v>R</v>
      </c>
      <c r="H318" s="88">
        <f>LEN(全车数据表!G319)</f>
        <v>6</v>
      </c>
      <c r="I318" s="88" t="str">
        <f>VLOOKUP(全车数据表!P319,辅助计算!A:B,2,FALSE)</f>
        <v>ruby</v>
      </c>
      <c r="J318" s="88" t="str">
        <f>全车数据表!Q319</f>
        <v>🔑</v>
      </c>
      <c r="K318" s="88">
        <f>全车数据表!R319</f>
        <v>60</v>
      </c>
      <c r="L318" s="88">
        <f>全车数据表!S319</f>
        <v>65</v>
      </c>
      <c r="M318" s="88">
        <f>全车数据表!T319</f>
        <v>68</v>
      </c>
      <c r="N318" s="88">
        <f>全车数据表!U319</f>
        <v>72</v>
      </c>
      <c r="O318" s="88">
        <f>全车数据表!V319</f>
        <v>75</v>
      </c>
      <c r="P318" s="88">
        <f>全车数据表!J319</f>
        <v>5254</v>
      </c>
      <c r="Q318" s="88">
        <f>全车数据表!K319</f>
        <v>556.5</v>
      </c>
      <c r="R318" s="88">
        <f>全车数据表!L319</f>
        <v>81.37</v>
      </c>
      <c r="S318" s="88">
        <f>全车数据表!M319</f>
        <v>56.37</v>
      </c>
      <c r="T318" s="88">
        <f>全车数据表!N319</f>
        <v>38.450000000000003</v>
      </c>
      <c r="U318" s="88">
        <f>全车数据表!O319</f>
        <v>3.7</v>
      </c>
      <c r="V318" s="88">
        <f>全车数据表!AL319</f>
        <v>50000000</v>
      </c>
      <c r="W318" s="88">
        <f>全车数据表!AM319</f>
        <v>240000</v>
      </c>
      <c r="X318" s="88">
        <f>全车数据表!AU319</f>
        <v>68000000</v>
      </c>
      <c r="Y318" s="88">
        <f>全车数据表!AV319</f>
        <v>118000000</v>
      </c>
      <c r="Z318" s="88">
        <f>全车数据表!AN319</f>
        <v>4</v>
      </c>
      <c r="AA318" s="88">
        <f>全车数据表!AP319</f>
        <v>8</v>
      </c>
      <c r="AB318" s="88">
        <f>全车数据表!AR319</f>
        <v>6</v>
      </c>
      <c r="AC318" s="88">
        <f>全车数据表!AW319</f>
        <v>559</v>
      </c>
      <c r="AD318" s="88">
        <f>全车数据表!AX319</f>
        <v>0</v>
      </c>
      <c r="AE318" s="88">
        <f>全车数据表!AY319</f>
        <v>600</v>
      </c>
      <c r="AF318" s="88" t="str">
        <f>IF(全车数据表!BA319="","",全车数据表!BA319)</f>
        <v>联会赛事</v>
      </c>
      <c r="AG318" s="88" t="str">
        <f>IF(全车数据表!BB319="","",全车数据表!BB319)</f>
        <v/>
      </c>
      <c r="AH318" s="88" t="str">
        <f>IF(全车数据表!BC319="","",全车数据表!BC319)</f>
        <v/>
      </c>
      <c r="AI318" s="88" t="str">
        <f>IF(全车数据表!BD319="","",全车数据表!BD319)</f>
        <v/>
      </c>
      <c r="AJ318" s="88" t="str">
        <f>IF(全车数据表!BE319="","",全车数据表!BE319)</f>
        <v/>
      </c>
      <c r="AK318" s="88" t="str">
        <f>IF(全车数据表!BF319="","",全车数据表!BF319)</f>
        <v/>
      </c>
      <c r="AL318" s="88" t="str">
        <f>IF(全车数据表!BG319="","",全车数据表!BG319)</f>
        <v/>
      </c>
      <c r="AM318" s="88" t="str">
        <f>IF(全车数据表!BH319="","",全车数据表!BH319)</f>
        <v/>
      </c>
      <c r="AN318" s="88" t="str">
        <f>IF(全车数据表!BI319="","",全车数据表!BI319)</f>
        <v/>
      </c>
      <c r="AO318" s="88" t="str">
        <f>IF(全车数据表!BJ319="","",全车数据表!BJ319)</f>
        <v/>
      </c>
      <c r="AP318" s="88" t="str">
        <f>IF(全车数据表!BK319="","",全车数据表!BK319)</f>
        <v/>
      </c>
      <c r="AQ318" s="88" t="str">
        <f>IF(全车数据表!BL319="","",全车数据表!BL319)</f>
        <v/>
      </c>
      <c r="AR318" s="88" t="str">
        <f>IF(全车数据表!BM319="","",全车数据表!BM319)</f>
        <v/>
      </c>
      <c r="AS318" s="88">
        <f>IF(全车数据表!BN319="","",全车数据表!BN319)</f>
        <v>1</v>
      </c>
      <c r="AT318" s="88">
        <f>IF(全车数据表!BO319="","",全车数据表!BO319)</f>
        <v>1</v>
      </c>
      <c r="AU318" s="88" t="str">
        <f>IF(全车数据表!BP319="","",全车数据表!BP319)</f>
        <v/>
      </c>
      <c r="AV318" s="88" t="str">
        <f>IF(全车数据表!BQ319="","",全车数据表!BQ319)</f>
        <v/>
      </c>
      <c r="AW318" s="88" t="str">
        <f>IF(全车数据表!BR319="","",全车数据表!BR319)</f>
        <v/>
      </c>
      <c r="AX318" s="88" t="str">
        <f>IF(全车数据表!BS319="","",全车数据表!BS319)</f>
        <v/>
      </c>
      <c r="AY318" s="88" t="str">
        <f>IF(全车数据表!BT319="","",全车数据表!BT319)</f>
        <v/>
      </c>
      <c r="AZ318" s="88" t="str">
        <f>IF(全车数据表!BU319="","",全车数据表!BU319)</f>
        <v/>
      </c>
      <c r="BA318" s="88" t="str">
        <f>IF(全车数据表!BV319="","",全车数据表!BV319)</f>
        <v>十六 16</v>
      </c>
      <c r="BB318" s="91" t="str">
        <f>IF(全车数据表!AZ319="","",全车数据表!AZ319)</f>
        <v/>
      </c>
    </row>
    <row r="319" spans="1:54">
      <c r="A319" s="88">
        <f>全车数据表!A320</f>
        <v>318</v>
      </c>
      <c r="B319" s="88" t="str">
        <f>全车数据表!B320</f>
        <v>SSC Tuatara Striker🔑</v>
      </c>
      <c r="C319" s="89" t="str">
        <f>全车数据表!E320</f>
        <v>tuatarastriker</v>
      </c>
      <c r="D319" s="88" t="str">
        <f>IF(全车数据表!D320="","",全车数据表!D320)</f>
        <v>SSC</v>
      </c>
      <c r="E319" s="89" t="str">
        <f>全车数据表!H320</f>
        <v>5.5</v>
      </c>
      <c r="F319" s="89" t="str">
        <f>全车数据表!C320</f>
        <v>SSC Striker</v>
      </c>
      <c r="G319" s="89" t="str">
        <f>全车数据表!F320</f>
        <v>R</v>
      </c>
      <c r="H319" s="88">
        <f>LEN(全车数据表!G320)</f>
        <v>6</v>
      </c>
      <c r="I319" s="88" t="str">
        <f>VLOOKUP(全车数据表!P320,辅助计算!A:B,2,FALSE)</f>
        <v>ruby</v>
      </c>
      <c r="J319" s="88" t="str">
        <f>全车数据表!Q320</f>
        <v>🔑</v>
      </c>
      <c r="K319" s="88">
        <f>全车数据表!R320</f>
        <v>60</v>
      </c>
      <c r="L319" s="88">
        <f>全车数据表!S320</f>
        <v>65</v>
      </c>
      <c r="M319" s="88">
        <f>全车数据表!T320</f>
        <v>68</v>
      </c>
      <c r="N319" s="88">
        <f>全车数据表!U320</f>
        <v>72</v>
      </c>
      <c r="O319" s="88">
        <f>全车数据表!V320</f>
        <v>75</v>
      </c>
      <c r="P319" s="88">
        <f>全车数据表!J320</f>
        <v>5337</v>
      </c>
      <c r="Q319" s="88">
        <f>全车数据表!K320</f>
        <v>477.7</v>
      </c>
      <c r="R319" s="88">
        <f>全车数据表!L320</f>
        <v>80.650000000000006</v>
      </c>
      <c r="S319" s="88">
        <f>全车数据表!M320</f>
        <v>63.37</v>
      </c>
      <c r="T319" s="88">
        <f>全车数据表!N320</f>
        <v>55.62</v>
      </c>
      <c r="U319" s="88">
        <f>全车数据表!O320</f>
        <v>0</v>
      </c>
      <c r="V319" s="88">
        <f>全车数据表!AL320</f>
        <v>0</v>
      </c>
      <c r="W319" s="88">
        <f>全车数据表!AM320</f>
        <v>0</v>
      </c>
      <c r="X319" s="88">
        <f>全车数据表!AU320</f>
        <v>0</v>
      </c>
      <c r="Y319" s="88">
        <f>全车数据表!AV320</f>
        <v>0</v>
      </c>
      <c r="Z319" s="88">
        <f>全车数据表!AN320</f>
        <v>4</v>
      </c>
      <c r="AA319" s="88">
        <f>全车数据表!AP320</f>
        <v>8</v>
      </c>
      <c r="AB319" s="88">
        <f>全车数据表!AR320</f>
        <v>6</v>
      </c>
      <c r="AC319" s="88">
        <f>全车数据表!AW320</f>
        <v>502</v>
      </c>
      <c r="AD319" s="88">
        <f>全车数据表!AX320</f>
        <v>0</v>
      </c>
      <c r="AE319" s="88">
        <f>全车数据表!AY320</f>
        <v>595</v>
      </c>
      <c r="AF319" s="88" t="str">
        <f>IF(全车数据表!BA320="","",全车数据表!BA320)</f>
        <v>联会赛事</v>
      </c>
      <c r="AG319" s="88" t="str">
        <f>IF(全车数据表!BB320="","",全车数据表!BB320)</f>
        <v/>
      </c>
      <c r="AH319" s="88" t="str">
        <f>IF(全车数据表!BC320="","",全车数据表!BC320)</f>
        <v/>
      </c>
      <c r="AI319" s="88" t="str">
        <f>IF(全车数据表!BD320="","",全车数据表!BD320)</f>
        <v/>
      </c>
      <c r="AJ319" s="88" t="str">
        <f>IF(全车数据表!BE320="","",全车数据表!BE320)</f>
        <v/>
      </c>
      <c r="AK319" s="88" t="str">
        <f>IF(全车数据表!BF320="","",全车数据表!BF320)</f>
        <v/>
      </c>
      <c r="AL319" s="88" t="str">
        <f>IF(全车数据表!BG320="","",全车数据表!BG320)</f>
        <v/>
      </c>
      <c r="AM319" s="88" t="str">
        <f>IF(全车数据表!BH320="","",全车数据表!BH320)</f>
        <v/>
      </c>
      <c r="AN319" s="88" t="str">
        <f>IF(全车数据表!BI320="","",全车数据表!BI320)</f>
        <v/>
      </c>
      <c r="AO319" s="88" t="str">
        <f>IF(全车数据表!BJ320="","",全车数据表!BJ320)</f>
        <v/>
      </c>
      <c r="AP319" s="88" t="str">
        <f>IF(全车数据表!BK320="","",全车数据表!BK320)</f>
        <v/>
      </c>
      <c r="AQ319" s="88" t="str">
        <f>IF(全车数据表!BL320="","",全车数据表!BL320)</f>
        <v/>
      </c>
      <c r="AR319" s="88" t="str">
        <f>IF(全车数据表!BM320="","",全车数据表!BM320)</f>
        <v/>
      </c>
      <c r="AS319" s="88" t="str">
        <f>IF(全车数据表!BN320="","",全车数据表!BN320)</f>
        <v/>
      </c>
      <c r="AT319" s="88" t="str">
        <f>IF(全车数据表!BO320="","",全车数据表!BO320)</f>
        <v/>
      </c>
      <c r="AU319" s="88" t="str">
        <f>IF(全车数据表!BP320="","",全车数据表!BP320)</f>
        <v/>
      </c>
      <c r="AV319" s="88" t="str">
        <f>IF(全车数据表!BQ320="","",全车数据表!BQ320)</f>
        <v/>
      </c>
      <c r="AW319" s="88" t="str">
        <f>IF(全车数据表!BR320="","",全车数据表!BR320)</f>
        <v/>
      </c>
      <c r="AX319" s="88" t="str">
        <f>IF(全车数据表!BS320="","",全车数据表!BS320)</f>
        <v/>
      </c>
      <c r="AY319" s="88" t="str">
        <f>IF(全车数据表!BT320="","",全车数据表!BT320)</f>
        <v/>
      </c>
      <c r="AZ319" s="88" t="str">
        <f>IF(全车数据表!BU320="","",全车数据表!BU320)</f>
        <v/>
      </c>
      <c r="BA319" s="88" t="str">
        <f>IF(全车数据表!BV320="","",全车数据表!BV320)</f>
        <v>大蜥蜴</v>
      </c>
      <c r="BB319" s="91" t="str">
        <f>IF(全车数据表!AZ320="","",全车数据表!AZ320)</f>
        <v/>
      </c>
    </row>
    <row r="320" spans="1:54">
      <c r="A320" s="88">
        <f>全车数据表!A321</f>
        <v>319</v>
      </c>
      <c r="B320" s="88" t="str">
        <f>全车数据表!B321</f>
        <v>Mercedes-Benz Silver Lightning🔑</v>
      </c>
      <c r="C320" s="89" t="str">
        <f>全车数据表!E321</f>
        <v>silver</v>
      </c>
      <c r="D320" s="88" t="str">
        <f>IF(全车数据表!D321="","",全车数据表!D321)</f>
        <v>Mercedes-Benz</v>
      </c>
      <c r="E320" s="89" t="str">
        <f>全车数据表!H321</f>
        <v>5.0</v>
      </c>
      <c r="F320" s="89" t="str">
        <f>全车数据表!C321</f>
        <v>银电</v>
      </c>
      <c r="G320" s="89" t="str">
        <f>全车数据表!F321</f>
        <v>R</v>
      </c>
      <c r="H320" s="88">
        <f>LEN(全车数据表!G321)</f>
        <v>6</v>
      </c>
      <c r="I320" s="88" t="str">
        <f>VLOOKUP(全车数据表!P321,辅助计算!A:B,2,FALSE)</f>
        <v>ruby</v>
      </c>
      <c r="J320" s="88" t="str">
        <f>全车数据表!Q321</f>
        <v>🔑</v>
      </c>
      <c r="K320" s="88">
        <f>全车数据表!R321</f>
        <v>60</v>
      </c>
      <c r="L320" s="88">
        <f>全车数据表!S321</f>
        <v>65</v>
      </c>
      <c r="M320" s="88">
        <f>全车数据表!T321</f>
        <v>68</v>
      </c>
      <c r="N320" s="88">
        <f>全车数据表!U321</f>
        <v>72</v>
      </c>
      <c r="O320" s="88">
        <f>全车数据表!V321</f>
        <v>75</v>
      </c>
      <c r="P320" s="88">
        <f>全车数据表!J321</f>
        <v>5344</v>
      </c>
      <c r="Q320" s="88">
        <f>全车数据表!K321</f>
        <v>443.4</v>
      </c>
      <c r="R320" s="88">
        <f>全车数据表!L321</f>
        <v>80.150000000000006</v>
      </c>
      <c r="S320" s="88">
        <f>全车数据表!M321</f>
        <v>84.1</v>
      </c>
      <c r="T320" s="88">
        <f>全车数据表!N321</f>
        <v>55.95</v>
      </c>
      <c r="U320" s="88">
        <f>全车数据表!O321</f>
        <v>4.7</v>
      </c>
      <c r="V320" s="88">
        <f>全车数据表!AL321</f>
        <v>0</v>
      </c>
      <c r="W320" s="88">
        <f>全车数据表!AM321</f>
        <v>0</v>
      </c>
      <c r="X320" s="88">
        <f>全车数据表!AU321</f>
        <v>0</v>
      </c>
      <c r="Y320" s="88">
        <f>全车数据表!AV321</f>
        <v>0</v>
      </c>
      <c r="Z320" s="88">
        <f>全车数据表!AN321</f>
        <v>4</v>
      </c>
      <c r="AA320" s="88">
        <f>全车数据表!AP321</f>
        <v>8</v>
      </c>
      <c r="AB320" s="88">
        <f>全车数据表!AR321</f>
        <v>6</v>
      </c>
      <c r="AC320" s="88">
        <f>全车数据表!AW321</f>
        <v>483</v>
      </c>
      <c r="AD320" s="88">
        <f>全车数据表!AX321</f>
        <v>531</v>
      </c>
      <c r="AE320" s="88">
        <f>全车数据表!AY321</f>
        <v>600</v>
      </c>
      <c r="AF320" s="88" t="str">
        <f>IF(全车数据表!BA321="","",全车数据表!BA321)</f>
        <v>联会赛事</v>
      </c>
      <c r="AG320" s="88" t="str">
        <f>IF(全车数据表!BB321="","",全车数据表!BB321)</f>
        <v/>
      </c>
      <c r="AH320" s="88" t="str">
        <f>IF(全车数据表!BC321="","",全车数据表!BC321)</f>
        <v/>
      </c>
      <c r="AI320" s="88" t="str">
        <f>IF(全车数据表!BD321="","",全车数据表!BD321)</f>
        <v/>
      </c>
      <c r="AJ320" s="88" t="str">
        <f>IF(全车数据表!BE321="","",全车数据表!BE321)</f>
        <v/>
      </c>
      <c r="AK320" s="88" t="str">
        <f>IF(全车数据表!BF321="","",全车数据表!BF321)</f>
        <v/>
      </c>
      <c r="AL320" s="88" t="str">
        <f>IF(全车数据表!BG321="","",全车数据表!BG321)</f>
        <v/>
      </c>
      <c r="AM320" s="88" t="str">
        <f>IF(全车数据表!BH321="","",全车数据表!BH321)</f>
        <v/>
      </c>
      <c r="AN320" s="88" t="str">
        <f>IF(全车数据表!BI321="","",全车数据表!BI321)</f>
        <v/>
      </c>
      <c r="AO320" s="88" t="str">
        <f>IF(全车数据表!BJ321="","",全车数据表!BJ321)</f>
        <v/>
      </c>
      <c r="AP320" s="88" t="str">
        <f>IF(全车数据表!BK321="","",全车数据表!BK321)</f>
        <v/>
      </c>
      <c r="AQ320" s="88" t="str">
        <f>IF(全车数据表!BL321="","",全车数据表!BL321)</f>
        <v/>
      </c>
      <c r="AR320" s="88" t="str">
        <f>IF(全车数据表!BM321="","",全车数据表!BM321)</f>
        <v/>
      </c>
      <c r="AS320" s="88">
        <f>IF(全车数据表!BN321="","",全车数据表!BN321)</f>
        <v>1</v>
      </c>
      <c r="AT320" s="88">
        <f>IF(全车数据表!BO321="","",全车数据表!BO321)</f>
        <v>1</v>
      </c>
      <c r="AU320" s="88">
        <f>IF(全车数据表!BP321="","",全车数据表!BP321)</f>
        <v>1</v>
      </c>
      <c r="AV320" s="88" t="str">
        <f>IF(全车数据表!BQ321="","",全车数据表!BQ321)</f>
        <v/>
      </c>
      <c r="AW320" s="88" t="str">
        <f>IF(全车数据表!BR321="","",全车数据表!BR321)</f>
        <v/>
      </c>
      <c r="AX320" s="88" t="str">
        <f>IF(全车数据表!BS321="","",全车数据表!BS321)</f>
        <v/>
      </c>
      <c r="AY320" s="88" t="str">
        <f>IF(全车数据表!BT321="","",全车数据表!BT321)</f>
        <v/>
      </c>
      <c r="AZ320" s="88" t="str">
        <f>IF(全车数据表!BU321="","",全车数据表!BU321)</f>
        <v/>
      </c>
      <c r="BA320" s="88" t="str">
        <f>IF(全车数据表!BV321="","",全车数据表!BV321)</f>
        <v>银色闪电 梅赛德斯奔驰</v>
      </c>
      <c r="BB320" s="91" t="str">
        <f>IF(全车数据表!AZ321="","",全车数据表!AZ321)</f>
        <v/>
      </c>
    </row>
    <row r="321" spans="1:54">
      <c r="A321" s="88">
        <f>全车数据表!A322</f>
        <v>320</v>
      </c>
      <c r="B321" s="88" t="str">
        <f>全车数据表!B322</f>
        <v>Bugatti Bolide🔑</v>
      </c>
      <c r="C321" s="89" t="str">
        <f>全车数据表!E322</f>
        <v>bolide</v>
      </c>
      <c r="D321" s="88" t="str">
        <f>IF(全车数据表!D322="","",全车数据表!D322)</f>
        <v>Bugatti</v>
      </c>
      <c r="E321" s="89" t="str">
        <f>全车数据表!H322</f>
        <v>3.9</v>
      </c>
      <c r="F321" s="89" t="str">
        <f>全车数据表!C322</f>
        <v>玻璃龙</v>
      </c>
      <c r="G321" s="89" t="str">
        <f>全车数据表!F322</f>
        <v>R</v>
      </c>
      <c r="H321" s="88">
        <f>LEN(全车数据表!G322)</f>
        <v>6</v>
      </c>
      <c r="I321" s="88" t="str">
        <f>VLOOKUP(全车数据表!P322,辅助计算!A:B,2,FALSE)</f>
        <v>ruby</v>
      </c>
      <c r="J321" s="88" t="str">
        <f>全车数据表!Q322</f>
        <v>🔑</v>
      </c>
      <c r="K321" s="88">
        <f>全车数据表!R322</f>
        <v>60</v>
      </c>
      <c r="L321" s="88">
        <f>全车数据表!S322</f>
        <v>65</v>
      </c>
      <c r="M321" s="88">
        <f>全车数据表!T322</f>
        <v>68</v>
      </c>
      <c r="N321" s="88">
        <f>全车数据表!U322</f>
        <v>72</v>
      </c>
      <c r="O321" s="88">
        <f>全车数据表!V322</f>
        <v>75</v>
      </c>
      <c r="P321" s="88">
        <f>全车数据表!J322</f>
        <v>5385</v>
      </c>
      <c r="Q321" s="88">
        <f>全车数据表!K322</f>
        <v>497.1</v>
      </c>
      <c r="R321" s="88">
        <f>全车数据表!L322</f>
        <v>84.28</v>
      </c>
      <c r="S321" s="88">
        <f>全车数据表!M322</f>
        <v>55.58</v>
      </c>
      <c r="T321" s="88">
        <f>全车数据表!N322</f>
        <v>34.659999999999997</v>
      </c>
      <c r="U321" s="88">
        <f>全车数据表!O322</f>
        <v>3.67</v>
      </c>
      <c r="V321" s="88">
        <f>全车数据表!AL322</f>
        <v>50000000</v>
      </c>
      <c r="W321" s="88">
        <f>全车数据表!AM322</f>
        <v>150000</v>
      </c>
      <c r="X321" s="88">
        <f>全车数据表!AU322</f>
        <v>50000000</v>
      </c>
      <c r="Y321" s="88">
        <f>全车数据表!AV322</f>
        <v>100000000</v>
      </c>
      <c r="Z321" s="88">
        <f>全车数据表!AN322</f>
        <v>4</v>
      </c>
      <c r="AA321" s="88">
        <f>全车数据表!AP322</f>
        <v>8</v>
      </c>
      <c r="AB321" s="88">
        <f>全车数据表!AR322</f>
        <v>6</v>
      </c>
      <c r="AC321" s="88">
        <f>全车数据表!AW322</f>
        <v>522</v>
      </c>
      <c r="AD321" s="88">
        <f>全车数据表!AX322</f>
        <v>0</v>
      </c>
      <c r="AE321" s="88">
        <f>全车数据表!AY322</f>
        <v>600</v>
      </c>
      <c r="AF321" s="88" t="str">
        <f>IF(全车数据表!BA322="","",全车数据表!BA322)</f>
        <v>联会赛事</v>
      </c>
      <c r="AG321" s="88" t="str">
        <f>IF(全车数据表!BB322="","",全车数据表!BB322)</f>
        <v/>
      </c>
      <c r="AH321" s="88" t="str">
        <f>IF(全车数据表!BC322="","",全车数据表!BC322)</f>
        <v/>
      </c>
      <c r="AI321" s="88" t="str">
        <f>IF(全车数据表!BD322="","",全车数据表!BD322)</f>
        <v/>
      </c>
      <c r="AJ321" s="88" t="str">
        <f>IF(全车数据表!BE322="","",全车数据表!BE322)</f>
        <v/>
      </c>
      <c r="AK321" s="88" t="str">
        <f>IF(全车数据表!BF322="","",全车数据表!BF322)</f>
        <v/>
      </c>
      <c r="AL321" s="88" t="str">
        <f>IF(全车数据表!BG322="","",全车数据表!BG322)</f>
        <v/>
      </c>
      <c r="AM321" s="88" t="str">
        <f>IF(全车数据表!BH322="","",全车数据表!BH322)</f>
        <v/>
      </c>
      <c r="AN321" s="88" t="str">
        <f>IF(全车数据表!BI322="","",全车数据表!BI322)</f>
        <v/>
      </c>
      <c r="AO321" s="88" t="str">
        <f>IF(全车数据表!BJ322="","",全车数据表!BJ322)</f>
        <v/>
      </c>
      <c r="AP321" s="88" t="str">
        <f>IF(全车数据表!BK322="","",全车数据表!BK322)</f>
        <v/>
      </c>
      <c r="AQ321" s="88" t="str">
        <f>IF(全车数据表!BL322="","",全车数据表!BL322)</f>
        <v/>
      </c>
      <c r="AR321" s="88" t="str">
        <f>IF(全车数据表!BM322="","",全车数据表!BM322)</f>
        <v/>
      </c>
      <c r="AS321" s="88">
        <f>IF(全车数据表!BN322="","",全车数据表!BN322)</f>
        <v>1</v>
      </c>
      <c r="AT321" s="88">
        <f>IF(全车数据表!BO322="","",全车数据表!BO322)</f>
        <v>1</v>
      </c>
      <c r="AU321" s="88" t="str">
        <f>IF(全车数据表!BP322="","",全车数据表!BP322)</f>
        <v/>
      </c>
      <c r="AV321" s="88" t="str">
        <f>IF(全车数据表!BQ322="","",全车数据表!BQ322)</f>
        <v/>
      </c>
      <c r="AW321" s="88" t="str">
        <f>IF(全车数据表!BR322="","",全车数据表!BR322)</f>
        <v/>
      </c>
      <c r="AX321" s="88" t="str">
        <f>IF(全车数据表!BS322="","",全车数据表!BS322)</f>
        <v/>
      </c>
      <c r="AY321" s="88" t="str">
        <f>IF(全车数据表!BT322="","",全车数据表!BT322)</f>
        <v/>
      </c>
      <c r="AZ321" s="88" t="str">
        <f>IF(全车数据表!BU322="","",全车数据表!BU322)</f>
        <v/>
      </c>
      <c r="BA321" s="88" t="str">
        <f>IF(全车数据表!BV322="","",全车数据表!BV322)</f>
        <v>布加迪</v>
      </c>
      <c r="BB321" s="91" t="str">
        <f>IF(全车数据表!AZ322="","",全车数据表!AZ322)</f>
        <v/>
      </c>
    </row>
    <row r="322" spans="1:54">
      <c r="A322" s="88">
        <f>全车数据表!A323</f>
        <v>321</v>
      </c>
      <c r="B322" s="88" t="str">
        <f>全车数据表!B323</f>
        <v>Bugatti Chiron Super Sport 300+🔑</v>
      </c>
      <c r="C322" s="89" t="str">
        <f>全车数据表!E323</f>
        <v>chiron300</v>
      </c>
      <c r="D322" s="88" t="str">
        <f>IF(全车数据表!D323="","",全车数据表!D323)</f>
        <v>Bugatti</v>
      </c>
      <c r="E322" s="89" t="str">
        <f>全车数据表!H323</f>
        <v>4.4</v>
      </c>
      <c r="F322" s="89" t="str">
        <f>全车数据表!C323</f>
        <v>300+</v>
      </c>
      <c r="G322" s="89" t="str">
        <f>全车数据表!F323</f>
        <v>R</v>
      </c>
      <c r="H322" s="88">
        <f>LEN(全车数据表!G323)</f>
        <v>6</v>
      </c>
      <c r="I322" s="88" t="str">
        <f>VLOOKUP(全车数据表!P323,辅助计算!A:B,2,FALSE)</f>
        <v>ruby</v>
      </c>
      <c r="J322" s="88" t="str">
        <f>全车数据表!Q323</f>
        <v>🔑</v>
      </c>
      <c r="K322" s="88">
        <f>全车数据表!R323</f>
        <v>60</v>
      </c>
      <c r="L322" s="88">
        <f>全车数据表!S323</f>
        <v>65</v>
      </c>
      <c r="M322" s="88">
        <f>全车数据表!T323</f>
        <v>68</v>
      </c>
      <c r="N322" s="88">
        <f>全车数据表!U323</f>
        <v>72</v>
      </c>
      <c r="O322" s="88">
        <f>全车数据表!V323</f>
        <v>75</v>
      </c>
      <c r="P322" s="88">
        <f>全车数据表!J323</f>
        <v>5602</v>
      </c>
      <c r="Q322" s="88">
        <f>全车数据表!K323</f>
        <v>510.1</v>
      </c>
      <c r="R322" s="88">
        <f>全车数据表!L323</f>
        <v>83.26</v>
      </c>
      <c r="S322" s="88">
        <f>全车数据表!M323</f>
        <v>64.819999999999993</v>
      </c>
      <c r="T322" s="88">
        <f>全车数据表!N323</f>
        <v>44.58</v>
      </c>
      <c r="U322" s="88">
        <f>全车数据表!O323</f>
        <v>4</v>
      </c>
      <c r="V322" s="88">
        <f>全车数据表!AL323</f>
        <v>50000000</v>
      </c>
      <c r="W322" s="88">
        <f>全车数据表!AM323</f>
        <v>150000</v>
      </c>
      <c r="X322" s="88">
        <f>全车数据表!AU323</f>
        <v>50000000</v>
      </c>
      <c r="Y322" s="88">
        <f>全车数据表!AV323</f>
        <v>100000000</v>
      </c>
      <c r="Z322" s="88">
        <f>全车数据表!AN323</f>
        <v>4</v>
      </c>
      <c r="AA322" s="88">
        <f>全车数据表!AP323</f>
        <v>8</v>
      </c>
      <c r="AB322" s="88">
        <f>全车数据表!AR323</f>
        <v>6</v>
      </c>
      <c r="AC322" s="88">
        <f>全车数据表!AW323</f>
        <v>536</v>
      </c>
      <c r="AD322" s="88">
        <f>全车数据表!AX323</f>
        <v>0</v>
      </c>
      <c r="AE322" s="88">
        <f>全车数据表!AY323</f>
        <v>600</v>
      </c>
      <c r="AF322" s="88" t="str">
        <f>IF(全车数据表!BA323="","",全车数据表!BA323)</f>
        <v>狂野大师</v>
      </c>
      <c r="AG322" s="88" t="str">
        <f>IF(全车数据表!BB323="","",全车数据表!BB323)</f>
        <v/>
      </c>
      <c r="AH322" s="88" t="str">
        <f>IF(全车数据表!BC323="","",全车数据表!BC323)</f>
        <v/>
      </c>
      <c r="AI322" s="88" t="str">
        <f>IF(全车数据表!BD323="","",全车数据表!BD323)</f>
        <v/>
      </c>
      <c r="AJ322" s="88" t="str">
        <f>IF(全车数据表!BE323="","",全车数据表!BE323)</f>
        <v/>
      </c>
      <c r="AK322" s="88" t="str">
        <f>IF(全车数据表!BF323="","",全车数据表!BF323)</f>
        <v/>
      </c>
      <c r="AL322" s="88" t="str">
        <f>IF(全车数据表!BG323="","",全车数据表!BG323)</f>
        <v/>
      </c>
      <c r="AM322" s="88" t="str">
        <f>IF(全车数据表!BH323="","",全车数据表!BH323)</f>
        <v/>
      </c>
      <c r="AN322" s="88" t="str">
        <f>IF(全车数据表!BI323="","",全车数据表!BI323)</f>
        <v/>
      </c>
      <c r="AO322" s="88" t="str">
        <f>IF(全车数据表!BJ323="","",全车数据表!BJ323)</f>
        <v/>
      </c>
      <c r="AP322" s="88" t="str">
        <f>IF(全车数据表!BK323="","",全车数据表!BK323)</f>
        <v/>
      </c>
      <c r="AQ322" s="88" t="str">
        <f>IF(全车数据表!BL323="","",全车数据表!BL323)</f>
        <v/>
      </c>
      <c r="AR322" s="88" t="str">
        <f>IF(全车数据表!BM323="","",全车数据表!BM323)</f>
        <v/>
      </c>
      <c r="AS322" s="88" t="str">
        <f>IF(全车数据表!BN323="","",全车数据表!BN323)</f>
        <v/>
      </c>
      <c r="AT322" s="88">
        <f>IF(全车数据表!BO323="","",全车数据表!BO323)</f>
        <v>1</v>
      </c>
      <c r="AU322" s="88" t="str">
        <f>IF(全车数据表!BP323="","",全车数据表!BP323)</f>
        <v/>
      </c>
      <c r="AV322" s="88" t="str">
        <f>IF(全车数据表!BQ323="","",全车数据表!BQ323)</f>
        <v/>
      </c>
      <c r="AW322" s="88" t="str">
        <f>IF(全车数据表!BR323="","",全车数据表!BR323)</f>
        <v/>
      </c>
      <c r="AX322" s="88" t="str">
        <f>IF(全车数据表!BS323="","",全车数据表!BS323)</f>
        <v/>
      </c>
      <c r="AY322" s="88" t="str">
        <f>IF(全车数据表!BT323="","",全车数据表!BT323)</f>
        <v/>
      </c>
      <c r="AZ322" s="88" t="str">
        <f>IF(全车数据表!BU323="","",全车数据表!BU323)</f>
        <v/>
      </c>
      <c r="BA322" s="88" t="str">
        <f>IF(全车数据表!BV323="","",全车数据表!BV323)</f>
        <v>布加迪 奇龙 肥龙 胖龙 凯龙</v>
      </c>
      <c r="BB322" s="91" t="str">
        <f>IF(全车数据表!AZ323="","",全车数据表!AZ323)</f>
        <v/>
      </c>
    </row>
    <row r="323" spans="1:54">
      <c r="A323" s="88">
        <f>全车数据表!A324</f>
        <v>322</v>
      </c>
      <c r="B323" s="88" t="str">
        <f>全车数据表!B324</f>
        <v>Rimac Nevera R🔑</v>
      </c>
      <c r="C323" s="89" t="str">
        <f>全车数据表!E324</f>
        <v>neverar</v>
      </c>
      <c r="D323" s="88" t="str">
        <f>IF(全车数据表!D324="","",全车数据表!D324)</f>
        <v>Rimac</v>
      </c>
      <c r="E323" s="89" t="str">
        <f>全车数据表!H324</f>
        <v>5.3</v>
      </c>
      <c r="F323" s="89" t="str">
        <f>全车数据表!C324</f>
        <v>Nevera R</v>
      </c>
      <c r="G323" s="89" t="str">
        <f>全车数据表!F324</f>
        <v>R</v>
      </c>
      <c r="H323" s="88">
        <f>LEN(全车数据表!G324)</f>
        <v>6</v>
      </c>
      <c r="I323" s="88" t="str">
        <f>VLOOKUP(全车数据表!P324,辅助计算!A:B,2,FALSE)</f>
        <v>ruby</v>
      </c>
      <c r="J323" s="88" t="str">
        <f>全车数据表!Q324</f>
        <v>🔑</v>
      </c>
      <c r="K323" s="88">
        <f>全车数据表!R324</f>
        <v>60</v>
      </c>
      <c r="L323" s="88">
        <f>全车数据表!S324</f>
        <v>65</v>
      </c>
      <c r="M323" s="88">
        <f>全车数据表!T324</f>
        <v>68</v>
      </c>
      <c r="N323" s="88">
        <f>全车数据表!U324</f>
        <v>72</v>
      </c>
      <c r="O323" s="88">
        <f>全车数据表!V324</f>
        <v>75</v>
      </c>
      <c r="P323" s="88">
        <f>全车数据表!J324</f>
        <v>5611</v>
      </c>
      <c r="Q323" s="88">
        <f>全车数据表!K324</f>
        <v>453.1</v>
      </c>
      <c r="R323" s="88">
        <f>全车数据表!L324</f>
        <v>89.07</v>
      </c>
      <c r="S323" s="88">
        <f>全车数据表!M324</f>
        <v>76.53</v>
      </c>
      <c r="T323" s="88">
        <f>全车数据表!N324</f>
        <v>48.88</v>
      </c>
      <c r="U323" s="88">
        <f>全车数据表!O324</f>
        <v>0</v>
      </c>
      <c r="V323" s="88">
        <f>全车数据表!AL324</f>
        <v>0</v>
      </c>
      <c r="W323" s="88">
        <f>全车数据表!AM324</f>
        <v>0</v>
      </c>
      <c r="X323" s="88">
        <f>全车数据表!AU324</f>
        <v>0</v>
      </c>
      <c r="Y323" s="88">
        <f>全车数据表!AV324</f>
        <v>0</v>
      </c>
      <c r="Z323" s="88">
        <f>全车数据表!AN324</f>
        <v>4</v>
      </c>
      <c r="AA323" s="88">
        <f>全车数据表!AP324</f>
        <v>8</v>
      </c>
      <c r="AB323" s="88">
        <f>全车数据表!AR324</f>
        <v>6</v>
      </c>
      <c r="AC323" s="88">
        <f>全车数据表!AW324</f>
        <v>480</v>
      </c>
      <c r="AD323" s="88">
        <f>全车数据表!AX324</f>
        <v>0</v>
      </c>
      <c r="AE323" s="88">
        <f>全车数据表!AY324</f>
        <v>585</v>
      </c>
      <c r="AF323" s="88" t="str">
        <f>IF(全车数据表!BA324="","",全车数据表!BA324)</f>
        <v>联会赛事</v>
      </c>
      <c r="AG323" s="88" t="str">
        <f>IF(全车数据表!BB324="","",全车数据表!BB324)</f>
        <v/>
      </c>
      <c r="AH323" s="88" t="str">
        <f>IF(全车数据表!BC324="","",全车数据表!BC324)</f>
        <v/>
      </c>
      <c r="AI323" s="88" t="str">
        <f>IF(全车数据表!BD324="","",全车数据表!BD324)</f>
        <v/>
      </c>
      <c r="AJ323" s="88" t="str">
        <f>IF(全车数据表!BE324="","",全车数据表!BE324)</f>
        <v/>
      </c>
      <c r="AK323" s="88" t="str">
        <f>IF(全车数据表!BF324="","",全车数据表!BF324)</f>
        <v/>
      </c>
      <c r="AL323" s="88" t="str">
        <f>IF(全车数据表!BG324="","",全车数据表!BG324)</f>
        <v/>
      </c>
      <c r="AM323" s="88" t="str">
        <f>IF(全车数据表!BH324="","",全车数据表!BH324)</f>
        <v/>
      </c>
      <c r="AN323" s="88" t="str">
        <f>IF(全车数据表!BI324="","",全车数据表!BI324)</f>
        <v/>
      </c>
      <c r="AO323" s="88" t="str">
        <f>IF(全车数据表!BJ324="","",全车数据表!BJ324)</f>
        <v/>
      </c>
      <c r="AP323" s="88" t="str">
        <f>IF(全车数据表!BK324="","",全车数据表!BK324)</f>
        <v/>
      </c>
      <c r="AQ323" s="88" t="str">
        <f>IF(全车数据表!BL324="","",全车数据表!BL324)</f>
        <v/>
      </c>
      <c r="AR323" s="88" t="str">
        <f>IF(全车数据表!BM324="","",全车数据表!BM324)</f>
        <v/>
      </c>
      <c r="AS323" s="88" t="str">
        <f>IF(全车数据表!BN324="","",全车数据表!BN324)</f>
        <v/>
      </c>
      <c r="AT323" s="88" t="str">
        <f>IF(全车数据表!BO324="","",全车数据表!BO324)</f>
        <v/>
      </c>
      <c r="AU323" s="88" t="str">
        <f>IF(全车数据表!BP324="","",全车数据表!BP324)</f>
        <v/>
      </c>
      <c r="AV323" s="88" t="str">
        <f>IF(全车数据表!BQ324="","",全车数据表!BQ324)</f>
        <v/>
      </c>
      <c r="AW323" s="88" t="str">
        <f>IF(全车数据表!BR324="","",全车数据表!BR324)</f>
        <v/>
      </c>
      <c r="AX323" s="88" t="str">
        <f>IF(全车数据表!BS324="","",全车数据表!BS324)</f>
        <v/>
      </c>
      <c r="AY323" s="88" t="str">
        <f>IF(全车数据表!BT324="","",全车数据表!BT324)</f>
        <v/>
      </c>
      <c r="AZ323" s="88" t="str">
        <f>IF(全车数据表!BU324="","",全车数据表!BU324)</f>
        <v/>
      </c>
      <c r="BA323" s="88" t="str">
        <f>IF(全车数据表!BV324="","",全车数据表!BV324)</f>
        <v>C2 兔子</v>
      </c>
      <c r="BB323" s="91" t="str">
        <f>IF(全车数据表!AZ324="","",全车数据表!AZ324)</f>
        <v/>
      </c>
    </row>
    <row r="324" spans="1:54">
      <c r="A324" s="88">
        <f>全车数据表!A325</f>
        <v>323</v>
      </c>
      <c r="B324" s="88" t="str">
        <f>全车数据表!B325</f>
        <v>Hennessey Venom F5 Revolution</v>
      </c>
      <c r="C324" s="89" t="str">
        <f>全车数据表!E325</f>
        <v>hennessey_venom_f5_evolution</v>
      </c>
      <c r="D324" s="88" t="str">
        <f>IF(全车数据表!D325="","",全车数据表!D325)</f>
        <v>Hennessey</v>
      </c>
      <c r="E324" s="89" t="str">
        <f>全车数据表!H325</f>
        <v>5.7</v>
      </c>
      <c r="F324" s="89" t="str">
        <f>全车数据表!C325</f>
        <v>毒液 F5 R</v>
      </c>
      <c r="G324" s="89" t="str">
        <f>全车数据表!F325</f>
        <v>R</v>
      </c>
      <c r="H324" s="88">
        <f>LEN(全车数据表!G325)</f>
        <v>6</v>
      </c>
      <c r="I324" s="88" t="str">
        <f>VLOOKUP(全车数据表!P325,辅助计算!A:B,2,FALSE)</f>
        <v>ruby</v>
      </c>
      <c r="J324" s="88" t="str">
        <f>全车数据表!Q325</f>
        <v>🔑</v>
      </c>
      <c r="K324" s="88">
        <f>全车数据表!R325</f>
        <v>60</v>
      </c>
      <c r="L324" s="88">
        <f>全车数据表!S325</f>
        <v>65</v>
      </c>
      <c r="M324" s="88">
        <f>全车数据表!T325</f>
        <v>68</v>
      </c>
      <c r="N324" s="88">
        <f>全车数据表!U325</f>
        <v>72</v>
      </c>
      <c r="O324" s="88">
        <f>全车数据表!V325</f>
        <v>75</v>
      </c>
      <c r="P324" s="88">
        <f>全车数据表!J325</f>
        <v>5656</v>
      </c>
      <c r="Q324" s="88">
        <f>全车数据表!K325</f>
        <v>535.4</v>
      </c>
      <c r="R324" s="88">
        <f>全车数据表!L325</f>
        <v>82.77</v>
      </c>
      <c r="S324" s="88">
        <f>全车数据表!M325</f>
        <v>55.58</v>
      </c>
      <c r="T324" s="88">
        <f>全车数据表!N325</f>
        <v>50.2</v>
      </c>
      <c r="U324" s="88">
        <f>全车数据表!O325</f>
        <v>0</v>
      </c>
      <c r="V324" s="88">
        <f>全车数据表!AL325</f>
        <v>0</v>
      </c>
      <c r="W324" s="88">
        <f>全车数据表!AM325</f>
        <v>0</v>
      </c>
      <c r="X324" s="88">
        <f>全车数据表!AU325</f>
        <v>0</v>
      </c>
      <c r="Y324" s="88">
        <f>全车数据表!AV325</f>
        <v>0</v>
      </c>
      <c r="Z324" s="88">
        <f>全车数据表!AN325</f>
        <v>4</v>
      </c>
      <c r="AA324" s="88">
        <f>全车数据表!AP325</f>
        <v>8</v>
      </c>
      <c r="AB324" s="88">
        <f>全车数据表!AR325</f>
        <v>6</v>
      </c>
      <c r="AC324" s="88">
        <f>全车数据表!AW325</f>
        <v>554</v>
      </c>
      <c r="AD324" s="88">
        <f>全车数据表!AX325</f>
        <v>0</v>
      </c>
      <c r="AE324" s="88">
        <f>全车数据表!AY325</f>
        <v>600</v>
      </c>
      <c r="AF324" s="88" t="str">
        <f>IF(全车数据表!BA325="","",全车数据表!BA325)</f>
        <v>联会赛事</v>
      </c>
      <c r="AG324" s="88" t="str">
        <f>IF(全车数据表!BB325="","",全车数据表!BB325)</f>
        <v/>
      </c>
      <c r="AH324" s="88" t="str">
        <f>IF(全车数据表!BC325="","",全车数据表!BC325)</f>
        <v/>
      </c>
      <c r="AI324" s="88" t="str">
        <f>IF(全车数据表!BD325="","",全车数据表!BD325)</f>
        <v/>
      </c>
      <c r="AJ324" s="88" t="str">
        <f>IF(全车数据表!BE325="","",全车数据表!BE325)</f>
        <v/>
      </c>
      <c r="AK324" s="88" t="str">
        <f>IF(全车数据表!BF325="","",全车数据表!BF325)</f>
        <v/>
      </c>
      <c r="AL324" s="88" t="str">
        <f>IF(全车数据表!BG325="","",全车数据表!BG325)</f>
        <v/>
      </c>
      <c r="AM324" s="88" t="str">
        <f>IF(全车数据表!BH325="","",全车数据表!BH325)</f>
        <v/>
      </c>
      <c r="AN324" s="88" t="str">
        <f>IF(全车数据表!BI325="","",全车数据表!BI325)</f>
        <v/>
      </c>
      <c r="AO324" s="88" t="str">
        <f>IF(全车数据表!BJ325="","",全车数据表!BJ325)</f>
        <v/>
      </c>
      <c r="AP324" s="88" t="str">
        <f>IF(全车数据表!BK325="","",全车数据表!BK325)</f>
        <v/>
      </c>
      <c r="AQ324" s="88" t="str">
        <f>IF(全车数据表!BL325="","",全车数据表!BL325)</f>
        <v/>
      </c>
      <c r="AR324" s="88" t="str">
        <f>IF(全车数据表!BM325="","",全车数据表!BM325)</f>
        <v/>
      </c>
      <c r="AS324" s="88" t="str">
        <f>IF(全车数据表!BN325="","",全车数据表!BN325)</f>
        <v/>
      </c>
      <c r="AT324" s="88" t="str">
        <f>IF(全车数据表!BO325="","",全车数据表!BO325)</f>
        <v/>
      </c>
      <c r="AU324" s="88" t="str">
        <f>IF(全车数据表!BP325="","",全车数据表!BP325)</f>
        <v/>
      </c>
      <c r="AV324" s="88" t="str">
        <f>IF(全车数据表!BQ325="","",全车数据表!BQ325)</f>
        <v/>
      </c>
      <c r="AW324" s="88" t="str">
        <f>IF(全车数据表!BR325="","",全车数据表!BR325)</f>
        <v/>
      </c>
      <c r="AX324" s="88" t="str">
        <f>IF(全车数据表!BS325="","",全车数据表!BS325)</f>
        <v/>
      </c>
      <c r="AY324" s="88" t="str">
        <f>IF(全车数据表!BT325="","",全车数据表!BT325)</f>
        <v/>
      </c>
      <c r="AZ324" s="88" t="str">
        <f>IF(全车数据表!BU325="","",全车数据表!BU325)</f>
        <v/>
      </c>
      <c r="BA324" s="88" t="str">
        <f>IF(全车数据表!BV325="","",全车数据表!BV325)</f>
        <v>轩尼诗</v>
      </c>
      <c r="BB324" s="91" t="str">
        <f>IF(全车数据表!AZ325="","",全车数据表!AZ325)</f>
        <v/>
      </c>
    </row>
    <row r="325" spans="1:54">
      <c r="A325" s="88">
        <f>全车数据表!A326</f>
        <v>324</v>
      </c>
      <c r="B325" s="88" t="str">
        <f>全车数据表!B326</f>
        <v>Koenigsegg Jesko Absolut</v>
      </c>
      <c r="C325" s="89" t="str">
        <f>全车数据表!E326</f>
        <v>jkab</v>
      </c>
      <c r="D325" s="88" t="str">
        <f>IF(全车数据表!D326="","",全车数据表!D326)</f>
        <v>Koenigsegg</v>
      </c>
      <c r="E325" s="89" t="str">
        <f>全车数据表!H326</f>
        <v>4.1</v>
      </c>
      <c r="F325" s="89" t="str">
        <f>全车数据表!C326</f>
        <v>杰皇</v>
      </c>
      <c r="G325" s="89" t="str">
        <f>全车数据表!F326</f>
        <v>R</v>
      </c>
      <c r="H325" s="88">
        <f>LEN(全车数据表!G326)</f>
        <v>6</v>
      </c>
      <c r="I325" s="88" t="str">
        <f>VLOOKUP(全车数据表!P326,辅助计算!A:B,2,FALSE)</f>
        <v>ruby</v>
      </c>
      <c r="J325" s="88">
        <f>全车数据表!Q326</f>
        <v>60</v>
      </c>
      <c r="K325" s="88">
        <f>全车数据表!R326</f>
        <v>60</v>
      </c>
      <c r="L325" s="88">
        <f>全车数据表!S326</f>
        <v>62</v>
      </c>
      <c r="M325" s="88">
        <f>全车数据表!T326</f>
        <v>62</v>
      </c>
      <c r="N325" s="88">
        <f>全车数据表!U326</f>
        <v>65</v>
      </c>
      <c r="O325" s="88">
        <f>全车数据表!V326</f>
        <v>70</v>
      </c>
      <c r="P325" s="88">
        <f>全车数据表!J326</f>
        <v>5664</v>
      </c>
      <c r="Q325" s="88">
        <f>全车数据表!K326</f>
        <v>548.1</v>
      </c>
      <c r="R325" s="88">
        <f>全车数据表!L326</f>
        <v>82.27</v>
      </c>
      <c r="S325" s="88">
        <f>全车数据表!M326</f>
        <v>50.53</v>
      </c>
      <c r="T325" s="88">
        <f>全车数据表!N326</f>
        <v>52.89</v>
      </c>
      <c r="U325" s="88">
        <f>全车数据表!O326</f>
        <v>4.3</v>
      </c>
      <c r="V325" s="88">
        <f>全车数据表!AL326</f>
        <v>50000000</v>
      </c>
      <c r="W325" s="88">
        <f>全车数据表!AM326</f>
        <v>150000</v>
      </c>
      <c r="X325" s="88">
        <f>全车数据表!AU326</f>
        <v>50000000</v>
      </c>
      <c r="Y325" s="88">
        <f>全车数据表!AV326</f>
        <v>100000000</v>
      </c>
      <c r="Z325" s="88">
        <f>全车数据表!AN326</f>
        <v>4</v>
      </c>
      <c r="AA325" s="88">
        <f>全车数据表!AP326</f>
        <v>8</v>
      </c>
      <c r="AB325" s="88">
        <f>全车数据表!AR326</f>
        <v>6</v>
      </c>
      <c r="AC325" s="88">
        <f>全车数据表!AW326</f>
        <v>559</v>
      </c>
      <c r="AD325" s="88">
        <f>全车数据表!AX326</f>
        <v>0</v>
      </c>
      <c r="AE325" s="88">
        <f>全车数据表!AY326</f>
        <v>600</v>
      </c>
      <c r="AF325" s="88" t="str">
        <f>IF(全车数据表!BA326="","",全车数据表!BA326)</f>
        <v>擂台挑战</v>
      </c>
      <c r="AG325" s="88" t="str">
        <f>IF(全车数据表!BB326="","",全车数据表!BB326)</f>
        <v/>
      </c>
      <c r="AH325" s="88" t="str">
        <f>IF(全车数据表!BC326="","",全车数据表!BC326)</f>
        <v/>
      </c>
      <c r="AI325" s="88" t="str">
        <f>IF(全车数据表!BD326="","",全车数据表!BD326)</f>
        <v/>
      </c>
      <c r="AJ325" s="88" t="str">
        <f>IF(全车数据表!BE326="","",全车数据表!BE326)</f>
        <v/>
      </c>
      <c r="AK325" s="88" t="str">
        <f>IF(全车数据表!BF326="","",全车数据表!BF326)</f>
        <v/>
      </c>
      <c r="AL325" s="88" t="str">
        <f>IF(全车数据表!BG326="","",全车数据表!BG326)</f>
        <v/>
      </c>
      <c r="AM325" s="88" t="str">
        <f>IF(全车数据表!BH326="","",全车数据表!BH326)</f>
        <v/>
      </c>
      <c r="AN325" s="88" t="str">
        <f>IF(全车数据表!BI326="","",全车数据表!BI326)</f>
        <v/>
      </c>
      <c r="AO325" s="88" t="str">
        <f>IF(全车数据表!BJ326="","",全车数据表!BJ326)</f>
        <v/>
      </c>
      <c r="AP325" s="88" t="str">
        <f>IF(全车数据表!BK326="","",全车数据表!BK326)</f>
        <v/>
      </c>
      <c r="AQ325" s="88" t="str">
        <f>IF(全车数据表!BL326="","",全车数据表!BL326)</f>
        <v/>
      </c>
      <c r="AR325" s="88" t="str">
        <f>IF(全车数据表!BM326="","",全车数据表!BM326)</f>
        <v/>
      </c>
      <c r="AS325" s="88" t="str">
        <f>IF(全车数据表!BN326="","",全车数据表!BN326)</f>
        <v/>
      </c>
      <c r="AT325" s="88" t="str">
        <f>IF(全车数据表!BO326="","",全车数据表!BO326)</f>
        <v/>
      </c>
      <c r="AU325" s="88" t="str">
        <f>IF(全车数据表!BP326="","",全车数据表!BP326)</f>
        <v/>
      </c>
      <c r="AV325" s="88" t="str">
        <f>IF(全车数据表!BQ326="","",全车数据表!BQ326)</f>
        <v/>
      </c>
      <c r="AW325" s="88" t="str">
        <f>IF(全车数据表!BR326="","",全车数据表!BR326)</f>
        <v/>
      </c>
      <c r="AX325" s="88" t="str">
        <f>IF(全车数据表!BS326="","",全车数据表!BS326)</f>
        <v/>
      </c>
      <c r="AY325" s="88" t="str">
        <f>IF(全车数据表!BT326="","",全车数据表!BT326)</f>
        <v/>
      </c>
      <c r="AZ325" s="88" t="str">
        <f>IF(全车数据表!BU326="","",全车数据表!BU326)</f>
        <v/>
      </c>
      <c r="BA325" s="88" t="str">
        <f>IF(全车数据表!BV326="","",全车数据表!BV326)</f>
        <v>柯尼塞格</v>
      </c>
      <c r="BB325" s="91" t="str">
        <f>IF(全车数据表!AZ326="","",全车数据表!AZ326)</f>
        <v/>
      </c>
    </row>
  </sheetData>
  <autoFilter ref="A1:AB1" xr:uid="{98FDF190-1705-4B8A-9919-0619FCFB8DFB}">
    <sortState xmlns:xlrd2="http://schemas.microsoft.com/office/spreadsheetml/2017/richdata2" ref="A2:AB106">
      <sortCondition ref="A1"/>
    </sortState>
  </autoFilter>
  <phoneticPr fontId="10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82CE87-0B2E-421C-99C8-90EFBA5963F8}">
  <dimension ref="A1:B4"/>
  <sheetViews>
    <sheetView workbookViewId="0">
      <selection activeCell="B8" sqref="B8"/>
    </sheetView>
  </sheetViews>
  <sheetFormatPr baseColWidth="10" defaultColWidth="8.83203125" defaultRowHeight="15"/>
  <sheetData>
    <row r="1" spans="1:2">
      <c r="A1" s="43" t="s">
        <v>419</v>
      </c>
      <c r="B1" s="43" t="s">
        <v>422</v>
      </c>
    </row>
    <row r="2" spans="1:2">
      <c r="A2" s="43" t="s">
        <v>418</v>
      </c>
      <c r="B2" s="43" t="s">
        <v>423</v>
      </c>
    </row>
    <row r="3" spans="1:2">
      <c r="A3" s="43" t="s">
        <v>421</v>
      </c>
      <c r="B3" s="43" t="s">
        <v>424</v>
      </c>
    </row>
    <row r="4" spans="1:2">
      <c r="A4" s="43" t="s">
        <v>1012</v>
      </c>
      <c r="B4" s="43" t="s">
        <v>964</v>
      </c>
    </row>
  </sheetData>
  <phoneticPr fontId="10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71674B-C02C-4305-807B-B5C4E58F4AAD}">
  <dimension ref="A1:J179"/>
  <sheetViews>
    <sheetView zoomScaleNormal="100" zoomScaleSheetLayoutView="100" workbookViewId="0">
      <pane xSplit="3" ySplit="2" topLeftCell="D3" activePane="bottomRight" state="frozen"/>
      <selection pane="topRight"/>
      <selection pane="bottomLeft"/>
      <selection pane="bottomRight" activeCell="J13" sqref="J13"/>
    </sheetView>
  </sheetViews>
  <sheetFormatPr baseColWidth="10" defaultColWidth="8.6640625" defaultRowHeight="18"/>
  <cols>
    <col min="1" max="1" width="22" style="69" customWidth="1"/>
    <col min="2" max="2" width="24" style="62" customWidth="1"/>
    <col min="3" max="3" width="45.5" style="45" customWidth="1"/>
    <col min="4" max="4" width="11" style="45" customWidth="1"/>
    <col min="5" max="5" width="9.6640625" style="45" customWidth="1"/>
    <col min="6" max="6" width="14" style="45" hidden="1" customWidth="1"/>
    <col min="7" max="7" width="11.5" style="45" customWidth="1"/>
    <col min="8" max="8" width="26.5" style="45" customWidth="1"/>
    <col min="9" max="10" width="18.5" style="45" customWidth="1"/>
    <col min="11" max="16384" width="8.6640625" style="45"/>
  </cols>
  <sheetData>
    <row r="1" spans="1:10" ht="21" customHeight="1">
      <c r="A1" s="177" t="s">
        <v>427</v>
      </c>
      <c r="B1" s="166" t="s">
        <v>511</v>
      </c>
      <c r="C1" s="174" t="s">
        <v>31</v>
      </c>
      <c r="D1" s="175"/>
      <c r="E1" s="175"/>
      <c r="F1" s="176"/>
      <c r="G1" s="44" t="s">
        <v>33</v>
      </c>
      <c r="H1" s="166" t="s">
        <v>429</v>
      </c>
      <c r="I1" s="166" t="s">
        <v>519</v>
      </c>
      <c r="J1" s="166" t="s">
        <v>520</v>
      </c>
    </row>
    <row r="2" spans="1:10" ht="21" customHeight="1">
      <c r="A2" s="178"/>
      <c r="B2" s="167"/>
      <c r="C2" s="46" t="s">
        <v>39</v>
      </c>
      <c r="D2" s="47" t="s">
        <v>41</v>
      </c>
      <c r="E2" s="47" t="s">
        <v>42</v>
      </c>
      <c r="F2" s="47" t="s">
        <v>426</v>
      </c>
      <c r="G2" s="46" t="s">
        <v>44</v>
      </c>
      <c r="H2" s="167"/>
      <c r="I2" s="167"/>
      <c r="J2" s="167"/>
    </row>
    <row r="3" spans="1:10" ht="21" customHeight="1">
      <c r="A3" s="179" t="s">
        <v>484</v>
      </c>
      <c r="B3" s="180" t="s">
        <v>518</v>
      </c>
      <c r="C3" s="48" t="s">
        <v>63</v>
      </c>
      <c r="D3" s="49" t="s">
        <v>64</v>
      </c>
      <c r="E3" s="49" t="s">
        <v>65</v>
      </c>
      <c r="F3" s="50" t="s">
        <v>296</v>
      </c>
      <c r="G3" s="51">
        <v>1381</v>
      </c>
      <c r="J3" s="64" t="s">
        <v>523</v>
      </c>
    </row>
    <row r="4" spans="1:10" ht="21" customHeight="1">
      <c r="A4" s="168"/>
      <c r="B4" s="169"/>
      <c r="C4" s="48" t="s">
        <v>67</v>
      </c>
      <c r="D4" s="49" t="s">
        <v>69</v>
      </c>
      <c r="E4" s="49" t="s">
        <v>65</v>
      </c>
      <c r="F4" s="50" t="s">
        <v>296</v>
      </c>
      <c r="G4" s="51">
        <v>1476</v>
      </c>
      <c r="J4" s="64" t="s">
        <v>523</v>
      </c>
    </row>
    <row r="5" spans="1:10" ht="21" customHeight="1">
      <c r="A5" s="168"/>
      <c r="B5" s="169"/>
      <c r="C5" s="48" t="s">
        <v>70</v>
      </c>
      <c r="D5" s="49" t="s">
        <v>72</v>
      </c>
      <c r="E5" s="49" t="s">
        <v>65</v>
      </c>
      <c r="F5" s="50" t="s">
        <v>296</v>
      </c>
      <c r="G5" s="51">
        <v>1546</v>
      </c>
      <c r="J5" s="64" t="s">
        <v>523</v>
      </c>
    </row>
    <row r="6" spans="1:10" ht="21" customHeight="1">
      <c r="A6" s="168"/>
      <c r="B6" s="169"/>
      <c r="C6" s="48" t="s">
        <v>73</v>
      </c>
      <c r="D6" s="49" t="s">
        <v>75</v>
      </c>
      <c r="E6" s="49" t="s">
        <v>65</v>
      </c>
      <c r="F6" s="50" t="s">
        <v>296</v>
      </c>
      <c r="G6" s="51">
        <v>1662</v>
      </c>
      <c r="J6" s="64" t="s">
        <v>523</v>
      </c>
    </row>
    <row r="7" spans="1:10" ht="21" customHeight="1">
      <c r="A7" s="168"/>
      <c r="B7" s="169"/>
      <c r="C7" s="48" t="s">
        <v>76</v>
      </c>
      <c r="D7" s="49" t="s">
        <v>78</v>
      </c>
      <c r="E7" s="49" t="s">
        <v>65</v>
      </c>
      <c r="F7" s="50" t="s">
        <v>296</v>
      </c>
      <c r="G7" s="51">
        <v>1683</v>
      </c>
      <c r="J7" s="64" t="s">
        <v>523</v>
      </c>
    </row>
    <row r="8" spans="1:10" ht="21" customHeight="1">
      <c r="A8" s="168"/>
      <c r="B8" s="169"/>
      <c r="C8" s="48" t="s">
        <v>79</v>
      </c>
      <c r="D8" s="49" t="s">
        <v>80</v>
      </c>
      <c r="E8" s="49" t="s">
        <v>65</v>
      </c>
      <c r="F8" s="50" t="s">
        <v>296</v>
      </c>
      <c r="G8" s="51">
        <v>1814</v>
      </c>
      <c r="J8" s="64" t="s">
        <v>523</v>
      </c>
    </row>
    <row r="9" spans="1:10" ht="21" customHeight="1">
      <c r="A9" s="168"/>
      <c r="B9" s="169"/>
      <c r="C9" s="48" t="s">
        <v>81</v>
      </c>
      <c r="D9" s="49" t="s">
        <v>82</v>
      </c>
      <c r="E9" s="49" t="s">
        <v>65</v>
      </c>
      <c r="F9" s="50" t="s">
        <v>296</v>
      </c>
      <c r="G9" s="51">
        <v>1827</v>
      </c>
      <c r="J9" s="64" t="s">
        <v>523</v>
      </c>
    </row>
    <row r="10" spans="1:10" ht="21" customHeight="1">
      <c r="A10" s="168"/>
      <c r="B10" s="169"/>
      <c r="C10" s="48" t="s">
        <v>92</v>
      </c>
      <c r="D10" s="49" t="s">
        <v>94</v>
      </c>
      <c r="E10" s="49" t="s">
        <v>95</v>
      </c>
      <c r="F10" s="50" t="s">
        <v>296</v>
      </c>
      <c r="G10" s="51">
        <v>2123</v>
      </c>
      <c r="J10" s="63" t="s">
        <v>521</v>
      </c>
    </row>
    <row r="11" spans="1:10" ht="21" customHeight="1">
      <c r="A11" s="168"/>
      <c r="B11" s="169"/>
      <c r="C11" s="48" t="s">
        <v>96</v>
      </c>
      <c r="D11" s="49" t="s">
        <v>97</v>
      </c>
      <c r="E11" s="49" t="s">
        <v>95</v>
      </c>
      <c r="F11" s="50" t="s">
        <v>296</v>
      </c>
      <c r="G11" s="51">
        <v>2152</v>
      </c>
      <c r="J11" s="63" t="s">
        <v>521</v>
      </c>
    </row>
    <row r="12" spans="1:10" ht="21" customHeight="1">
      <c r="A12" s="168"/>
      <c r="B12" s="169"/>
      <c r="C12" s="48" t="s">
        <v>98</v>
      </c>
      <c r="D12" s="49" t="s">
        <v>100</v>
      </c>
      <c r="E12" s="49" t="s">
        <v>95</v>
      </c>
      <c r="F12" s="50" t="s">
        <v>296</v>
      </c>
      <c r="G12" s="51">
        <v>2185</v>
      </c>
      <c r="J12" s="63" t="s">
        <v>521</v>
      </c>
    </row>
    <row r="13" spans="1:10" ht="21" customHeight="1">
      <c r="A13" s="168"/>
      <c r="B13" s="169"/>
      <c r="C13" s="48" t="s">
        <v>101</v>
      </c>
      <c r="D13" s="49" t="s">
        <v>103</v>
      </c>
      <c r="E13" s="49" t="s">
        <v>95</v>
      </c>
      <c r="F13" s="50" t="s">
        <v>296</v>
      </c>
      <c r="G13" s="51">
        <v>2281</v>
      </c>
      <c r="J13" s="63" t="s">
        <v>521</v>
      </c>
    </row>
    <row r="14" spans="1:10" ht="21" customHeight="1">
      <c r="A14" s="168"/>
      <c r="B14" s="169"/>
      <c r="C14" s="48" t="s">
        <v>106</v>
      </c>
      <c r="D14" s="49" t="s">
        <v>107</v>
      </c>
      <c r="E14" s="49" t="s">
        <v>95</v>
      </c>
      <c r="F14" s="50" t="s">
        <v>296</v>
      </c>
      <c r="G14" s="51">
        <v>2344</v>
      </c>
      <c r="J14" s="63" t="s">
        <v>521</v>
      </c>
    </row>
    <row r="15" spans="1:10" ht="21" customHeight="1">
      <c r="A15" s="168"/>
      <c r="B15" s="169"/>
      <c r="C15" s="48" t="s">
        <v>110</v>
      </c>
      <c r="D15" s="49" t="s">
        <v>111</v>
      </c>
      <c r="E15" s="49" t="s">
        <v>95</v>
      </c>
      <c r="F15" s="50" t="s">
        <v>296</v>
      </c>
      <c r="G15" s="51">
        <v>2447</v>
      </c>
      <c r="J15" s="63" t="s">
        <v>521</v>
      </c>
    </row>
    <row r="16" spans="1:10" ht="21" customHeight="1">
      <c r="A16" s="168"/>
      <c r="B16" s="169"/>
      <c r="C16" s="48" t="s">
        <v>114</v>
      </c>
      <c r="D16" s="49" t="s">
        <v>116</v>
      </c>
      <c r="E16" s="49" t="s">
        <v>95</v>
      </c>
      <c r="F16" s="50" t="s">
        <v>296</v>
      </c>
      <c r="G16" s="51">
        <v>2531</v>
      </c>
      <c r="J16" s="63" t="s">
        <v>521</v>
      </c>
    </row>
    <row r="17" spans="1:10" ht="21" customHeight="1">
      <c r="A17" s="168"/>
      <c r="B17" s="169"/>
      <c r="C17" s="48" t="s">
        <v>134</v>
      </c>
      <c r="D17" s="49" t="s">
        <v>135</v>
      </c>
      <c r="E17" s="49" t="s">
        <v>131</v>
      </c>
      <c r="F17" s="50" t="s">
        <v>296</v>
      </c>
      <c r="G17" s="51">
        <v>2816</v>
      </c>
      <c r="J17" s="63" t="s">
        <v>521</v>
      </c>
    </row>
    <row r="18" spans="1:10" ht="21" customHeight="1">
      <c r="A18" s="168"/>
      <c r="B18" s="169"/>
      <c r="C18" s="48" t="s">
        <v>136</v>
      </c>
      <c r="D18" s="49" t="s">
        <v>137</v>
      </c>
      <c r="E18" s="49" t="s">
        <v>131</v>
      </c>
      <c r="F18" s="50" t="s">
        <v>296</v>
      </c>
      <c r="G18" s="51">
        <v>2827</v>
      </c>
      <c r="J18" s="63" t="s">
        <v>521</v>
      </c>
    </row>
    <row r="19" spans="1:10" ht="21" customHeight="1">
      <c r="A19" s="168"/>
      <c r="B19" s="169"/>
      <c r="C19" s="48" t="s">
        <v>143</v>
      </c>
      <c r="D19" s="49" t="s">
        <v>144</v>
      </c>
      <c r="E19" s="49" t="s">
        <v>131</v>
      </c>
      <c r="F19" s="50" t="s">
        <v>296</v>
      </c>
      <c r="G19" s="51">
        <v>3000</v>
      </c>
      <c r="J19" s="63" t="s">
        <v>521</v>
      </c>
    </row>
    <row r="20" spans="1:10" ht="21" customHeight="1">
      <c r="A20" s="168"/>
      <c r="B20" s="169"/>
      <c r="C20" s="48" t="s">
        <v>145</v>
      </c>
      <c r="D20" s="49" t="s">
        <v>146</v>
      </c>
      <c r="E20" s="49" t="s">
        <v>131</v>
      </c>
      <c r="F20" s="50" t="s">
        <v>296</v>
      </c>
      <c r="G20" s="51">
        <v>3026</v>
      </c>
      <c r="J20" s="63" t="s">
        <v>521</v>
      </c>
    </row>
    <row r="21" spans="1:10" ht="21" customHeight="1">
      <c r="A21" s="168"/>
      <c r="B21" s="169"/>
      <c r="C21" s="48" t="s">
        <v>177</v>
      </c>
      <c r="D21" s="49" t="s">
        <v>178</v>
      </c>
      <c r="E21" s="49" t="s">
        <v>176</v>
      </c>
      <c r="F21" s="50" t="s">
        <v>296</v>
      </c>
      <c r="G21" s="51">
        <v>3534</v>
      </c>
      <c r="J21" s="63" t="s">
        <v>521</v>
      </c>
    </row>
    <row r="22" spans="1:10" ht="21" customHeight="1">
      <c r="A22" s="168" t="s">
        <v>445</v>
      </c>
      <c r="B22" s="169" t="s">
        <v>498</v>
      </c>
      <c r="C22" s="48" t="s">
        <v>83</v>
      </c>
      <c r="D22" s="49" t="s">
        <v>84</v>
      </c>
      <c r="E22" s="49" t="s">
        <v>65</v>
      </c>
      <c r="F22" s="50" t="s">
        <v>296</v>
      </c>
      <c r="G22" s="51">
        <v>1971</v>
      </c>
      <c r="H22" s="45" t="s">
        <v>460</v>
      </c>
      <c r="I22" s="45" t="s">
        <v>486</v>
      </c>
      <c r="J22" s="64" t="s">
        <v>523</v>
      </c>
    </row>
    <row r="23" spans="1:10" ht="21" customHeight="1">
      <c r="A23" s="168"/>
      <c r="B23" s="169"/>
      <c r="C23" s="48" t="s">
        <v>85</v>
      </c>
      <c r="D23" s="49" t="s">
        <v>86</v>
      </c>
      <c r="E23" s="49" t="s">
        <v>65</v>
      </c>
      <c r="F23" s="50" t="s">
        <v>296</v>
      </c>
      <c r="G23" s="51">
        <v>1976</v>
      </c>
      <c r="H23" s="45" t="s">
        <v>460</v>
      </c>
      <c r="I23" s="45" t="s">
        <v>486</v>
      </c>
      <c r="J23" s="64" t="s">
        <v>523</v>
      </c>
    </row>
    <row r="24" spans="1:10" ht="21" customHeight="1">
      <c r="A24" s="168"/>
      <c r="B24" s="169"/>
      <c r="C24" s="48" t="s">
        <v>104</v>
      </c>
      <c r="D24" s="49" t="s">
        <v>105</v>
      </c>
      <c r="E24" s="49" t="s">
        <v>95</v>
      </c>
      <c r="F24" s="50" t="s">
        <v>296</v>
      </c>
      <c r="G24" s="51">
        <v>2330</v>
      </c>
      <c r="H24" s="45" t="s">
        <v>485</v>
      </c>
      <c r="I24" s="45" t="s">
        <v>486</v>
      </c>
      <c r="J24" s="63" t="s">
        <v>521</v>
      </c>
    </row>
    <row r="25" spans="1:10" ht="21" customHeight="1">
      <c r="A25" s="168"/>
      <c r="B25" s="169"/>
      <c r="C25" s="48" t="s">
        <v>121</v>
      </c>
      <c r="D25" s="49" t="s">
        <v>122</v>
      </c>
      <c r="E25" s="49" t="s">
        <v>95</v>
      </c>
      <c r="F25" s="50" t="s">
        <v>296</v>
      </c>
      <c r="G25" s="51">
        <v>2635</v>
      </c>
      <c r="H25" s="45" t="s">
        <v>459</v>
      </c>
      <c r="I25" s="45" t="s">
        <v>489</v>
      </c>
      <c r="J25" s="65" t="s">
        <v>489</v>
      </c>
    </row>
    <row r="26" spans="1:10" ht="21" customHeight="1">
      <c r="A26" s="168"/>
      <c r="B26" s="169"/>
      <c r="C26" s="48" t="s">
        <v>129</v>
      </c>
      <c r="D26" s="49" t="s">
        <v>130</v>
      </c>
      <c r="E26" s="49" t="s">
        <v>131</v>
      </c>
      <c r="F26" s="50" t="s">
        <v>296</v>
      </c>
      <c r="G26" s="51">
        <v>2633</v>
      </c>
      <c r="H26" s="45" t="s">
        <v>457</v>
      </c>
      <c r="I26" s="45" t="s">
        <v>486</v>
      </c>
      <c r="J26" s="63" t="s">
        <v>521</v>
      </c>
    </row>
    <row r="27" spans="1:10" ht="21" customHeight="1">
      <c r="A27" s="168"/>
      <c r="B27" s="169"/>
      <c r="C27" s="48" t="s">
        <v>140</v>
      </c>
      <c r="D27" s="49" t="s">
        <v>142</v>
      </c>
      <c r="E27" s="49" t="s">
        <v>131</v>
      </c>
      <c r="F27" s="50" t="s">
        <v>296</v>
      </c>
      <c r="G27" s="51">
        <v>2983</v>
      </c>
      <c r="H27" s="45" t="s">
        <v>456</v>
      </c>
      <c r="I27" s="45" t="s">
        <v>487</v>
      </c>
      <c r="J27" s="63" t="s">
        <v>521</v>
      </c>
    </row>
    <row r="28" spans="1:10" ht="21" customHeight="1">
      <c r="A28" s="168"/>
      <c r="B28" s="169"/>
      <c r="C28" s="48" t="s">
        <v>149</v>
      </c>
      <c r="D28" s="49" t="s">
        <v>150</v>
      </c>
      <c r="E28" s="49" t="s">
        <v>131</v>
      </c>
      <c r="F28" s="50" t="s">
        <v>303</v>
      </c>
      <c r="G28" s="51">
        <v>3144</v>
      </c>
      <c r="H28" s="45" t="s">
        <v>455</v>
      </c>
      <c r="I28" s="45" t="s">
        <v>488</v>
      </c>
      <c r="J28" s="63" t="s">
        <v>521</v>
      </c>
    </row>
    <row r="29" spans="1:10" ht="21" customHeight="1">
      <c r="A29" s="168"/>
      <c r="B29" s="169"/>
      <c r="C29" s="48" t="s">
        <v>151</v>
      </c>
      <c r="D29" s="49" t="s">
        <v>152</v>
      </c>
      <c r="E29" s="49" t="s">
        <v>131</v>
      </c>
      <c r="F29" s="50" t="s">
        <v>296</v>
      </c>
      <c r="G29" s="51">
        <v>3155</v>
      </c>
      <c r="H29" s="45" t="s">
        <v>454</v>
      </c>
      <c r="I29" s="45" t="s">
        <v>489</v>
      </c>
      <c r="J29" s="65" t="s">
        <v>489</v>
      </c>
    </row>
    <row r="30" spans="1:10" ht="21" customHeight="1">
      <c r="A30" s="168"/>
      <c r="B30" s="169"/>
      <c r="C30" s="48" t="s">
        <v>174</v>
      </c>
      <c r="D30" s="49" t="s">
        <v>175</v>
      </c>
      <c r="E30" s="49" t="s">
        <v>176</v>
      </c>
      <c r="F30" s="50" t="s">
        <v>296</v>
      </c>
      <c r="G30" s="51">
        <v>3445</v>
      </c>
      <c r="H30" s="45" t="s">
        <v>451</v>
      </c>
      <c r="I30" s="45" t="s">
        <v>486</v>
      </c>
      <c r="J30" s="63" t="s">
        <v>521</v>
      </c>
    </row>
    <row r="31" spans="1:10" ht="21" customHeight="1">
      <c r="A31" s="168"/>
      <c r="B31" s="169"/>
      <c r="C31" s="48" t="s">
        <v>179</v>
      </c>
      <c r="D31" s="49" t="s">
        <v>180</v>
      </c>
      <c r="E31" s="49" t="s">
        <v>176</v>
      </c>
      <c r="F31" s="50" t="s">
        <v>296</v>
      </c>
      <c r="G31" s="51">
        <v>3548</v>
      </c>
      <c r="H31" s="45" t="s">
        <v>450</v>
      </c>
      <c r="I31" s="45" t="s">
        <v>486</v>
      </c>
      <c r="J31" s="63" t="s">
        <v>521</v>
      </c>
    </row>
    <row r="32" spans="1:10" ht="21" customHeight="1">
      <c r="A32" s="168"/>
      <c r="B32" s="169"/>
      <c r="C32" s="48" t="s">
        <v>181</v>
      </c>
      <c r="D32" s="49" t="s">
        <v>183</v>
      </c>
      <c r="E32" s="49" t="s">
        <v>176</v>
      </c>
      <c r="F32" s="50" t="s">
        <v>296</v>
      </c>
      <c r="G32" s="51">
        <v>3602</v>
      </c>
      <c r="H32" s="45" t="s">
        <v>449</v>
      </c>
      <c r="I32" s="45" t="s">
        <v>490</v>
      </c>
      <c r="J32" s="63" t="s">
        <v>521</v>
      </c>
    </row>
    <row r="33" spans="1:10" ht="21" customHeight="1">
      <c r="A33" s="168"/>
      <c r="B33" s="169"/>
      <c r="C33" s="48" t="s">
        <v>218</v>
      </c>
      <c r="D33" s="49" t="s">
        <v>219</v>
      </c>
      <c r="E33" s="49" t="s">
        <v>220</v>
      </c>
      <c r="F33" s="50" t="s">
        <v>296</v>
      </c>
      <c r="G33" s="51">
        <v>3957</v>
      </c>
      <c r="H33" s="45" t="s">
        <v>453</v>
      </c>
      <c r="I33" s="45" t="s">
        <v>486</v>
      </c>
      <c r="J33" s="63" t="s">
        <v>521</v>
      </c>
    </row>
    <row r="34" spans="1:10" ht="21" customHeight="1">
      <c r="A34" s="168" t="s">
        <v>496</v>
      </c>
      <c r="B34" s="169" t="s">
        <v>497</v>
      </c>
      <c r="C34" s="52" t="s">
        <v>112</v>
      </c>
      <c r="D34" s="49" t="s">
        <v>113</v>
      </c>
      <c r="E34" s="49" t="s">
        <v>95</v>
      </c>
      <c r="F34" s="50" t="s">
        <v>296</v>
      </c>
      <c r="G34" s="51">
        <v>2487</v>
      </c>
      <c r="H34" s="45" t="s">
        <v>458</v>
      </c>
      <c r="I34" s="45" t="s">
        <v>486</v>
      </c>
      <c r="J34" s="63" t="s">
        <v>521</v>
      </c>
    </row>
    <row r="35" spans="1:10" ht="21" customHeight="1">
      <c r="A35" s="168"/>
      <c r="B35" s="169"/>
      <c r="C35" s="52" t="s">
        <v>200</v>
      </c>
      <c r="D35" s="49" t="s">
        <v>201</v>
      </c>
      <c r="E35" s="49" t="s">
        <v>176</v>
      </c>
      <c r="F35" s="50" t="s">
        <v>296</v>
      </c>
      <c r="G35" s="51">
        <v>3929</v>
      </c>
      <c r="H35" s="45" t="s">
        <v>448</v>
      </c>
      <c r="I35" s="45" t="s">
        <v>489</v>
      </c>
      <c r="J35" s="65" t="s">
        <v>489</v>
      </c>
    </row>
    <row r="36" spans="1:10" ht="21" customHeight="1">
      <c r="A36" s="168"/>
      <c r="B36" s="169"/>
      <c r="C36" s="52" t="s">
        <v>210</v>
      </c>
      <c r="D36" s="49" t="s">
        <v>211</v>
      </c>
      <c r="E36" s="49" t="s">
        <v>176</v>
      </c>
      <c r="F36" s="50" t="s">
        <v>305</v>
      </c>
      <c r="G36" s="51">
        <v>4002</v>
      </c>
      <c r="H36" s="45" t="s">
        <v>447</v>
      </c>
      <c r="I36" s="45" t="s">
        <v>491</v>
      </c>
      <c r="J36" s="63" t="s">
        <v>521</v>
      </c>
    </row>
    <row r="37" spans="1:10" ht="21" customHeight="1">
      <c r="A37" s="168"/>
      <c r="B37" s="169"/>
      <c r="C37" s="48" t="s">
        <v>221</v>
      </c>
      <c r="D37" s="49" t="s">
        <v>222</v>
      </c>
      <c r="E37" s="49" t="s">
        <v>220</v>
      </c>
      <c r="F37" s="50" t="s">
        <v>296</v>
      </c>
      <c r="G37" s="51">
        <v>4083</v>
      </c>
      <c r="H37" s="45" t="s">
        <v>452</v>
      </c>
      <c r="I37" s="45" t="s">
        <v>486</v>
      </c>
      <c r="J37" s="63" t="s">
        <v>521</v>
      </c>
    </row>
    <row r="38" spans="1:10" ht="21" customHeight="1">
      <c r="A38" s="168"/>
      <c r="B38" s="169"/>
      <c r="C38" s="48" t="s">
        <v>247</v>
      </c>
      <c r="D38" s="49" t="s">
        <v>248</v>
      </c>
      <c r="E38" s="49" t="s">
        <v>220</v>
      </c>
      <c r="F38" s="50" t="s">
        <v>296</v>
      </c>
      <c r="G38" s="51">
        <v>4344</v>
      </c>
      <c r="H38" s="45" t="s">
        <v>446</v>
      </c>
      <c r="I38" s="45" t="s">
        <v>489</v>
      </c>
      <c r="J38" s="65" t="s">
        <v>489</v>
      </c>
    </row>
    <row r="39" spans="1:10" ht="21" customHeight="1">
      <c r="A39" s="173"/>
      <c r="B39" s="169"/>
      <c r="C39" s="48" t="s">
        <v>255</v>
      </c>
      <c r="D39" s="49" t="s">
        <v>256</v>
      </c>
      <c r="E39" s="49" t="s">
        <v>220</v>
      </c>
      <c r="F39" s="50" t="s">
        <v>296</v>
      </c>
      <c r="G39" s="51">
        <v>4479</v>
      </c>
      <c r="H39" s="45">
        <v>4275</v>
      </c>
      <c r="I39" s="45" t="s">
        <v>492</v>
      </c>
      <c r="J39" s="66" t="s">
        <v>524</v>
      </c>
    </row>
    <row r="40" spans="1:10" ht="21" customHeight="1">
      <c r="A40" s="170" t="s">
        <v>461</v>
      </c>
      <c r="B40" s="164" t="s">
        <v>516</v>
      </c>
      <c r="C40" s="48" t="s">
        <v>108</v>
      </c>
      <c r="D40" s="49" t="s">
        <v>109</v>
      </c>
      <c r="E40" s="49" t="s">
        <v>95</v>
      </c>
      <c r="F40" s="50" t="s">
        <v>296</v>
      </c>
      <c r="G40" s="51">
        <v>2363</v>
      </c>
      <c r="H40" s="45" t="s">
        <v>467</v>
      </c>
      <c r="J40" s="63" t="s">
        <v>521</v>
      </c>
    </row>
    <row r="41" spans="1:10" ht="21" customHeight="1">
      <c r="A41" s="171"/>
      <c r="B41" s="164"/>
      <c r="C41" s="48" t="s">
        <v>147</v>
      </c>
      <c r="D41" s="49" t="s">
        <v>148</v>
      </c>
      <c r="E41" s="49" t="s">
        <v>131</v>
      </c>
      <c r="F41" s="50" t="s">
        <v>297</v>
      </c>
      <c r="G41" s="51">
        <v>3093</v>
      </c>
      <c r="H41" s="45" t="s">
        <v>463</v>
      </c>
      <c r="J41" s="45" t="s">
        <v>525</v>
      </c>
    </row>
    <row r="42" spans="1:10" ht="21" customHeight="1">
      <c r="A42" s="171"/>
      <c r="B42" s="164"/>
      <c r="C42" s="48" t="s">
        <v>157</v>
      </c>
      <c r="D42" s="49" t="s">
        <v>159</v>
      </c>
      <c r="E42" s="49" t="s">
        <v>131</v>
      </c>
      <c r="F42" s="50" t="s">
        <v>296</v>
      </c>
      <c r="G42" s="51">
        <v>3229</v>
      </c>
      <c r="H42" s="45" t="s">
        <v>464</v>
      </c>
      <c r="J42" s="63" t="s">
        <v>521</v>
      </c>
    </row>
    <row r="43" spans="1:10" ht="21" customHeight="1">
      <c r="A43" s="171"/>
      <c r="B43" s="164"/>
      <c r="C43" s="48" t="s">
        <v>165</v>
      </c>
      <c r="D43" s="49" t="s">
        <v>166</v>
      </c>
      <c r="E43" s="49" t="s">
        <v>131</v>
      </c>
      <c r="F43" s="50" t="s">
        <v>305</v>
      </c>
      <c r="G43" s="51">
        <v>3295</v>
      </c>
      <c r="H43" s="45" t="s">
        <v>464</v>
      </c>
      <c r="J43" s="63" t="s">
        <v>521</v>
      </c>
    </row>
    <row r="44" spans="1:10" ht="21" customHeight="1">
      <c r="A44" s="171"/>
      <c r="B44" s="164"/>
      <c r="C44" s="48" t="s">
        <v>167</v>
      </c>
      <c r="D44" s="49" t="s">
        <v>168</v>
      </c>
      <c r="E44" s="49" t="s">
        <v>131</v>
      </c>
      <c r="F44" s="50" t="s">
        <v>306</v>
      </c>
      <c r="G44" s="51">
        <v>3334</v>
      </c>
      <c r="H44" s="45" t="s">
        <v>464</v>
      </c>
      <c r="J44" s="63" t="s">
        <v>521</v>
      </c>
    </row>
    <row r="45" spans="1:10" ht="21" customHeight="1">
      <c r="A45" s="171"/>
      <c r="B45" s="164"/>
      <c r="C45" s="48" t="s">
        <v>169</v>
      </c>
      <c r="D45" s="49" t="s">
        <v>170</v>
      </c>
      <c r="E45" s="49" t="s">
        <v>131</v>
      </c>
      <c r="F45" s="50" t="s">
        <v>304</v>
      </c>
      <c r="G45" s="51">
        <v>3389</v>
      </c>
      <c r="H45" s="45" t="s">
        <v>467</v>
      </c>
      <c r="J45" s="67" t="s">
        <v>526</v>
      </c>
    </row>
    <row r="46" spans="1:10" ht="21" customHeight="1">
      <c r="A46" s="171"/>
      <c r="B46" s="164"/>
      <c r="C46" s="48" t="s">
        <v>214</v>
      </c>
      <c r="D46" s="49" t="s">
        <v>215</v>
      </c>
      <c r="E46" s="49" t="s">
        <v>131</v>
      </c>
      <c r="F46" s="50" t="s">
        <v>298</v>
      </c>
      <c r="G46" s="51">
        <v>3423</v>
      </c>
      <c r="H46" s="45" t="s">
        <v>467</v>
      </c>
      <c r="J46" s="67" t="s">
        <v>526</v>
      </c>
    </row>
    <row r="47" spans="1:10" ht="21" customHeight="1">
      <c r="A47" s="171"/>
      <c r="B47" s="164"/>
      <c r="C47" s="48" t="s">
        <v>190</v>
      </c>
      <c r="D47" s="49" t="s">
        <v>191</v>
      </c>
      <c r="E47" s="49" t="s">
        <v>176</v>
      </c>
      <c r="F47" s="50" t="s">
        <v>303</v>
      </c>
      <c r="G47" s="51">
        <v>3763</v>
      </c>
      <c r="H47" s="45" t="s">
        <v>464</v>
      </c>
      <c r="J47" s="63" t="s">
        <v>521</v>
      </c>
    </row>
    <row r="48" spans="1:10" ht="21" customHeight="1">
      <c r="A48" s="171"/>
      <c r="B48" s="164"/>
      <c r="C48" s="48" t="s">
        <v>192</v>
      </c>
      <c r="D48" s="49" t="s">
        <v>193</v>
      </c>
      <c r="E48" s="49" t="s">
        <v>176</v>
      </c>
      <c r="F48" s="50" t="s">
        <v>299</v>
      </c>
      <c r="G48" s="51">
        <v>3821</v>
      </c>
      <c r="H48" s="45" t="s">
        <v>469</v>
      </c>
      <c r="J48" s="63" t="s">
        <v>521</v>
      </c>
    </row>
    <row r="49" spans="1:10" ht="21" customHeight="1">
      <c r="A49" s="171"/>
      <c r="B49" s="164"/>
      <c r="C49" s="48" t="s">
        <v>196</v>
      </c>
      <c r="D49" s="49" t="s">
        <v>197</v>
      </c>
      <c r="E49" s="49" t="s">
        <v>176</v>
      </c>
      <c r="F49" s="50" t="s">
        <v>303</v>
      </c>
      <c r="G49" s="51">
        <v>3906</v>
      </c>
      <c r="H49" s="45" t="s">
        <v>465</v>
      </c>
      <c r="J49" s="63" t="s">
        <v>521</v>
      </c>
    </row>
    <row r="50" spans="1:10" ht="21" customHeight="1">
      <c r="A50" s="171"/>
      <c r="B50" s="164"/>
      <c r="C50" s="48" t="s">
        <v>202</v>
      </c>
      <c r="D50" s="49" t="s">
        <v>203</v>
      </c>
      <c r="E50" s="49" t="s">
        <v>176</v>
      </c>
      <c r="F50" s="50" t="s">
        <v>297</v>
      </c>
      <c r="G50" s="51">
        <v>3941</v>
      </c>
      <c r="H50" s="45" t="s">
        <v>470</v>
      </c>
      <c r="J50" s="67" t="s">
        <v>526</v>
      </c>
    </row>
    <row r="51" spans="1:10" ht="21" customHeight="1">
      <c r="A51" s="171"/>
      <c r="B51" s="164"/>
      <c r="C51" s="48" t="s">
        <v>206</v>
      </c>
      <c r="D51" s="49" t="s">
        <v>207</v>
      </c>
      <c r="E51" s="49" t="s">
        <v>176</v>
      </c>
      <c r="F51" s="50" t="s">
        <v>297</v>
      </c>
      <c r="G51" s="51">
        <v>3958</v>
      </c>
      <c r="H51" s="45" t="s">
        <v>467</v>
      </c>
      <c r="J51" s="67" t="s">
        <v>526</v>
      </c>
    </row>
    <row r="52" spans="1:10" ht="21" customHeight="1">
      <c r="A52" s="171"/>
      <c r="B52" s="164"/>
      <c r="C52" s="48" t="s">
        <v>229</v>
      </c>
      <c r="D52" s="49" t="s">
        <v>230</v>
      </c>
      <c r="E52" s="49" t="s">
        <v>176</v>
      </c>
      <c r="F52" s="50" t="s">
        <v>425</v>
      </c>
      <c r="G52" s="51">
        <v>4010</v>
      </c>
      <c r="H52" s="45" t="s">
        <v>517</v>
      </c>
      <c r="J52" s="67" t="s">
        <v>526</v>
      </c>
    </row>
    <row r="53" spans="1:10" ht="21" customHeight="1">
      <c r="A53" s="171"/>
      <c r="B53" s="164"/>
      <c r="C53" s="48" t="s">
        <v>212</v>
      </c>
      <c r="D53" s="49" t="s">
        <v>213</v>
      </c>
      <c r="E53" s="49" t="s">
        <v>176</v>
      </c>
      <c r="F53" s="50" t="s">
        <v>300</v>
      </c>
      <c r="G53" s="51">
        <v>4019</v>
      </c>
      <c r="H53" s="45" t="s">
        <v>467</v>
      </c>
      <c r="J53" s="67" t="s">
        <v>526</v>
      </c>
    </row>
    <row r="54" spans="1:10" ht="21" customHeight="1">
      <c r="A54" s="172"/>
      <c r="B54" s="165"/>
      <c r="C54" s="48" t="s">
        <v>194</v>
      </c>
      <c r="D54" s="49" t="s">
        <v>195</v>
      </c>
      <c r="E54" s="49" t="s">
        <v>176</v>
      </c>
      <c r="F54" s="50" t="s">
        <v>301</v>
      </c>
      <c r="G54" s="51">
        <v>4031</v>
      </c>
      <c r="H54" s="45" t="s">
        <v>471</v>
      </c>
      <c r="J54" s="67" t="s">
        <v>526</v>
      </c>
    </row>
    <row r="55" spans="1:10" ht="21" customHeight="1">
      <c r="A55" s="170" t="s">
        <v>494</v>
      </c>
      <c r="B55" s="163" t="s">
        <v>495</v>
      </c>
      <c r="C55" s="48" t="s">
        <v>87</v>
      </c>
      <c r="D55" s="49" t="s">
        <v>477</v>
      </c>
      <c r="E55" s="49" t="s">
        <v>65</v>
      </c>
      <c r="F55" s="50" t="s">
        <v>297</v>
      </c>
      <c r="G55" s="51">
        <v>2009</v>
      </c>
      <c r="H55" s="45" t="s">
        <v>472</v>
      </c>
      <c r="J55" s="67" t="s">
        <v>526</v>
      </c>
    </row>
    <row r="56" spans="1:10" ht="21" customHeight="1">
      <c r="A56" s="171"/>
      <c r="B56" s="164"/>
      <c r="C56" s="48" t="s">
        <v>127</v>
      </c>
      <c r="D56" s="49" t="s">
        <v>128</v>
      </c>
      <c r="E56" s="49" t="s">
        <v>95</v>
      </c>
      <c r="F56" s="50" t="s">
        <v>301</v>
      </c>
      <c r="G56" s="51">
        <v>2642</v>
      </c>
      <c r="H56" s="45" t="s">
        <v>462</v>
      </c>
      <c r="J56" s="67" t="s">
        <v>526</v>
      </c>
    </row>
    <row r="57" spans="1:10" ht="21" customHeight="1">
      <c r="A57" s="171"/>
      <c r="B57" s="164"/>
      <c r="C57" s="48" t="s">
        <v>171</v>
      </c>
      <c r="D57" s="49" t="s">
        <v>172</v>
      </c>
      <c r="E57" s="49" t="s">
        <v>131</v>
      </c>
      <c r="F57" s="50" t="s">
        <v>296</v>
      </c>
      <c r="G57" s="51">
        <v>3392</v>
      </c>
      <c r="H57" s="45" t="s">
        <v>466</v>
      </c>
      <c r="J57" s="67" t="s">
        <v>526</v>
      </c>
    </row>
    <row r="58" spans="1:10" ht="21" customHeight="1">
      <c r="A58" s="172"/>
      <c r="B58" s="165"/>
      <c r="C58" s="48" t="s">
        <v>216</v>
      </c>
      <c r="D58" s="49" t="s">
        <v>217</v>
      </c>
      <c r="E58" s="49" t="s">
        <v>176</v>
      </c>
      <c r="F58" s="50" t="s">
        <v>298</v>
      </c>
      <c r="G58" s="51">
        <v>4020</v>
      </c>
      <c r="H58" s="45" t="s">
        <v>468</v>
      </c>
      <c r="J58" s="67" t="s">
        <v>526</v>
      </c>
    </row>
    <row r="59" spans="1:10" ht="21" customHeight="1">
      <c r="A59" s="168" t="s">
        <v>483</v>
      </c>
      <c r="B59" s="169" t="s">
        <v>512</v>
      </c>
      <c r="C59" s="48" t="s">
        <v>90</v>
      </c>
      <c r="D59" s="49" t="s">
        <v>91</v>
      </c>
      <c r="E59" s="49" t="s">
        <v>65</v>
      </c>
      <c r="F59" s="50" t="s">
        <v>298</v>
      </c>
      <c r="G59" s="51">
        <v>2101</v>
      </c>
      <c r="H59" s="45" t="s">
        <v>481</v>
      </c>
      <c r="J59" s="68" t="s">
        <v>522</v>
      </c>
    </row>
    <row r="60" spans="1:10" ht="21" customHeight="1">
      <c r="A60" s="168"/>
      <c r="B60" s="169"/>
      <c r="C60" s="48" t="s">
        <v>117</v>
      </c>
      <c r="D60" s="49" t="s">
        <v>118</v>
      </c>
      <c r="E60" s="49" t="s">
        <v>95</v>
      </c>
      <c r="F60" s="50" t="s">
        <v>299</v>
      </c>
      <c r="G60" s="51">
        <v>2571</v>
      </c>
      <c r="H60" s="45" t="s">
        <v>476</v>
      </c>
      <c r="J60" s="68" t="s">
        <v>522</v>
      </c>
    </row>
    <row r="61" spans="1:10" ht="21" customHeight="1">
      <c r="A61" s="168"/>
      <c r="B61" s="169"/>
      <c r="C61" s="52" t="s">
        <v>119</v>
      </c>
      <c r="D61" s="49" t="s">
        <v>120</v>
      </c>
      <c r="E61" s="49" t="s">
        <v>95</v>
      </c>
      <c r="F61" s="50" t="s">
        <v>300</v>
      </c>
      <c r="G61" s="51">
        <v>2627</v>
      </c>
      <c r="H61" s="45" t="s">
        <v>479</v>
      </c>
      <c r="J61" s="45" t="s">
        <v>526</v>
      </c>
    </row>
    <row r="62" spans="1:10" ht="21" customHeight="1">
      <c r="A62" s="168"/>
      <c r="B62" s="169"/>
      <c r="C62" s="52" t="s">
        <v>125</v>
      </c>
      <c r="D62" s="49" t="s">
        <v>126</v>
      </c>
      <c r="E62" s="49" t="s">
        <v>95</v>
      </c>
      <c r="F62" s="50" t="s">
        <v>300</v>
      </c>
      <c r="G62" s="51">
        <v>2641</v>
      </c>
      <c r="H62" s="45" t="s">
        <v>478</v>
      </c>
      <c r="J62" s="68" t="s">
        <v>522</v>
      </c>
    </row>
    <row r="63" spans="1:10" ht="21" customHeight="1">
      <c r="A63" s="168"/>
      <c r="B63" s="169"/>
      <c r="C63" s="52" t="s">
        <v>123</v>
      </c>
      <c r="D63" s="49" t="s">
        <v>124</v>
      </c>
      <c r="E63" s="49" t="s">
        <v>95</v>
      </c>
      <c r="F63" s="50" t="s">
        <v>425</v>
      </c>
      <c r="G63" s="51">
        <v>2704</v>
      </c>
      <c r="H63" s="45" t="s">
        <v>475</v>
      </c>
      <c r="J63" s="45" t="s">
        <v>527</v>
      </c>
    </row>
    <row r="64" spans="1:10" ht="21" customHeight="1">
      <c r="A64" s="168"/>
      <c r="B64" s="169"/>
      <c r="C64" s="48" t="s">
        <v>132</v>
      </c>
      <c r="D64" s="49" t="s">
        <v>133</v>
      </c>
      <c r="E64" s="49" t="s">
        <v>131</v>
      </c>
      <c r="F64" s="50" t="s">
        <v>425</v>
      </c>
      <c r="G64" s="51">
        <v>3049</v>
      </c>
      <c r="H64" s="45" t="s">
        <v>475</v>
      </c>
      <c r="J64" s="45" t="s">
        <v>526</v>
      </c>
    </row>
    <row r="65" spans="1:10" ht="21" customHeight="1">
      <c r="A65" s="168"/>
      <c r="B65" s="169"/>
      <c r="C65" s="52" t="s">
        <v>153</v>
      </c>
      <c r="D65" s="49" t="s">
        <v>154</v>
      </c>
      <c r="E65" s="49" t="s">
        <v>131</v>
      </c>
      <c r="F65" s="50" t="s">
        <v>296</v>
      </c>
      <c r="G65" s="51">
        <v>3208</v>
      </c>
      <c r="H65" s="45" t="s">
        <v>475</v>
      </c>
      <c r="J65" s="63" t="s">
        <v>521</v>
      </c>
    </row>
    <row r="66" spans="1:10" ht="21" customHeight="1">
      <c r="A66" s="168"/>
      <c r="B66" s="169"/>
      <c r="C66" s="48" t="s">
        <v>155</v>
      </c>
      <c r="D66" s="49" t="s">
        <v>156</v>
      </c>
      <c r="E66" s="49" t="s">
        <v>131</v>
      </c>
      <c r="F66" s="50" t="s">
        <v>303</v>
      </c>
      <c r="G66" s="51">
        <v>3209</v>
      </c>
      <c r="H66" s="45" t="s">
        <v>475</v>
      </c>
      <c r="J66" s="63" t="s">
        <v>521</v>
      </c>
    </row>
    <row r="67" spans="1:10" ht="21" customHeight="1">
      <c r="A67" s="168"/>
      <c r="B67" s="169"/>
      <c r="C67" s="52" t="s">
        <v>162</v>
      </c>
      <c r="D67" s="49" t="s">
        <v>163</v>
      </c>
      <c r="E67" s="49" t="s">
        <v>131</v>
      </c>
      <c r="F67" s="50" t="s">
        <v>304</v>
      </c>
      <c r="G67" s="51">
        <v>3290</v>
      </c>
      <c r="H67" s="45" t="s">
        <v>475</v>
      </c>
      <c r="J67" s="63" t="s">
        <v>521</v>
      </c>
    </row>
    <row r="68" spans="1:10" ht="21" customHeight="1">
      <c r="A68" s="168"/>
      <c r="B68" s="169"/>
      <c r="C68" s="48" t="s">
        <v>160</v>
      </c>
      <c r="D68" s="49" t="s">
        <v>161</v>
      </c>
      <c r="E68" s="49" t="s">
        <v>131</v>
      </c>
      <c r="F68" s="50" t="s">
        <v>301</v>
      </c>
      <c r="G68" s="51">
        <v>3295</v>
      </c>
      <c r="H68" s="45" t="s">
        <v>475</v>
      </c>
      <c r="J68" s="45" t="s">
        <v>526</v>
      </c>
    </row>
    <row r="69" spans="1:10" ht="21" customHeight="1">
      <c r="A69" s="168"/>
      <c r="B69" s="169"/>
      <c r="C69" s="52" t="s">
        <v>138</v>
      </c>
      <c r="D69" s="49" t="s">
        <v>139</v>
      </c>
      <c r="E69" s="49" t="s">
        <v>131</v>
      </c>
      <c r="F69" s="50" t="s">
        <v>301</v>
      </c>
      <c r="G69" s="51">
        <v>3408</v>
      </c>
      <c r="H69" s="45" t="s">
        <v>480</v>
      </c>
      <c r="J69" s="45" t="s">
        <v>526</v>
      </c>
    </row>
    <row r="70" spans="1:10" ht="21" customHeight="1">
      <c r="A70" s="168"/>
      <c r="B70" s="169"/>
      <c r="C70" s="48" t="s">
        <v>188</v>
      </c>
      <c r="D70" s="49" t="s">
        <v>189</v>
      </c>
      <c r="E70" s="49" t="s">
        <v>131</v>
      </c>
      <c r="F70" s="50" t="s">
        <v>425</v>
      </c>
      <c r="G70" s="51">
        <v>3415</v>
      </c>
      <c r="H70" s="45" t="s">
        <v>475</v>
      </c>
      <c r="J70" s="45" t="s">
        <v>526</v>
      </c>
    </row>
    <row r="71" spans="1:10" ht="21" customHeight="1">
      <c r="A71" s="168"/>
      <c r="B71" s="169"/>
      <c r="C71" s="48" t="s">
        <v>184</v>
      </c>
      <c r="D71" s="49" t="s">
        <v>185</v>
      </c>
      <c r="E71" s="49" t="s">
        <v>176</v>
      </c>
      <c r="F71" s="50" t="s">
        <v>296</v>
      </c>
      <c r="G71" s="51">
        <v>3696</v>
      </c>
      <c r="H71" s="45" t="s">
        <v>462</v>
      </c>
      <c r="J71" s="63" t="s">
        <v>521</v>
      </c>
    </row>
    <row r="72" spans="1:10" ht="21" customHeight="1">
      <c r="A72" s="168"/>
      <c r="B72" s="169"/>
      <c r="C72" s="48" t="s">
        <v>186</v>
      </c>
      <c r="D72" s="49" t="s">
        <v>187</v>
      </c>
      <c r="E72" s="49" t="s">
        <v>176</v>
      </c>
      <c r="F72" s="50" t="s">
        <v>303</v>
      </c>
      <c r="G72" s="51">
        <v>3705</v>
      </c>
      <c r="H72" s="45" t="s">
        <v>473</v>
      </c>
      <c r="J72" s="63" t="s">
        <v>521</v>
      </c>
    </row>
    <row r="73" spans="1:10" ht="21" customHeight="1">
      <c r="A73" s="168"/>
      <c r="B73" s="169"/>
      <c r="C73" s="48" t="s">
        <v>198</v>
      </c>
      <c r="D73" s="49" t="s">
        <v>199</v>
      </c>
      <c r="E73" s="49" t="s">
        <v>176</v>
      </c>
      <c r="F73" s="50" t="s">
        <v>304</v>
      </c>
      <c r="G73" s="51">
        <v>3910</v>
      </c>
      <c r="H73" s="45" t="s">
        <v>474</v>
      </c>
      <c r="J73" s="45" t="s">
        <v>526</v>
      </c>
    </row>
    <row r="74" spans="1:10" ht="21" customHeight="1">
      <c r="A74" s="168"/>
      <c r="B74" s="169"/>
      <c r="C74" s="48" t="s">
        <v>204</v>
      </c>
      <c r="D74" s="49" t="s">
        <v>205</v>
      </c>
      <c r="E74" s="49" t="s">
        <v>176</v>
      </c>
      <c r="F74" s="50" t="s">
        <v>304</v>
      </c>
      <c r="G74" s="51">
        <v>3950</v>
      </c>
      <c r="H74" s="45" t="s">
        <v>473</v>
      </c>
      <c r="J74" s="45" t="s">
        <v>526</v>
      </c>
    </row>
    <row r="75" spans="1:10" ht="21" customHeight="1">
      <c r="A75" s="168" t="s">
        <v>440</v>
      </c>
      <c r="B75" s="169" t="s">
        <v>514</v>
      </c>
      <c r="C75" s="48" t="s">
        <v>223</v>
      </c>
      <c r="D75" s="49" t="s">
        <v>224</v>
      </c>
      <c r="E75" s="49" t="s">
        <v>220</v>
      </c>
      <c r="F75" s="50" t="s">
        <v>303</v>
      </c>
      <c r="G75" s="51">
        <v>4114</v>
      </c>
      <c r="H75" s="45" t="s">
        <v>513</v>
      </c>
      <c r="J75" s="45" t="s">
        <v>528</v>
      </c>
    </row>
    <row r="76" spans="1:10" ht="21" customHeight="1">
      <c r="A76" s="168"/>
      <c r="B76" s="169"/>
      <c r="C76" s="48" t="s">
        <v>233</v>
      </c>
      <c r="D76" s="49" t="s">
        <v>234</v>
      </c>
      <c r="E76" s="49" t="s">
        <v>220</v>
      </c>
      <c r="F76" s="50" t="s">
        <v>303</v>
      </c>
      <c r="G76" s="51">
        <v>4213</v>
      </c>
      <c r="H76" s="45" t="s">
        <v>442</v>
      </c>
      <c r="J76" s="45" t="s">
        <v>528</v>
      </c>
    </row>
    <row r="77" spans="1:10" ht="21" customHeight="1">
      <c r="A77" s="168"/>
      <c r="B77" s="169"/>
      <c r="C77" s="48" t="s">
        <v>239</v>
      </c>
      <c r="D77" s="49" t="s">
        <v>240</v>
      </c>
      <c r="E77" s="49" t="s">
        <v>220</v>
      </c>
      <c r="F77" s="50" t="s">
        <v>303</v>
      </c>
      <c r="G77" s="51">
        <v>4292</v>
      </c>
      <c r="H77" s="45" t="s">
        <v>443</v>
      </c>
      <c r="J77" s="45" t="s">
        <v>528</v>
      </c>
    </row>
    <row r="78" spans="1:10" ht="21" customHeight="1">
      <c r="A78" s="168"/>
      <c r="B78" s="169"/>
      <c r="C78" s="48" t="s">
        <v>245</v>
      </c>
      <c r="D78" s="49" t="s">
        <v>246</v>
      </c>
      <c r="E78" s="49" t="s">
        <v>220</v>
      </c>
      <c r="F78" s="50" t="s">
        <v>303</v>
      </c>
      <c r="G78" s="51">
        <v>4323</v>
      </c>
      <c r="H78" s="45" t="s">
        <v>444</v>
      </c>
      <c r="J78" s="45" t="s">
        <v>528</v>
      </c>
    </row>
    <row r="79" spans="1:10" ht="21" customHeight="1">
      <c r="A79" s="168"/>
      <c r="B79" s="169"/>
      <c r="C79" s="48" t="s">
        <v>249</v>
      </c>
      <c r="D79" s="49" t="s">
        <v>250</v>
      </c>
      <c r="E79" s="49" t="s">
        <v>220</v>
      </c>
      <c r="F79" s="50" t="s">
        <v>303</v>
      </c>
      <c r="G79" s="51">
        <v>4400</v>
      </c>
      <c r="H79" s="45" t="s">
        <v>441</v>
      </c>
      <c r="J79" s="45" t="s">
        <v>528</v>
      </c>
    </row>
    <row r="80" spans="1:10" ht="21" customHeight="1">
      <c r="A80" s="170" t="s">
        <v>431</v>
      </c>
      <c r="B80" s="164" t="s">
        <v>500</v>
      </c>
      <c r="C80" s="53" t="s">
        <v>231</v>
      </c>
      <c r="D80" s="49" t="s">
        <v>232</v>
      </c>
      <c r="E80" s="49" t="s">
        <v>220</v>
      </c>
      <c r="F80" s="50" t="s">
        <v>302</v>
      </c>
      <c r="G80" s="54">
        <v>4184</v>
      </c>
      <c r="H80" s="45" t="s">
        <v>505</v>
      </c>
      <c r="J80" s="45" t="s">
        <v>528</v>
      </c>
    </row>
    <row r="81" spans="1:10" ht="21" customHeight="1">
      <c r="A81" s="171"/>
      <c r="B81" s="164"/>
      <c r="C81" s="53" t="s">
        <v>410</v>
      </c>
      <c r="D81" s="49" t="s">
        <v>412</v>
      </c>
      <c r="E81" s="49" t="s">
        <v>220</v>
      </c>
      <c r="F81" s="50" t="s">
        <v>302</v>
      </c>
      <c r="G81" s="54">
        <v>4395</v>
      </c>
      <c r="H81" s="45" t="s">
        <v>504</v>
      </c>
      <c r="J81" s="45" t="s">
        <v>528</v>
      </c>
    </row>
    <row r="82" spans="1:10" ht="21" customHeight="1">
      <c r="A82" s="171"/>
      <c r="B82" s="164"/>
      <c r="C82" s="48" t="s">
        <v>251</v>
      </c>
      <c r="D82" s="49" t="s">
        <v>252</v>
      </c>
      <c r="E82" s="49" t="s">
        <v>220</v>
      </c>
      <c r="F82" s="50" t="s">
        <v>304</v>
      </c>
      <c r="G82" s="51">
        <v>4407</v>
      </c>
      <c r="H82" s="45" t="s">
        <v>438</v>
      </c>
      <c r="J82" s="45" t="s">
        <v>528</v>
      </c>
    </row>
    <row r="83" spans="1:10" ht="21" customHeight="1">
      <c r="A83" s="171"/>
      <c r="B83" s="164"/>
      <c r="C83" s="48" t="s">
        <v>257</v>
      </c>
      <c r="D83" s="49" t="s">
        <v>258</v>
      </c>
      <c r="E83" s="49" t="s">
        <v>220</v>
      </c>
      <c r="F83" s="50" t="s">
        <v>299</v>
      </c>
      <c r="G83" s="51">
        <v>4521</v>
      </c>
      <c r="H83" s="45" t="s">
        <v>502</v>
      </c>
      <c r="J83" s="45" t="s">
        <v>528</v>
      </c>
    </row>
    <row r="84" spans="1:10" ht="21" customHeight="1">
      <c r="A84" s="171"/>
      <c r="B84" s="164"/>
      <c r="C84" s="53" t="s">
        <v>291</v>
      </c>
      <c r="D84" s="49" t="s">
        <v>416</v>
      </c>
      <c r="E84" s="49" t="s">
        <v>220</v>
      </c>
      <c r="F84" s="50" t="s">
        <v>302</v>
      </c>
      <c r="G84" s="54">
        <v>4593</v>
      </c>
      <c r="H84" s="45" t="s">
        <v>501</v>
      </c>
      <c r="J84" s="45" t="s">
        <v>528</v>
      </c>
    </row>
    <row r="85" spans="1:10" ht="21" customHeight="1">
      <c r="A85" s="171"/>
      <c r="B85" s="164"/>
      <c r="C85" s="48" t="s">
        <v>261</v>
      </c>
      <c r="D85" s="49" t="s">
        <v>263</v>
      </c>
      <c r="E85" s="49" t="s">
        <v>220</v>
      </c>
      <c r="F85" s="50" t="s">
        <v>305</v>
      </c>
      <c r="G85" s="51">
        <v>4616</v>
      </c>
      <c r="H85" s="45" t="s">
        <v>432</v>
      </c>
      <c r="J85" s="45" t="s">
        <v>528</v>
      </c>
    </row>
    <row r="86" spans="1:10" ht="21" customHeight="1">
      <c r="A86" s="171"/>
      <c r="B86" s="164"/>
      <c r="C86" s="53" t="s">
        <v>264</v>
      </c>
      <c r="D86" s="49" t="s">
        <v>265</v>
      </c>
      <c r="E86" s="49" t="s">
        <v>220</v>
      </c>
      <c r="F86" s="50" t="s">
        <v>302</v>
      </c>
      <c r="G86" s="54">
        <v>4685</v>
      </c>
      <c r="H86" s="45" t="s">
        <v>433</v>
      </c>
      <c r="J86" s="45" t="s">
        <v>528</v>
      </c>
    </row>
    <row r="87" spans="1:10" ht="21" customHeight="1">
      <c r="A87" s="171"/>
      <c r="B87" s="164"/>
      <c r="C87" s="48" t="s">
        <v>266</v>
      </c>
      <c r="D87" s="49" t="s">
        <v>267</v>
      </c>
      <c r="E87" s="49" t="s">
        <v>220</v>
      </c>
      <c r="F87" s="50" t="s">
        <v>306</v>
      </c>
      <c r="G87" s="51">
        <v>4755</v>
      </c>
      <c r="H87" s="45" t="s">
        <v>434</v>
      </c>
      <c r="J87" s="45" t="s">
        <v>528</v>
      </c>
    </row>
    <row r="88" spans="1:10" ht="21" customHeight="1">
      <c r="A88" s="171"/>
      <c r="B88" s="164"/>
      <c r="C88" s="53" t="s">
        <v>292</v>
      </c>
      <c r="D88" s="49" t="s">
        <v>293</v>
      </c>
      <c r="E88" s="49" t="s">
        <v>220</v>
      </c>
      <c r="F88" s="50" t="s">
        <v>302</v>
      </c>
      <c r="G88" s="54">
        <v>4764</v>
      </c>
      <c r="H88" s="45" t="s">
        <v>503</v>
      </c>
      <c r="J88" s="45" t="s">
        <v>528</v>
      </c>
    </row>
    <row r="89" spans="1:10" ht="21" customHeight="1">
      <c r="A89" s="171"/>
      <c r="B89" s="164"/>
      <c r="C89" s="48" t="s">
        <v>268</v>
      </c>
      <c r="D89" s="49" t="s">
        <v>269</v>
      </c>
      <c r="E89" s="49" t="s">
        <v>220</v>
      </c>
      <c r="F89" s="50" t="s">
        <v>297</v>
      </c>
      <c r="G89" s="51">
        <v>4824</v>
      </c>
      <c r="H89" s="45" t="s">
        <v>435</v>
      </c>
      <c r="J89" s="45" t="s">
        <v>528</v>
      </c>
    </row>
    <row r="90" spans="1:10" ht="21" customHeight="1">
      <c r="A90" s="171"/>
      <c r="B90" s="164"/>
      <c r="C90" s="48" t="s">
        <v>271</v>
      </c>
      <c r="D90" s="49" t="s">
        <v>272</v>
      </c>
      <c r="E90" s="49" t="s">
        <v>220</v>
      </c>
      <c r="F90" s="50" t="s">
        <v>301</v>
      </c>
      <c r="G90" s="51">
        <v>4897</v>
      </c>
      <c r="H90" s="45" t="s">
        <v>436</v>
      </c>
      <c r="J90" s="45" t="s">
        <v>528</v>
      </c>
    </row>
    <row r="91" spans="1:10" ht="21" customHeight="1">
      <c r="A91" s="172"/>
      <c r="B91" s="165"/>
      <c r="C91" s="53" t="s">
        <v>294</v>
      </c>
      <c r="D91" s="49" t="s">
        <v>295</v>
      </c>
      <c r="E91" s="49" t="s">
        <v>220</v>
      </c>
      <c r="F91" s="50" t="s">
        <v>302</v>
      </c>
      <c r="G91" s="54">
        <v>4969</v>
      </c>
      <c r="H91" s="45" t="s">
        <v>437</v>
      </c>
      <c r="J91" s="45" t="s">
        <v>528</v>
      </c>
    </row>
    <row r="92" spans="1:10" ht="21" customHeight="1">
      <c r="A92" s="170" t="s">
        <v>439</v>
      </c>
      <c r="B92" s="163" t="s">
        <v>515</v>
      </c>
      <c r="C92" s="48" t="s">
        <v>225</v>
      </c>
      <c r="D92" s="49" t="s">
        <v>226</v>
      </c>
      <c r="E92" s="49" t="s">
        <v>220</v>
      </c>
      <c r="F92" s="50" t="s">
        <v>298</v>
      </c>
      <c r="G92" s="51">
        <v>4124</v>
      </c>
      <c r="H92" s="45" t="s">
        <v>507</v>
      </c>
      <c r="J92" s="45" t="s">
        <v>528</v>
      </c>
    </row>
    <row r="93" spans="1:10" ht="21" customHeight="1">
      <c r="A93" s="171"/>
      <c r="B93" s="164"/>
      <c r="C93" s="48" t="s">
        <v>227</v>
      </c>
      <c r="D93" s="49" t="s">
        <v>228</v>
      </c>
      <c r="E93" s="49" t="s">
        <v>220</v>
      </c>
      <c r="F93" s="50" t="s">
        <v>305</v>
      </c>
      <c r="G93" s="51">
        <v>4135</v>
      </c>
      <c r="H93" s="45" t="s">
        <v>508</v>
      </c>
      <c r="J93" s="45" t="s">
        <v>528</v>
      </c>
    </row>
    <row r="94" spans="1:10" ht="21" customHeight="1">
      <c r="A94" s="171"/>
      <c r="B94" s="164"/>
      <c r="C94" s="48" t="s">
        <v>235</v>
      </c>
      <c r="D94" s="49" t="s">
        <v>236</v>
      </c>
      <c r="E94" s="49" t="s">
        <v>220</v>
      </c>
      <c r="F94" s="50" t="s">
        <v>425</v>
      </c>
      <c r="G94" s="51">
        <v>4289</v>
      </c>
      <c r="H94" s="45" t="s">
        <v>509</v>
      </c>
      <c r="J94" s="45" t="s">
        <v>528</v>
      </c>
    </row>
    <row r="95" spans="1:10" ht="21" customHeight="1">
      <c r="A95" s="171"/>
      <c r="B95" s="164"/>
      <c r="C95" s="48" t="s">
        <v>241</v>
      </c>
      <c r="D95" s="49" t="s">
        <v>242</v>
      </c>
      <c r="E95" s="49" t="s">
        <v>220</v>
      </c>
      <c r="F95" s="50" t="s">
        <v>304</v>
      </c>
      <c r="G95" s="51">
        <v>4293</v>
      </c>
      <c r="H95" s="45" t="s">
        <v>510</v>
      </c>
      <c r="J95" s="45" t="s">
        <v>528</v>
      </c>
    </row>
    <row r="96" spans="1:10" ht="21" customHeight="1">
      <c r="A96" s="172"/>
      <c r="B96" s="164"/>
      <c r="C96" s="48" t="s">
        <v>253</v>
      </c>
      <c r="D96" s="49" t="s">
        <v>254</v>
      </c>
      <c r="E96" s="49" t="s">
        <v>220</v>
      </c>
      <c r="F96" s="50" t="s">
        <v>300</v>
      </c>
      <c r="G96" s="51">
        <v>4432</v>
      </c>
      <c r="H96" s="45" t="s">
        <v>506</v>
      </c>
      <c r="J96" s="45" t="s">
        <v>528</v>
      </c>
    </row>
    <row r="97" spans="1:7" ht="21" customHeight="1">
      <c r="A97" s="168" t="s">
        <v>482</v>
      </c>
      <c r="B97" s="169" t="s">
        <v>493</v>
      </c>
      <c r="C97" s="53" t="s">
        <v>274</v>
      </c>
      <c r="D97" s="49" t="s">
        <v>276</v>
      </c>
      <c r="E97" s="49" t="s">
        <v>65</v>
      </c>
      <c r="F97" s="50" t="s">
        <v>302</v>
      </c>
      <c r="G97" s="55">
        <v>2792</v>
      </c>
    </row>
    <row r="98" spans="1:7" ht="21" customHeight="1">
      <c r="A98" s="168"/>
      <c r="B98" s="169"/>
      <c r="C98" s="53" t="s">
        <v>277</v>
      </c>
      <c r="D98" s="49" t="s">
        <v>278</v>
      </c>
      <c r="E98" s="49" t="s">
        <v>65</v>
      </c>
      <c r="F98" s="50" t="s">
        <v>302</v>
      </c>
      <c r="G98" s="55">
        <v>2948</v>
      </c>
    </row>
    <row r="99" spans="1:7" ht="21" customHeight="1">
      <c r="A99" s="168"/>
      <c r="B99" s="169"/>
      <c r="C99" s="53" t="s">
        <v>281</v>
      </c>
      <c r="D99" s="49" t="s">
        <v>282</v>
      </c>
      <c r="E99" s="49" t="s">
        <v>95</v>
      </c>
      <c r="F99" s="50" t="s">
        <v>302</v>
      </c>
      <c r="G99" s="54">
        <v>3665</v>
      </c>
    </row>
    <row r="100" spans="1:7" ht="21" customHeight="1">
      <c r="A100" s="168"/>
      <c r="B100" s="169"/>
      <c r="C100" s="53" t="s">
        <v>396</v>
      </c>
      <c r="D100" s="49" t="s">
        <v>398</v>
      </c>
      <c r="E100" s="49" t="s">
        <v>95</v>
      </c>
      <c r="F100" s="50" t="s">
        <v>302</v>
      </c>
      <c r="G100" s="54">
        <v>3531</v>
      </c>
    </row>
    <row r="101" spans="1:7" ht="21" customHeight="1">
      <c r="A101" s="168"/>
      <c r="B101" s="169"/>
      <c r="C101" s="53" t="s">
        <v>283</v>
      </c>
      <c r="D101" s="49" t="s">
        <v>284</v>
      </c>
      <c r="E101" s="49" t="s">
        <v>95</v>
      </c>
      <c r="F101" s="50" t="s">
        <v>302</v>
      </c>
      <c r="G101" s="54">
        <v>3787</v>
      </c>
    </row>
    <row r="102" spans="1:7" ht="21" customHeight="1">
      <c r="A102" s="168"/>
      <c r="B102" s="169"/>
      <c r="C102" s="53" t="s">
        <v>399</v>
      </c>
      <c r="D102" s="49" t="s">
        <v>401</v>
      </c>
      <c r="E102" s="49" t="s">
        <v>95</v>
      </c>
      <c r="F102" s="50" t="s">
        <v>302</v>
      </c>
      <c r="G102" s="54">
        <v>3843</v>
      </c>
    </row>
    <row r="103" spans="1:7" ht="21" customHeight="1">
      <c r="A103" s="168"/>
      <c r="B103" s="169"/>
      <c r="C103" s="53" t="s">
        <v>208</v>
      </c>
      <c r="D103" s="49" t="s">
        <v>209</v>
      </c>
      <c r="E103" s="49" t="s">
        <v>95</v>
      </c>
      <c r="F103" s="50" t="s">
        <v>302</v>
      </c>
      <c r="G103" s="54">
        <v>3997</v>
      </c>
    </row>
    <row r="104" spans="1:7" ht="21" customHeight="1">
      <c r="A104" s="168"/>
      <c r="B104" s="169"/>
      <c r="C104" s="53" t="s">
        <v>279</v>
      </c>
      <c r="D104" s="49" t="s">
        <v>280</v>
      </c>
      <c r="E104" s="49" t="s">
        <v>131</v>
      </c>
      <c r="F104" s="50" t="s">
        <v>302</v>
      </c>
      <c r="G104" s="54">
        <v>3200</v>
      </c>
    </row>
    <row r="105" spans="1:7" ht="21" customHeight="1">
      <c r="A105" s="168"/>
      <c r="B105" s="169"/>
      <c r="C105" s="53" t="s">
        <v>287</v>
      </c>
      <c r="D105" s="49" t="s">
        <v>288</v>
      </c>
      <c r="E105" s="49" t="s">
        <v>131</v>
      </c>
      <c r="F105" s="50" t="s">
        <v>302</v>
      </c>
      <c r="G105" s="54">
        <v>3946</v>
      </c>
    </row>
    <row r="106" spans="1:7" ht="21" customHeight="1">
      <c r="A106" s="168"/>
      <c r="B106" s="169"/>
      <c r="C106" s="53" t="s">
        <v>402</v>
      </c>
      <c r="D106" s="49" t="s">
        <v>404</v>
      </c>
      <c r="E106" s="49" t="s">
        <v>131</v>
      </c>
      <c r="F106" s="50" t="s">
        <v>302</v>
      </c>
      <c r="G106" s="54">
        <v>4009</v>
      </c>
    </row>
    <row r="107" spans="1:7" ht="21" customHeight="1">
      <c r="A107" s="168"/>
      <c r="B107" s="169"/>
      <c r="C107" s="53" t="s">
        <v>405</v>
      </c>
      <c r="D107" s="49" t="s">
        <v>406</v>
      </c>
      <c r="E107" s="49" t="s">
        <v>131</v>
      </c>
      <c r="F107" s="50" t="s">
        <v>302</v>
      </c>
      <c r="G107" s="54">
        <v>4255</v>
      </c>
    </row>
    <row r="108" spans="1:7" ht="21" customHeight="1">
      <c r="A108" s="168"/>
      <c r="B108" s="169"/>
      <c r="C108" s="53" t="s">
        <v>243</v>
      </c>
      <c r="D108" s="49" t="s">
        <v>244</v>
      </c>
      <c r="E108" s="49" t="s">
        <v>131</v>
      </c>
      <c r="F108" s="50" t="s">
        <v>302</v>
      </c>
      <c r="G108" s="54">
        <v>4309</v>
      </c>
    </row>
    <row r="109" spans="1:7" ht="21" customHeight="1">
      <c r="A109" s="168"/>
      <c r="B109" s="169"/>
      <c r="C109" s="53" t="s">
        <v>285</v>
      </c>
      <c r="D109" s="49" t="s">
        <v>286</v>
      </c>
      <c r="E109" s="49" t="s">
        <v>176</v>
      </c>
      <c r="F109" s="50" t="s">
        <v>302</v>
      </c>
      <c r="G109" s="54">
        <v>3898</v>
      </c>
    </row>
    <row r="110" spans="1:7" ht="21" customHeight="1">
      <c r="A110" s="168"/>
      <c r="B110" s="169"/>
      <c r="C110" s="53" t="s">
        <v>237</v>
      </c>
      <c r="D110" s="49" t="s">
        <v>238</v>
      </c>
      <c r="E110" s="49" t="s">
        <v>176</v>
      </c>
      <c r="F110" s="50" t="s">
        <v>302</v>
      </c>
      <c r="G110" s="54">
        <v>4284</v>
      </c>
    </row>
    <row r="111" spans="1:7" ht="21" customHeight="1">
      <c r="A111" s="168"/>
      <c r="B111" s="169"/>
      <c r="C111" s="53" t="s">
        <v>407</v>
      </c>
      <c r="D111" s="49" t="s">
        <v>409</v>
      </c>
      <c r="E111" s="49" t="s">
        <v>176</v>
      </c>
      <c r="F111" s="50" t="s">
        <v>302</v>
      </c>
      <c r="G111" s="54">
        <v>4305</v>
      </c>
    </row>
    <row r="112" spans="1:7" ht="21" customHeight="1">
      <c r="A112" s="168"/>
      <c r="B112" s="169"/>
      <c r="C112" s="53" t="s">
        <v>289</v>
      </c>
      <c r="D112" s="49" t="s">
        <v>290</v>
      </c>
      <c r="E112" s="49" t="s">
        <v>176</v>
      </c>
      <c r="F112" s="50" t="s">
        <v>302</v>
      </c>
      <c r="G112" s="54">
        <v>4517</v>
      </c>
    </row>
    <row r="113" spans="1:8" ht="21" customHeight="1">
      <c r="A113" s="59" t="s">
        <v>428</v>
      </c>
      <c r="B113" s="57" t="s">
        <v>499</v>
      </c>
      <c r="C113" s="53" t="s">
        <v>259</v>
      </c>
      <c r="D113" s="49" t="s">
        <v>260</v>
      </c>
      <c r="E113" s="49" t="s">
        <v>220</v>
      </c>
      <c r="F113" s="50" t="s">
        <v>302</v>
      </c>
      <c r="G113" s="54">
        <v>4550</v>
      </c>
      <c r="H113" s="45" t="s">
        <v>430</v>
      </c>
    </row>
    <row r="114" spans="1:8" ht="21" customHeight="1">
      <c r="A114" s="59"/>
      <c r="B114" s="58"/>
      <c r="C114" s="59"/>
      <c r="D114" s="60"/>
      <c r="E114" s="60"/>
      <c r="F114" s="61"/>
      <c r="G114" s="56"/>
    </row>
    <row r="115" spans="1:8" ht="21" customHeight="1">
      <c r="A115" s="59"/>
      <c r="B115" s="58"/>
      <c r="C115" s="59"/>
      <c r="D115" s="60"/>
      <c r="E115" s="60"/>
      <c r="F115" s="61"/>
      <c r="G115" s="56"/>
    </row>
    <row r="116" spans="1:8" ht="21" customHeight="1">
      <c r="A116" s="59"/>
      <c r="B116" s="58"/>
      <c r="C116" s="59"/>
      <c r="D116" s="60"/>
      <c r="E116" s="60"/>
      <c r="F116" s="61"/>
      <c r="G116" s="56"/>
    </row>
    <row r="117" spans="1:8" ht="21" customHeight="1">
      <c r="A117" s="59"/>
      <c r="B117" s="58"/>
      <c r="C117" s="59"/>
      <c r="D117" s="60"/>
      <c r="E117" s="60"/>
      <c r="F117" s="61"/>
      <c r="G117" s="56"/>
    </row>
    <row r="118" spans="1:8" ht="21" customHeight="1">
      <c r="A118" s="59"/>
      <c r="B118" s="58"/>
      <c r="C118" s="59"/>
      <c r="D118" s="60"/>
      <c r="E118" s="60"/>
      <c r="F118" s="61"/>
      <c r="G118" s="56"/>
    </row>
    <row r="119" spans="1:8" ht="21" customHeight="1">
      <c r="A119" s="59"/>
      <c r="B119" s="58"/>
      <c r="C119" s="59"/>
      <c r="D119" s="60"/>
      <c r="E119" s="60"/>
      <c r="F119" s="61"/>
      <c r="G119" s="56"/>
    </row>
    <row r="120" spans="1:8" ht="21" customHeight="1">
      <c r="A120" s="59"/>
      <c r="B120" s="58"/>
      <c r="C120" s="59"/>
      <c r="D120" s="60"/>
      <c r="E120" s="60"/>
      <c r="F120" s="61"/>
      <c r="G120" s="56"/>
    </row>
    <row r="121" spans="1:8" ht="21" customHeight="1">
      <c r="A121" s="59"/>
      <c r="B121" s="58"/>
      <c r="C121" s="59"/>
      <c r="D121" s="60"/>
      <c r="E121" s="60"/>
      <c r="F121" s="61"/>
      <c r="G121" s="56"/>
    </row>
    <row r="122" spans="1:8" ht="21" customHeight="1">
      <c r="A122" s="59"/>
      <c r="B122" s="58"/>
      <c r="C122" s="59"/>
      <c r="D122" s="60"/>
      <c r="E122" s="60"/>
      <c r="F122" s="61"/>
      <c r="G122" s="56"/>
    </row>
    <row r="123" spans="1:8" ht="21" customHeight="1">
      <c r="A123" s="59"/>
      <c r="B123" s="58"/>
      <c r="C123" s="59"/>
      <c r="D123" s="60"/>
      <c r="E123" s="60"/>
      <c r="F123" s="61"/>
      <c r="G123" s="56"/>
    </row>
    <row r="124" spans="1:8" ht="21" customHeight="1">
      <c r="A124" s="59"/>
      <c r="B124" s="58"/>
      <c r="C124" s="59"/>
      <c r="D124" s="60"/>
      <c r="E124" s="60"/>
      <c r="F124" s="61"/>
      <c r="G124" s="56"/>
    </row>
    <row r="125" spans="1:8" ht="21" customHeight="1">
      <c r="A125" s="59"/>
      <c r="B125" s="58"/>
      <c r="C125" s="59"/>
      <c r="D125" s="60"/>
      <c r="E125" s="60"/>
      <c r="F125" s="61"/>
      <c r="G125" s="56"/>
    </row>
    <row r="126" spans="1:8" ht="21" customHeight="1">
      <c r="A126" s="59"/>
      <c r="B126" s="58"/>
      <c r="C126" s="59"/>
      <c r="D126" s="60"/>
      <c r="E126" s="60"/>
      <c r="F126" s="61"/>
      <c r="G126" s="56"/>
    </row>
    <row r="127" spans="1:8" ht="21" customHeight="1">
      <c r="A127" s="59"/>
      <c r="B127" s="58"/>
      <c r="C127" s="59"/>
      <c r="D127" s="60"/>
      <c r="E127" s="60"/>
      <c r="F127" s="61"/>
      <c r="G127" s="56"/>
    </row>
    <row r="128" spans="1:8" ht="21" customHeight="1">
      <c r="A128" s="59"/>
      <c r="B128" s="58"/>
      <c r="C128" s="59"/>
      <c r="D128" s="60"/>
      <c r="E128" s="60"/>
      <c r="F128" s="61"/>
      <c r="G128" s="56"/>
    </row>
    <row r="129" spans="1:7" ht="21" customHeight="1">
      <c r="A129" s="59"/>
      <c r="B129" s="58"/>
      <c r="C129" s="59"/>
      <c r="D129" s="60"/>
      <c r="E129" s="60"/>
      <c r="F129" s="61"/>
      <c r="G129" s="56"/>
    </row>
    <row r="130" spans="1:7" ht="21" customHeight="1">
      <c r="A130" s="59"/>
      <c r="B130" s="58"/>
      <c r="C130" s="59"/>
      <c r="D130" s="60"/>
      <c r="E130" s="60"/>
      <c r="F130" s="61"/>
      <c r="G130" s="56"/>
    </row>
    <row r="131" spans="1:7" ht="21" customHeight="1">
      <c r="A131" s="59"/>
      <c r="B131" s="58"/>
      <c r="C131" s="59"/>
      <c r="D131" s="60"/>
      <c r="E131" s="60"/>
      <c r="F131" s="61"/>
      <c r="G131" s="56"/>
    </row>
    <row r="132" spans="1:7" ht="21" customHeight="1">
      <c r="A132" s="59"/>
      <c r="B132" s="58"/>
      <c r="C132" s="59"/>
      <c r="D132" s="60"/>
      <c r="E132" s="60"/>
      <c r="F132" s="61"/>
      <c r="G132" s="56"/>
    </row>
    <row r="133" spans="1:7" ht="21" customHeight="1">
      <c r="A133" s="59"/>
      <c r="B133" s="58"/>
      <c r="C133" s="59"/>
      <c r="D133" s="60"/>
      <c r="E133" s="60"/>
      <c r="F133" s="61"/>
      <c r="G133" s="56"/>
    </row>
    <row r="134" spans="1:7" ht="21" customHeight="1">
      <c r="A134" s="59"/>
      <c r="B134" s="58"/>
      <c r="C134" s="59"/>
      <c r="D134" s="60"/>
      <c r="E134" s="60"/>
      <c r="F134" s="61"/>
      <c r="G134" s="56"/>
    </row>
    <row r="135" spans="1:7" ht="21" customHeight="1">
      <c r="A135" s="59"/>
      <c r="B135" s="58"/>
      <c r="C135" s="59"/>
      <c r="D135" s="60"/>
      <c r="E135" s="60"/>
      <c r="F135" s="61"/>
      <c r="G135" s="56"/>
    </row>
    <row r="136" spans="1:7" ht="21" customHeight="1">
      <c r="A136" s="59"/>
      <c r="B136" s="58"/>
      <c r="C136" s="59"/>
      <c r="D136" s="60"/>
      <c r="E136" s="60"/>
      <c r="F136" s="61"/>
      <c r="G136" s="56"/>
    </row>
    <row r="137" spans="1:7" ht="21" customHeight="1">
      <c r="A137" s="59"/>
      <c r="B137" s="58"/>
      <c r="C137" s="59"/>
      <c r="D137" s="60"/>
      <c r="E137" s="60"/>
      <c r="F137" s="61"/>
      <c r="G137" s="56"/>
    </row>
    <row r="138" spans="1:7" ht="21" customHeight="1">
      <c r="A138" s="59"/>
      <c r="B138" s="58"/>
      <c r="C138" s="59"/>
      <c r="D138" s="60"/>
      <c r="E138" s="60"/>
      <c r="F138" s="61"/>
      <c r="G138" s="56"/>
    </row>
    <row r="139" spans="1:7" ht="21" customHeight="1">
      <c r="A139" s="59"/>
      <c r="B139" s="58"/>
      <c r="C139" s="59"/>
      <c r="D139" s="60"/>
      <c r="E139" s="60"/>
      <c r="F139" s="61"/>
      <c r="G139" s="56"/>
    </row>
    <row r="140" spans="1:7" ht="21" customHeight="1">
      <c r="A140" s="59"/>
      <c r="B140" s="58"/>
      <c r="C140" s="59"/>
      <c r="D140" s="60"/>
      <c r="E140" s="60"/>
      <c r="F140" s="61"/>
      <c r="G140" s="56"/>
    </row>
    <row r="141" spans="1:7" ht="21" customHeight="1">
      <c r="A141" s="59"/>
      <c r="B141" s="58"/>
      <c r="C141" s="59"/>
      <c r="D141" s="60"/>
      <c r="E141" s="60"/>
      <c r="F141" s="61"/>
      <c r="G141" s="56"/>
    </row>
    <row r="142" spans="1:7" ht="21" customHeight="1">
      <c r="A142" s="59"/>
      <c r="B142" s="58"/>
      <c r="C142" s="59"/>
      <c r="D142" s="60"/>
      <c r="E142" s="60"/>
      <c r="F142" s="61"/>
      <c r="G142" s="56"/>
    </row>
    <row r="143" spans="1:7" ht="21" customHeight="1">
      <c r="A143" s="59"/>
      <c r="B143" s="58"/>
      <c r="C143" s="59"/>
      <c r="D143" s="60"/>
      <c r="E143" s="60"/>
      <c r="F143" s="61"/>
      <c r="G143" s="56"/>
    </row>
    <row r="144" spans="1:7" ht="21" customHeight="1">
      <c r="A144" s="59"/>
      <c r="B144" s="58"/>
      <c r="C144" s="59"/>
      <c r="D144" s="60"/>
      <c r="E144" s="60"/>
      <c r="F144" s="61"/>
      <c r="G144" s="56"/>
    </row>
    <row r="145" spans="1:7" ht="21" customHeight="1">
      <c r="A145" s="59"/>
      <c r="B145" s="58"/>
      <c r="C145" s="59"/>
      <c r="D145" s="60"/>
      <c r="E145" s="60"/>
      <c r="F145" s="61"/>
      <c r="G145" s="56"/>
    </row>
    <row r="146" spans="1:7" ht="21" customHeight="1">
      <c r="A146" s="59"/>
      <c r="B146" s="58"/>
      <c r="C146" s="59"/>
      <c r="D146" s="60"/>
      <c r="E146" s="60"/>
      <c r="F146" s="61"/>
      <c r="G146" s="56"/>
    </row>
    <row r="147" spans="1:7" ht="21" customHeight="1">
      <c r="A147" s="59"/>
      <c r="B147" s="58"/>
      <c r="C147" s="59"/>
      <c r="D147" s="60"/>
      <c r="E147" s="60"/>
      <c r="F147" s="61"/>
      <c r="G147" s="56"/>
    </row>
    <row r="148" spans="1:7" ht="21" customHeight="1">
      <c r="A148" s="59"/>
      <c r="B148" s="58"/>
      <c r="C148" s="59"/>
      <c r="D148" s="60"/>
      <c r="E148" s="60"/>
      <c r="F148" s="61"/>
      <c r="G148" s="56"/>
    </row>
    <row r="149" spans="1:7" ht="21" customHeight="1">
      <c r="A149" s="59"/>
      <c r="B149" s="58"/>
      <c r="C149" s="59"/>
      <c r="D149" s="60"/>
      <c r="E149" s="60"/>
      <c r="F149" s="61"/>
      <c r="G149" s="56"/>
    </row>
    <row r="150" spans="1:7" ht="21" customHeight="1">
      <c r="A150" s="59"/>
      <c r="B150" s="58"/>
      <c r="C150" s="59"/>
      <c r="D150" s="60"/>
      <c r="E150" s="60"/>
      <c r="F150" s="61"/>
      <c r="G150" s="56"/>
    </row>
    <row r="151" spans="1:7" ht="21" customHeight="1">
      <c r="A151" s="59"/>
      <c r="B151" s="58"/>
      <c r="C151" s="59"/>
      <c r="D151" s="60"/>
      <c r="E151" s="60"/>
      <c r="F151" s="61"/>
      <c r="G151" s="56"/>
    </row>
    <row r="152" spans="1:7" ht="21" customHeight="1">
      <c r="A152" s="59"/>
      <c r="B152" s="58"/>
      <c r="C152" s="59"/>
      <c r="D152" s="60"/>
      <c r="E152" s="60"/>
      <c r="F152" s="61"/>
      <c r="G152" s="56"/>
    </row>
    <row r="153" spans="1:7" ht="21" customHeight="1">
      <c r="A153" s="59"/>
      <c r="B153" s="58"/>
      <c r="C153" s="59"/>
      <c r="D153" s="60"/>
      <c r="E153" s="60"/>
      <c r="F153" s="61"/>
      <c r="G153" s="56"/>
    </row>
    <row r="154" spans="1:7" ht="21" customHeight="1">
      <c r="A154" s="59"/>
      <c r="B154" s="58"/>
      <c r="C154" s="59"/>
      <c r="D154" s="60"/>
      <c r="E154" s="60"/>
      <c r="F154" s="61"/>
      <c r="G154" s="56"/>
    </row>
    <row r="155" spans="1:7" ht="21" customHeight="1">
      <c r="A155" s="59"/>
      <c r="B155" s="58"/>
      <c r="C155" s="59"/>
      <c r="D155" s="60"/>
      <c r="E155" s="60"/>
      <c r="F155" s="61"/>
      <c r="G155" s="56"/>
    </row>
    <row r="156" spans="1:7" ht="21" customHeight="1">
      <c r="A156" s="59"/>
      <c r="B156" s="58"/>
      <c r="C156" s="59"/>
      <c r="D156" s="60"/>
      <c r="E156" s="60"/>
      <c r="F156" s="61"/>
      <c r="G156" s="56"/>
    </row>
    <row r="157" spans="1:7" ht="21" customHeight="1">
      <c r="A157" s="59"/>
      <c r="B157" s="58"/>
      <c r="C157" s="59"/>
      <c r="D157" s="60"/>
      <c r="E157" s="60"/>
      <c r="F157" s="61"/>
      <c r="G157" s="56"/>
    </row>
    <row r="158" spans="1:7" ht="21" customHeight="1">
      <c r="A158" s="59"/>
      <c r="B158" s="58"/>
      <c r="C158" s="59"/>
      <c r="D158" s="60"/>
      <c r="E158" s="60"/>
      <c r="F158" s="61"/>
      <c r="G158" s="56"/>
    </row>
    <row r="159" spans="1:7" ht="21" customHeight="1">
      <c r="A159" s="59"/>
      <c r="B159" s="58"/>
      <c r="C159" s="59"/>
      <c r="D159" s="60"/>
      <c r="E159" s="60"/>
      <c r="F159" s="61"/>
      <c r="G159" s="56"/>
    </row>
    <row r="160" spans="1:7" ht="21" customHeight="1">
      <c r="A160" s="59"/>
      <c r="B160" s="58"/>
      <c r="C160" s="59"/>
      <c r="D160" s="60"/>
      <c r="E160" s="60"/>
      <c r="F160" s="61"/>
      <c r="G160" s="56"/>
    </row>
    <row r="161" spans="1:7" ht="21" customHeight="1">
      <c r="A161" s="59"/>
      <c r="B161" s="58"/>
      <c r="C161" s="59"/>
      <c r="D161" s="60"/>
      <c r="E161" s="60"/>
      <c r="F161" s="61"/>
      <c r="G161" s="56"/>
    </row>
    <row r="162" spans="1:7" ht="21" customHeight="1">
      <c r="A162" s="59"/>
      <c r="B162" s="58"/>
      <c r="C162" s="59"/>
      <c r="D162" s="60"/>
      <c r="E162" s="60"/>
      <c r="F162" s="61"/>
      <c r="G162" s="56"/>
    </row>
    <row r="163" spans="1:7">
      <c r="A163" s="59"/>
      <c r="B163" s="58"/>
      <c r="C163" s="59"/>
      <c r="D163" s="60"/>
      <c r="E163" s="60"/>
      <c r="F163" s="61"/>
      <c r="G163" s="56"/>
    </row>
    <row r="164" spans="1:7">
      <c r="A164" s="59"/>
      <c r="B164" s="58"/>
      <c r="C164" s="59"/>
      <c r="D164" s="60"/>
      <c r="E164" s="60"/>
      <c r="F164" s="61"/>
      <c r="G164" s="56"/>
    </row>
    <row r="165" spans="1:7">
      <c r="A165" s="59"/>
      <c r="B165" s="58"/>
      <c r="C165" s="59"/>
      <c r="D165" s="60"/>
      <c r="E165" s="60"/>
      <c r="F165" s="61"/>
      <c r="G165" s="56"/>
    </row>
    <row r="166" spans="1:7">
      <c r="A166" s="59"/>
      <c r="B166" s="58"/>
      <c r="C166" s="59"/>
      <c r="D166" s="60"/>
      <c r="E166" s="60"/>
      <c r="F166" s="61"/>
      <c r="G166" s="56"/>
    </row>
    <row r="167" spans="1:7">
      <c r="A167" s="59"/>
      <c r="B167" s="58"/>
      <c r="C167" s="59"/>
      <c r="D167" s="60"/>
      <c r="E167" s="60"/>
      <c r="F167" s="61"/>
      <c r="G167" s="56"/>
    </row>
    <row r="168" spans="1:7">
      <c r="A168" s="59"/>
      <c r="B168" s="58"/>
      <c r="C168" s="59"/>
      <c r="D168" s="60"/>
      <c r="E168" s="60"/>
      <c r="F168" s="61"/>
      <c r="G168" s="56"/>
    </row>
    <row r="169" spans="1:7">
      <c r="A169" s="59"/>
      <c r="B169" s="58"/>
      <c r="C169" s="59"/>
      <c r="D169" s="60"/>
      <c r="E169" s="60"/>
      <c r="F169" s="61"/>
      <c r="G169" s="56"/>
    </row>
    <row r="170" spans="1:7">
      <c r="A170" s="59"/>
      <c r="B170" s="58"/>
      <c r="C170" s="59"/>
      <c r="D170" s="60"/>
      <c r="E170" s="60"/>
      <c r="F170" s="61"/>
      <c r="G170" s="56"/>
    </row>
    <row r="171" spans="1:7">
      <c r="A171" s="59"/>
      <c r="B171" s="58"/>
      <c r="C171" s="59"/>
      <c r="D171" s="60"/>
      <c r="E171" s="60"/>
      <c r="F171" s="61"/>
      <c r="G171" s="56"/>
    </row>
    <row r="172" spans="1:7">
      <c r="A172" s="59"/>
      <c r="B172" s="58"/>
      <c r="C172" s="59"/>
      <c r="D172" s="60"/>
      <c r="E172" s="60"/>
      <c r="F172" s="61"/>
      <c r="G172" s="56"/>
    </row>
    <row r="173" spans="1:7">
      <c r="A173" s="59"/>
      <c r="B173" s="58"/>
      <c r="C173" s="59"/>
      <c r="D173" s="60"/>
      <c r="E173" s="60"/>
      <c r="F173" s="61"/>
      <c r="G173" s="56"/>
    </row>
    <row r="174" spans="1:7">
      <c r="A174" s="59"/>
      <c r="B174" s="58"/>
      <c r="C174" s="59"/>
      <c r="D174" s="60"/>
      <c r="E174" s="60"/>
      <c r="F174" s="61"/>
      <c r="G174" s="56"/>
    </row>
    <row r="175" spans="1:7">
      <c r="A175" s="59"/>
      <c r="B175" s="58"/>
      <c r="C175" s="59"/>
      <c r="D175" s="60"/>
      <c r="E175" s="60"/>
      <c r="F175" s="61"/>
      <c r="G175" s="56"/>
    </row>
    <row r="176" spans="1:7">
      <c r="A176" s="59"/>
      <c r="B176" s="58"/>
      <c r="C176" s="59"/>
      <c r="D176" s="60"/>
      <c r="E176" s="60"/>
      <c r="F176" s="61"/>
      <c r="G176" s="56"/>
    </row>
    <row r="177" spans="1:7">
      <c r="A177" s="59"/>
      <c r="B177" s="58"/>
      <c r="C177" s="59"/>
      <c r="D177" s="60"/>
      <c r="E177" s="60"/>
      <c r="F177" s="61"/>
      <c r="G177" s="56"/>
    </row>
    <row r="178" spans="1:7">
      <c r="A178" s="59"/>
      <c r="B178" s="58"/>
      <c r="C178" s="59"/>
      <c r="D178" s="60"/>
      <c r="E178" s="60"/>
      <c r="F178" s="61"/>
      <c r="G178" s="56"/>
    </row>
    <row r="179" spans="1:7">
      <c r="A179" s="59"/>
      <c r="B179" s="58"/>
      <c r="C179" s="59"/>
      <c r="D179" s="60"/>
      <c r="E179" s="60"/>
      <c r="F179" s="61"/>
      <c r="G179" s="56"/>
    </row>
  </sheetData>
  <autoFilter ref="A2:G113" xr:uid="{00000000-0009-0000-0000-000001000000}"/>
  <mergeCells count="26">
    <mergeCell ref="B75:B79"/>
    <mergeCell ref="I1:I2"/>
    <mergeCell ref="A34:A39"/>
    <mergeCell ref="B34:B39"/>
    <mergeCell ref="J1:J2"/>
    <mergeCell ref="C1:F1"/>
    <mergeCell ref="A1:A2"/>
    <mergeCell ref="B1:B2"/>
    <mergeCell ref="A3:A21"/>
    <mergeCell ref="B3:B21"/>
    <mergeCell ref="B92:B96"/>
    <mergeCell ref="B40:B54"/>
    <mergeCell ref="H1:H2"/>
    <mergeCell ref="A97:A112"/>
    <mergeCell ref="A59:A74"/>
    <mergeCell ref="A22:A33"/>
    <mergeCell ref="B97:B112"/>
    <mergeCell ref="B59:B74"/>
    <mergeCell ref="B22:B33"/>
    <mergeCell ref="A40:A54"/>
    <mergeCell ref="A55:A58"/>
    <mergeCell ref="A75:A79"/>
    <mergeCell ref="A80:A91"/>
    <mergeCell ref="A92:A96"/>
    <mergeCell ref="B55:B58"/>
    <mergeCell ref="B80:B91"/>
  </mergeCells>
  <phoneticPr fontId="10" type="noConversion"/>
  <pageMargins left="0.7" right="0.7" top="0.75" bottom="0.75" header="0.3" footer="0.3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57C8D4-2D44-4831-8AE4-5DD6483FFA8F}">
  <dimension ref="A1:C47"/>
  <sheetViews>
    <sheetView topLeftCell="A28" workbookViewId="0">
      <selection activeCell="C50" sqref="C50"/>
    </sheetView>
  </sheetViews>
  <sheetFormatPr baseColWidth="10" defaultColWidth="9" defaultRowHeight="27" customHeight="1"/>
  <cols>
    <col min="1" max="1" width="9" style="71"/>
    <col min="2" max="2" width="22" style="70" customWidth="1"/>
    <col min="3" max="3" width="50.5" style="70" customWidth="1"/>
    <col min="4" max="16384" width="9" style="70"/>
  </cols>
  <sheetData>
    <row r="1" spans="1:3" ht="27" customHeight="1">
      <c r="A1" s="71" t="s">
        <v>581</v>
      </c>
      <c r="B1" s="70" t="s">
        <v>579</v>
      </c>
      <c r="C1" s="70" t="s">
        <v>580</v>
      </c>
    </row>
    <row r="2" spans="1:3" ht="27" customHeight="1">
      <c r="A2" s="72">
        <v>0</v>
      </c>
      <c r="B2" s="70" t="s">
        <v>553</v>
      </c>
      <c r="C2" s="70" t="s">
        <v>566</v>
      </c>
    </row>
    <row r="3" spans="1:3" ht="27" customHeight="1">
      <c r="A3" s="72">
        <v>1</v>
      </c>
      <c r="B3" s="70" t="s">
        <v>554</v>
      </c>
      <c r="C3" s="70" t="s">
        <v>567</v>
      </c>
    </row>
    <row r="4" spans="1:3" ht="27" customHeight="1">
      <c r="A4" s="72">
        <v>2</v>
      </c>
      <c r="B4" s="70" t="s">
        <v>555</v>
      </c>
      <c r="C4" s="70" t="s">
        <v>578</v>
      </c>
    </row>
    <row r="5" spans="1:3" ht="27" customHeight="1">
      <c r="A5" s="72">
        <v>3</v>
      </c>
      <c r="B5" s="70" t="s">
        <v>556</v>
      </c>
      <c r="C5" s="70" t="s">
        <v>568</v>
      </c>
    </row>
    <row r="6" spans="1:3" ht="27" customHeight="1">
      <c r="A6" s="72">
        <v>4</v>
      </c>
      <c r="B6" s="70" t="s">
        <v>557</v>
      </c>
      <c r="C6" s="70" t="s">
        <v>569</v>
      </c>
    </row>
    <row r="7" spans="1:3" ht="27" customHeight="1">
      <c r="A7" s="72">
        <v>5</v>
      </c>
      <c r="B7" s="70" t="s">
        <v>558</v>
      </c>
      <c r="C7" s="70" t="s">
        <v>570</v>
      </c>
    </row>
    <row r="8" spans="1:3" ht="27" customHeight="1">
      <c r="A8" s="72">
        <v>6</v>
      </c>
      <c r="B8" s="70" t="s">
        <v>559</v>
      </c>
      <c r="C8" s="70" t="s">
        <v>571</v>
      </c>
    </row>
    <row r="9" spans="1:3" ht="27" customHeight="1">
      <c r="A9" s="72">
        <v>7</v>
      </c>
      <c r="B9" s="70" t="s">
        <v>560</v>
      </c>
      <c r="C9" s="70" t="s">
        <v>572</v>
      </c>
    </row>
    <row r="10" spans="1:3" ht="27" customHeight="1">
      <c r="A10" s="72">
        <v>8</v>
      </c>
      <c r="B10" s="70" t="s">
        <v>561</v>
      </c>
      <c r="C10" s="70" t="s">
        <v>573</v>
      </c>
    </row>
    <row r="11" spans="1:3" ht="27" customHeight="1">
      <c r="A11" s="72">
        <v>9</v>
      </c>
      <c r="B11" s="70" t="s">
        <v>562</v>
      </c>
      <c r="C11" s="70" t="s">
        <v>574</v>
      </c>
    </row>
    <row r="12" spans="1:3" ht="27" customHeight="1">
      <c r="A12" s="72">
        <v>10</v>
      </c>
      <c r="B12" s="70" t="s">
        <v>563</v>
      </c>
      <c r="C12" s="70" t="s">
        <v>575</v>
      </c>
    </row>
    <row r="13" spans="1:3" ht="27" customHeight="1">
      <c r="A13" s="72">
        <v>11</v>
      </c>
      <c r="B13" s="70" t="s">
        <v>564</v>
      </c>
      <c r="C13" s="70" t="s">
        <v>576</v>
      </c>
    </row>
    <row r="14" spans="1:3" ht="27" customHeight="1">
      <c r="A14" s="72">
        <v>12</v>
      </c>
      <c r="B14" s="70" t="s">
        <v>565</v>
      </c>
      <c r="C14" s="70" t="s">
        <v>577</v>
      </c>
    </row>
    <row r="15" spans="1:3" ht="27" customHeight="1">
      <c r="A15" s="72">
        <v>13</v>
      </c>
      <c r="B15" s="70" t="s">
        <v>606</v>
      </c>
      <c r="C15" s="70" t="s">
        <v>608</v>
      </c>
    </row>
    <row r="16" spans="1:3" ht="27" customHeight="1">
      <c r="A16" s="72">
        <v>14</v>
      </c>
      <c r="B16" s="70" t="s">
        <v>656</v>
      </c>
      <c r="C16" s="70" t="s">
        <v>657</v>
      </c>
    </row>
    <row r="17" spans="1:3" ht="27" customHeight="1">
      <c r="A17" s="72">
        <v>15</v>
      </c>
      <c r="B17" s="70" t="s">
        <v>671</v>
      </c>
      <c r="C17" s="70" t="s">
        <v>672</v>
      </c>
    </row>
    <row r="18" spans="1:3" ht="27" customHeight="1">
      <c r="A18" s="72">
        <v>16</v>
      </c>
      <c r="B18" s="70" t="s">
        <v>741</v>
      </c>
      <c r="C18" s="70" t="s">
        <v>742</v>
      </c>
    </row>
    <row r="19" spans="1:3" ht="27" customHeight="1">
      <c r="A19" s="72">
        <v>17</v>
      </c>
      <c r="B19" s="70" t="s">
        <v>801</v>
      </c>
      <c r="C19" s="70" t="s">
        <v>805</v>
      </c>
    </row>
    <row r="20" spans="1:3" ht="27" customHeight="1">
      <c r="A20" s="72">
        <v>18</v>
      </c>
      <c r="B20" s="70" t="s">
        <v>824</v>
      </c>
      <c r="C20" s="70" t="s">
        <v>825</v>
      </c>
    </row>
    <row r="21" spans="1:3" ht="27" customHeight="1">
      <c r="A21" s="72">
        <v>19</v>
      </c>
      <c r="B21" s="70" t="s">
        <v>859</v>
      </c>
      <c r="C21" s="70" t="s">
        <v>860</v>
      </c>
    </row>
    <row r="22" spans="1:3" ht="27" customHeight="1">
      <c r="A22" s="72">
        <v>20</v>
      </c>
      <c r="B22" s="70" t="s">
        <v>861</v>
      </c>
      <c r="C22" s="70" t="s">
        <v>862</v>
      </c>
    </row>
    <row r="23" spans="1:3" ht="27" customHeight="1">
      <c r="A23" s="71">
        <v>21</v>
      </c>
      <c r="B23" s="70" t="s">
        <v>879</v>
      </c>
      <c r="C23" s="70" t="s">
        <v>880</v>
      </c>
    </row>
    <row r="24" spans="1:3" ht="27" customHeight="1">
      <c r="A24" s="71">
        <v>22</v>
      </c>
      <c r="B24" s="70" t="s">
        <v>906</v>
      </c>
      <c r="C24" s="70" t="s">
        <v>907</v>
      </c>
    </row>
    <row r="25" spans="1:3" ht="27" customHeight="1">
      <c r="A25" s="71">
        <v>23</v>
      </c>
      <c r="B25" s="70" t="s">
        <v>908</v>
      </c>
      <c r="C25" s="70" t="s">
        <v>909</v>
      </c>
    </row>
    <row r="26" spans="1:3" ht="27" customHeight="1">
      <c r="A26" s="71">
        <v>24</v>
      </c>
      <c r="B26" s="70" t="s">
        <v>927</v>
      </c>
      <c r="C26" s="70" t="s">
        <v>928</v>
      </c>
    </row>
    <row r="27" spans="1:3" ht="27" customHeight="1">
      <c r="A27" s="71">
        <v>25</v>
      </c>
      <c r="B27" s="70" t="s">
        <v>933</v>
      </c>
      <c r="C27" s="70" t="s">
        <v>934</v>
      </c>
    </row>
    <row r="28" spans="1:3" ht="27" customHeight="1">
      <c r="A28" s="71">
        <v>26</v>
      </c>
      <c r="B28" s="70" t="s">
        <v>935</v>
      </c>
      <c r="C28" s="70" t="s">
        <v>936</v>
      </c>
    </row>
    <row r="29" spans="1:3" ht="27" customHeight="1">
      <c r="A29" s="71">
        <v>27</v>
      </c>
      <c r="B29" s="70" t="s">
        <v>961</v>
      </c>
      <c r="C29" s="70" t="s">
        <v>962</v>
      </c>
    </row>
    <row r="30" spans="1:3" ht="27" customHeight="1">
      <c r="A30" s="71">
        <v>28</v>
      </c>
      <c r="B30" s="70" t="s">
        <v>986</v>
      </c>
      <c r="C30" s="70" t="s">
        <v>987</v>
      </c>
    </row>
    <row r="31" spans="1:3" ht="27" customHeight="1">
      <c r="A31" s="71">
        <v>29</v>
      </c>
      <c r="B31" s="70" t="s">
        <v>1013</v>
      </c>
      <c r="C31" s="70" t="s">
        <v>1014</v>
      </c>
    </row>
    <row r="32" spans="1:3" ht="27" customHeight="1">
      <c r="A32" s="71">
        <v>30</v>
      </c>
      <c r="B32" s="70" t="s">
        <v>1027</v>
      </c>
      <c r="C32" s="70" t="s">
        <v>1028</v>
      </c>
    </row>
    <row r="33" spans="1:3" ht="27" customHeight="1">
      <c r="A33" s="71">
        <v>31</v>
      </c>
      <c r="B33" s="70" t="s">
        <v>1044</v>
      </c>
      <c r="C33" s="70" t="s">
        <v>1045</v>
      </c>
    </row>
    <row r="34" spans="1:3" ht="27" customHeight="1">
      <c r="A34" s="71">
        <v>32</v>
      </c>
      <c r="B34" s="70" t="s">
        <v>1062</v>
      </c>
      <c r="C34" s="70" t="s">
        <v>1063</v>
      </c>
    </row>
    <row r="35" spans="1:3" ht="27" customHeight="1">
      <c r="A35" s="71">
        <v>33</v>
      </c>
      <c r="B35" s="70" t="s">
        <v>1086</v>
      </c>
      <c r="C35" s="70" t="s">
        <v>1087</v>
      </c>
    </row>
    <row r="36" spans="1:3" ht="27" customHeight="1">
      <c r="A36" s="71">
        <v>34</v>
      </c>
      <c r="B36" s="70" t="s">
        <v>1103</v>
      </c>
      <c r="C36" s="70" t="s">
        <v>1104</v>
      </c>
    </row>
    <row r="37" spans="1:3" ht="27" customHeight="1">
      <c r="A37" s="71">
        <v>35</v>
      </c>
      <c r="B37" s="70" t="s">
        <v>1383</v>
      </c>
      <c r="C37" s="70" t="s">
        <v>1365</v>
      </c>
    </row>
    <row r="38" spans="1:3" ht="27" customHeight="1">
      <c r="A38" s="71">
        <v>36</v>
      </c>
      <c r="B38" s="70" t="s">
        <v>1384</v>
      </c>
      <c r="C38" s="70" t="s">
        <v>1385</v>
      </c>
    </row>
    <row r="39" spans="1:3" ht="27" customHeight="1">
      <c r="A39" s="71">
        <v>37</v>
      </c>
      <c r="B39" s="70" t="s">
        <v>1388</v>
      </c>
      <c r="C39" s="70" t="s">
        <v>1389</v>
      </c>
    </row>
    <row r="40" spans="1:3" ht="27" customHeight="1">
      <c r="A40" s="71">
        <v>38</v>
      </c>
      <c r="B40" s="70" t="s">
        <v>1440</v>
      </c>
      <c r="C40" s="70" t="s">
        <v>1439</v>
      </c>
    </row>
    <row r="41" spans="1:3" ht="27" customHeight="1">
      <c r="A41" s="71">
        <v>39</v>
      </c>
      <c r="B41" s="70" t="s">
        <v>1444</v>
      </c>
      <c r="C41" s="70" t="s">
        <v>1445</v>
      </c>
    </row>
    <row r="42" spans="1:3" ht="27" customHeight="1">
      <c r="A42" s="71">
        <v>40</v>
      </c>
      <c r="B42" s="70" t="s">
        <v>1527</v>
      </c>
      <c r="C42" s="70" t="s">
        <v>1528</v>
      </c>
    </row>
    <row r="43" spans="1:3" ht="27" customHeight="1">
      <c r="A43" s="71">
        <v>41</v>
      </c>
      <c r="B43" s="70" t="s">
        <v>1530</v>
      </c>
      <c r="C43" s="70" t="s">
        <v>1531</v>
      </c>
    </row>
    <row r="44" spans="1:3" ht="27" customHeight="1">
      <c r="A44" s="71">
        <v>42</v>
      </c>
      <c r="B44" s="70" t="s">
        <v>1639</v>
      </c>
      <c r="C44" s="70" t="s">
        <v>1644</v>
      </c>
    </row>
    <row r="45" spans="1:3" ht="27" customHeight="1">
      <c r="A45" s="71">
        <v>43</v>
      </c>
      <c r="B45" s="70" t="s">
        <v>1640</v>
      </c>
      <c r="C45" s="70" t="s">
        <v>1643</v>
      </c>
    </row>
    <row r="46" spans="1:3" ht="27" customHeight="1">
      <c r="A46" s="71">
        <v>44</v>
      </c>
      <c r="B46" s="70" t="s">
        <v>1641</v>
      </c>
      <c r="C46" s="70" t="s">
        <v>1642</v>
      </c>
    </row>
    <row r="47" spans="1:3" ht="27" customHeight="1">
      <c r="A47" s="71">
        <v>45</v>
      </c>
      <c r="B47" s="70" t="s">
        <v>1647</v>
      </c>
      <c r="C47" s="70" t="s">
        <v>1648</v>
      </c>
    </row>
  </sheetData>
  <phoneticPr fontId="10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编者的话</vt:lpstr>
      <vt:lpstr>全车数据表</vt:lpstr>
      <vt:lpstr>统计数据</vt:lpstr>
      <vt:lpstr>数据卡片</vt:lpstr>
      <vt:lpstr>辅助计算</vt:lpstr>
      <vt:lpstr>盘点</vt:lpstr>
      <vt:lpstr>versionNoteAL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Tencent</dc:creator>
  <cp:lastModifiedBy>水明 沈</cp:lastModifiedBy>
  <dcterms:created xsi:type="dcterms:W3CDTF">2006-09-13T11:21:00Z</dcterms:created>
  <dcterms:modified xsi:type="dcterms:W3CDTF">2026-04-08T05:32:48Z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2052-10.1.0.6748</vt:lpwstr>
  </property>
</Properties>
</file>